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1" sheetId="1" r:id="rId5"/>
    <sheet state="visible" name="Additional" sheetId="2" r:id="rId6"/>
    <sheet state="visible" name="New Inventory" sheetId="3" r:id="rId7"/>
    <sheet state="visible" name="Inventory" sheetId="4" r:id="rId8"/>
    <sheet state="visible" name="Sheet3" sheetId="5" r:id="rId9"/>
    <sheet state="visible" name="Attack Info" sheetId="6" r:id="rId10"/>
    <sheet state="visible" name="Gear Info" sheetId="7" r:id="rId11"/>
    <sheet state="visible" name="Race Info" sheetId="8" r:id="rId12"/>
    <sheet state="visible" name="Class Info" sheetId="9" r:id="rId13"/>
    <sheet state="visible" name="Changelog" sheetId="10" r:id="rId14"/>
  </sheets>
  <definedNames>
    <definedName name="dualWielder">v2.1!$AZ$44</definedName>
    <definedName name="thrown">v2.1!$AX$44</definedName>
    <definedName name="thrownText">v2.1!$AX$43</definedName>
    <definedName name="intMod">v2.1!$C$28</definedName>
    <definedName name="ClericLevel">'Class Info'!$AP$24</definedName>
    <definedName name="greatWeaponFighting">v2.1!$AT$44</definedName>
    <definedName name="race">v2.1!$AQ$5</definedName>
    <definedName name="name">v2.1!$C$6</definedName>
    <definedName name="racialSpeed">v2.1!$AT$5</definedName>
    <definedName name="unarmedFighting">v2.1!$AY$44</definedName>
    <definedName name="FighterLevel">'Class Info'!$AP$43</definedName>
    <definedName name="chaMod">v2.1!$C$38</definedName>
    <definedName name="unarmedText">v2.1!$AY$43</definedName>
    <definedName name="MonkLevel">'Class Info'!$AP$52</definedName>
    <definedName name="twoWeaponFighting">v2.1!$AU$44</definedName>
    <definedName name="twfText">v2.1!$AU$43</definedName>
    <definedName name="invocations">v2.1!$AQ$61</definedName>
    <definedName name="spellAttackBonus">v2.1!$AI$91</definedName>
    <definedName name="WarlockLevel">'Class Info'!$AP$88</definedName>
    <definedName name="closeQuarters">v2.1!$AW$44</definedName>
    <definedName name="castingClass">v2.1!$C$91</definedName>
    <definedName name="weaponProficiencies">v2.1!$I$50</definedName>
    <definedName name="armorProficiencies">v2.1!$AQ$65</definedName>
    <definedName name="dexMod">v2.1!$C$18</definedName>
    <definedName name="naturalArmorAC">v2.1!$AS$26</definedName>
    <definedName name="mariner">v2.1!$AV$44</definedName>
    <definedName name="armor">v2.1!$AQ$24</definedName>
    <definedName name="classAndLevel">v2.1!$T$5</definedName>
    <definedName name="strMod">v2.1!$C$13</definedName>
    <definedName name="proficiencyBonus">v2.1!$H$14</definedName>
    <definedName name="PaladinLevel">'Class Info'!$AP$60</definedName>
    <definedName name="casterLevel">v2.1!$AT$16</definedName>
    <definedName name="WizardLevel">'Class Info'!$AP$95</definedName>
    <definedName name="defense">v2.1!$AR$44</definedName>
    <definedName name="duelingText">v2.1!$AS$43</definedName>
    <definedName name="SorcererLevel">'Class Info'!$AP$82</definedName>
    <definedName name="armoredAC">v2.1!$AQ$26</definedName>
    <definedName name="shield">v2.1!$AQ$25</definedName>
    <definedName name="speedBonus">v2.1!$AQ$18</definedName>
    <definedName name="dueling">v2.1!$AS$44</definedName>
    <definedName name="RogueLevel">'Class Info'!$AP$74</definedName>
    <definedName name="DruidLevel">'Class Info'!$AP$37</definedName>
    <definedName name="RangerLevel">'Class Info'!$AP$68</definedName>
    <definedName name="closeQuartersText">v2.1!$AW$43</definedName>
    <definedName name="archeryText">v2.1!$AQ$43</definedName>
    <definedName name="averageHitPoints">v2.1!$AU$16</definedName>
    <definedName name="unarmoredAC">v2.1!$AR$26</definedName>
    <definedName name="gwfText">v2.1!$AT$43</definedName>
    <definedName name="jackOfAllTrades">v2.1!$AQ$59</definedName>
    <definedName name="archery">v2.1!$AQ$44</definedName>
    <definedName name="BardLevel">'Class Info'!$AP$18</definedName>
    <definedName name="feats">v2.1!$AQ$60</definedName>
    <definedName name="level">v2.1!$AL$6</definedName>
    <definedName name="BarbarianLevel">'Class Info'!$AP$11</definedName>
    <definedName name="monkMagic">'Attack Info'!$AP$1</definedName>
    <definedName name="castingAbility">v2.1!$U$91</definedName>
    <definedName name="altClassBasedAC">v2.1!$AT$26</definedName>
    <definedName name="wisMod">v2.1!$C$33</definedName>
    <definedName name="fightingStyles">v2.1!$AQ$62</definedName>
    <definedName name="raceResists">v2.1!$AV$5</definedName>
    <definedName name="rolledHitPoints">v2.1!$AC$11:$AC$30</definedName>
    <definedName name="strength">v2.1!$C$15</definedName>
    <definedName name="conMod">v2.1!$C$23</definedName>
    <definedName name="ArtificerLevel">'Class Info'!$AP$7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
      <text>
        <t xml:space="preserve">Enter your first chosen class first. If you have a subclass, enter it anywhere before another class, e.g. "Champion Fighter 4 Berserker Barbarian 3"
The first class entered will be used to determine your 1st level hit die and saving throw proficiencies.
Important: Do not neglect to set your Subclass. Under various circumstances, not intentionally setting a subclass can end up with the sheet giving you a subclass you don't have.</t>
      </text>
    </comment>
    <comment authorId="0" ref="AE7">
      <text>
        <t xml:space="preserve">When you update your experience total, most other fields will automatically update as you level up. Also adjust the CLASS cell accordingly, the level or sum of levels from there needs to match your total level.</t>
      </text>
    </comment>
    <comment authorId="0" ref="C11">
      <text>
        <t xml:space="preserve">Enter your base ability score, before any modifiers, in the cell in this column UNDER each Ability Score block. The cells with 00 in them.</t>
      </text>
    </comment>
    <comment authorId="0" ref="D11">
      <text>
        <t xml:space="preserve">Enter Ability Score Improvements and racial Ability CHOICES in the cell in this column UNDER each Ability Score block.
When this cell turns blue, it means you have racial Ability Scores Increases to choose below.</t>
      </text>
    </comment>
    <comment authorId="0" ref="AC11">
      <text>
        <t xml:space="preserve">IF you roll for HP, input your maximum HP according to hit die from 1st level here without con mod, then each line after is for the amount rolled on hit dice for each level. If you enter nothing in this column, it assumes average.</t>
      </text>
    </comment>
    <comment authorId="0" ref="AJ11">
      <text>
        <t xml:space="preserve">Your background gives you skills. If you want to modify which skills a background lets you choose, or you want to add new backgrounds, they're the one piece of customization done on this page. If you unhide the columns to the right (by clicking/tapping the tiny little arrows that show up on the "AP" column header, thanks google /s), you'll find the Backgrounds listed starting in cell AX69, the associated skills starting in AY69, the number of extra languages starting in AZ69, the number of tool proficiencies granted starting in BA69, and the number of vehicle proficiencies granted starting in BB69. You can alter the skills to be any two you desire or add to the list of recognized Backgrounds by adding the Background to the AX column, its associated skills to the AY column, and its number of languages, tools, and vehicles proficiencies to the proper columns, starting at row 82.</t>
      </text>
    </comment>
    <comment authorId="0" ref="V15">
      <text>
        <t xml:space="preserve">Overriding Initiative Advantage and Disadvantage
Enter 'adv' in this cell to override for advantage on initiative.
Enter 'dis' in this cell to override for disadvantage on initiative.
Enter almost anything else in this cell to override to normal initiative.</t>
      </text>
    </comment>
    <comment authorId="0" ref="P17">
      <text>
        <t xml:space="preserve">Overriding Advantage and Disadvantage
Enter 'adv' in this column to override for advantage.
Enter 'dis' in this column to override for disadvantage.
Enter almost anything else in this column to override to normal.</t>
      </text>
    </comment>
    <comment authorId="0" ref="H43">
      <text>
        <t xml:space="preserve">Skill names get colored and underlined until you select what you are granted by your class, race, and background.
Class skills are blue.
Racially granted skills are purple.
When you have a choice of racial skills, they are magenta.
Background skills are dark orange.</t>
      </text>
    </comment>
    <comment authorId="0" ref="I51">
      <text>
        <t xml:space="preserve">The sheet doesn't automatically populate any vehicle proficiencies. It just counts how many you should have. Fill this in yourself.</t>
      </text>
    </comment>
    <comment authorId="0" ref="I52">
      <text>
        <t xml:space="preserve">The sheet doesn't automatically populate any tool proficiencies. It just counts how many you should have. Fill this in yourself.</t>
      </text>
    </comment>
    <comment authorId="0" ref="I53">
      <text>
        <t xml:space="preserve">Add any bonus proficiencies to this cell. Things like Kensei's weapon proficiencies (don't forget to mark it as a Monk Weapon on the Attack Info sheet) or weapon proficiencies from the Weapon Master Feat or the two Martial Weapon proficiencies for Hobgoblins.</t>
      </text>
    </comment>
    <comment authorId="0" ref="R57">
      <text>
        <t xml:space="preserve">This only autofills with languages from your race. If you gain languages from another source, enter them on the lines after the automatically populated ones.</t>
      </text>
    </comment>
    <comment authorId="0" ref="C59">
      <text>
        <t xml:space="preserve">(1  por dia) - recupera metade do nivel de mago em niveis de spell (~^)
</t>
      </text>
    </comment>
    <comment authorId="0" ref="P59">
      <text>
        <t xml:space="preserve">Esta coroa de ossos irregular, quando usada, brilha com uma luz pálida, aproveitando a fúria do usuário para atacar os oponentes com terror cruel.
Quando você faz uma jogada de ataque contra uma criatura e a acerta enquanto usa esta coroa, você pode gastar e rolar seus Dados de Vida não gastos, porém não mais dados que metade do seu nível de jogador, arredondado para baixo. A criatura sofre dano psíquico extra igual ao número obtido.
Invocando a Runa. Como uma ação, você pode invocar a runa da coroa para lançar o feitiço Medo (CD de resistência 15) com ela; o feitiço tem duração de 1 minuto e não requer concentração. Uma vez que a runa tenha sido invocada, ela não poderá ser
 invocada novamente até o próximo amanhecer.</t>
      </text>
    </comment>
    <comment authorId="0" ref="AC59">
      <text>
        <t xml:space="preserve">As a bonus action, you can try to telekinetically shove one creature you can see within 30 feet of you. When you do so, the target must succeed on a Strength saving throw (DC 8 + your proficiency bonus + the ability modifier of the score increased by this feat) or be moved 5 feet toward you or away from you. A creature can willingly fail this save.
</t>
      </text>
    </comment>
    <comment authorId="0" ref="C61">
      <text>
        <t xml:space="preserve">como reação, criatura ate 30ft, q fez atk roll, saving throw ou teste de habilidade, dps de ver a rolgem
</t>
      </text>
    </comment>
    <comment authorId="0" ref="AV61">
      <text>
        <t xml:space="preserve">This list is automatically populated by collecting the unique languages listed in the Languages column on the Race Info page.</t>
      </text>
    </comment>
    <comment authorId="0" ref="AW61">
      <text>
        <t xml:space="preserve">This column is where you can add additional languages to populate the drop-down menus for the LANGUAGES section.</t>
      </text>
    </comment>
    <comment authorId="0" ref="BC61">
      <text>
        <t xml:space="preserve">This column is a sorted aggregate of the available languages. To add languages to it, either add a racial language to a race on the Race Info page or add a Non-race Language to the Non-race Languages column.</t>
      </text>
    </comment>
    <comment authorId="0" ref="C62">
      <text>
        <t xml:space="preserve">Açao, teste de CON contra seu dc, na falha Icapacitado e velocidade 0</t>
      </text>
    </comment>
    <comment authorId="0" ref="P62">
      <text>
        <t xml:space="preserve">Foco +1
</t>
      </text>
    </comment>
    <comment authorId="0" ref="P85">
      <text>
        <t xml:space="preserve">Formulas check what is written here. Fighting Styles are supported with the exception of Protection, as are most Feats that matter for the sheet For feats and fighting styles, enter in
"Feat: [feat name]" format: 
e.g.
Feat: Mobile
Feat: Dual Wielder
Fighting Style: Dueling
Some abilities let you choose things, like saving throw proficiencies. Include those things in parentheses, e.g. Iron Mind (Wisdom).
If you take the Skilled feat, put your chosen skills in parentheses, e.g. Skilled (Acrobatics, Athletics, Performance)</t>
      </text>
    </comment>
    <comment authorId="0" ref="C91">
      <text>
        <t xml:space="preserve">Enter your main spellcasting class here. If you have multiple spellcasting classes, the sheet will figure out spellslots properly, but can't handle setting up separate DCs and Spell Attack Bonuses for classes with different Spellcasting Abilities.
If you have the Magic Initiate feat and no other spellcasting classes, enter the class for that feat and make sure you have Magic Initiate listed in your features.
If you have the Magic Initiate feat in conjunction with a spellcasting class, put it in your features and the sheet will add an extra 1st-level slot for you.</t>
      </text>
    </comment>
    <comment authorId="0" ref="C174">
      <text>
        <t xml:space="preserve">If you want to add your own custom header image, unhide the columns on the right and follow the link to one of the "blank" headers, make your own, and then add it to the list.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8">
      <text>
        <t xml:space="preserve">Classes and Levels in each will autopopulate when you fill in the 'CLASS(ES) &amp; LEVEL(S)' cell on the first page according to the directions.</t>
      </text>
    </comment>
    <comment authorId="0" ref="T68">
      <text>
        <t xml:space="preserve">Resistances populate based on race and certain items. If you have additional resistances, enter them after the automatically populated ones.</t>
      </text>
    </comment>
    <comment authorId="0" ref="AB68">
      <text>
        <t xml:space="preserve">Immunities populate based on race and certain items. If you have additional immunities, enter them after the automatically populated ones.</t>
      </text>
    </comment>
    <comment authorId="0" ref="AI68">
      <text>
        <t xml:space="preserve">Vulnerabilities populate based on race and certain items. If you have additional vulnerabilities, enter them after the automatically populated ones.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Unarmed Strikes and Monk Weapons use a special formula to determine their damage dice correctly. If you want to include cantrip attacks, the cantrip scaling is included with Fire Bolt for an example.</t>
      </text>
    </comment>
    <comment authorId="0" ref="I5">
      <text>
        <t xml:space="preserve">Include 'magical' before the damage type if the weapon deals magical bludgeoning, piercing, or slashing damage.
The same applies for adamantine, silvered, or whatever other kind of damage you might be dealing.</t>
      </text>
    </comment>
    <comment authorId="0" ref="M5">
      <text>
        <t xml:space="preserve">Accepted Categories are:
Unarmed
Improvised
Simple
Martial
Natural
Spell</t>
      </text>
    </comment>
    <comment authorId="0" ref="P5">
      <text>
        <t xml:space="preserve">Accepted Ranges:
Melee
Ranged
Melee or Ranged</t>
      </text>
    </comment>
    <comment authorId="0" ref="T5">
      <text>
        <t xml:space="preserve">Enter anything but a zero (0) to classify the weapon as a monk weapon.</t>
      </text>
    </comment>
    <comment authorId="0" ref="V5">
      <text>
        <t xml:space="preserve">Enter the numerical value only, not the plus sign.</t>
      </text>
    </comment>
    <comment authorId="0" ref="AD5">
      <text>
        <t xml:space="preserve">Accepted Ability Overrides:
str
dex
con
int
wis
cha</t>
      </text>
    </comment>
    <comment authorId="0" ref="AF5">
      <text>
        <t xml:space="preserve">Enter weapon properties here exactly as printed for best results. Some formulas look for specific wording.</t>
      </text>
    </comment>
    <comment authorId="0" ref="AN5">
      <text>
        <t xml:space="preserve">Offhand weapons have a formula in this column to check and see if you have the Two Weapon Fighting fighting style.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As shown with the PHB armors, include just the amount over the base of 10 for all armors.</t>
      </text>
    </comment>
    <comment authorId="0" ref="J5">
      <text>
        <t xml:space="preserve">Copy the formula for the Medium Armors to have it scale with the Medium Armor Master feat. For non-armors and armors without a maximum Dexterity modifier, put a minus sign (-). For armors that don't allow you to add your Dexterity modifier, put a zero (0).</t>
      </text>
    </comment>
    <comment authorId="0" ref="M5">
      <text>
        <t xml:space="preserve">Checked for Categories:
Light Armor
Medium Armor
Heavy Armor
Shield
Other Categories:
Clothes
Wondrous Item
Wand
Rod
Etc.</t>
      </text>
    </comment>
    <comment authorId="0" ref="Y5">
      <text>
        <t xml:space="preserve">For Armor and Shields. Enter the numerical value only, not the plus sign.</t>
      </text>
    </comment>
    <comment authorId="0" ref="AC5">
      <text>
        <t xml:space="preserve">This column is for bonuses to your proficiency bonus.</t>
      </text>
    </comment>
    <comment authorId="0" ref="AF5">
      <text>
        <t xml:space="preserve">This column is for bonuses to ALL skill/ability checks.</t>
      </text>
    </comment>
    <comment authorId="0" ref="AH5">
      <text>
        <t xml:space="preserve">This column is for bonuses to ALL saving throws.</t>
      </text>
    </comment>
    <comment authorId="0" ref="AJ5">
      <text>
        <t xml:space="preserve">Enter item properties here exactly as printed for best results. Some formulas look for specific wording.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5">
      <text>
        <t xml:space="preserve">Enter it as follows, changing the name, dice, and damage type as necessary:
Bite 1d4 piercing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You can set this to a flat number, =abilityMod, or `adv`</t>
      </text>
    </comment>
    <comment authorId="0" ref="Q5">
      <text>
        <t xml:space="preserve">Note that if a class gets a bonus skill when you multiclass into it, the sheet actually adds that extra skill to the base skills even if you aren't multiclassed. This is why the "Choose X" are one less for bard, ranger, and rogue than they "should" be.</t>
      </text>
    </comment>
    <comment authorId="0" ref="X5">
      <text>
        <t xml:space="preserve">This column is for proficiencies that can only be gained by taking your first level in the class. The rest of a class's proficiencies and any proficiencies from subclasses are granted through the "Additional/Multiclassing Proficiencies" column.</t>
      </text>
    </comment>
    <comment authorId="0" ref="AB5">
      <text>
        <t xml:space="preserve">The formulas care about Armor, Weapons, and additional skills. If you put tool proficiencies here, they will show up in your weapon proficiencies and have no effect.</t>
      </text>
    </comment>
    <comment authorId="0" ref="AG5">
      <text>
        <t xml:space="preserve">Accepted Casting Types:
Artificer Casting
Full Caster
Half Caster
Third Caster
Pact Magic
(Half Pact Magic is not a thing the sheet handles)</t>
      </text>
    </comment>
    <comment authorId="0" ref="AM5">
      <text>
        <t xml:space="preserve">There are formulas in this column for Barbarian, Monk, and Scout Rogue. Reference them if you have a homebrew class that has a speed bonus.</t>
      </text>
    </comment>
  </commentList>
</comments>
</file>

<file path=xl/sharedStrings.xml><?xml version="1.0" encoding="utf-8"?>
<sst xmlns="http://schemas.openxmlformats.org/spreadsheetml/2006/main" count="2015" uniqueCount="695">
  <si>
    <t xml:space="preserve"> </t>
  </si>
  <si>
    <t>Hide these columns. There should be no need to alter them (mostly).
Customization and homebrew are mostly handled by the Info pages.</t>
  </si>
  <si>
    <t>2.1</t>
  </si>
  <si>
    <t xml:space="preserve">Chronurgy Wizard </t>
  </si>
  <si>
    <t>LEVEL</t>
  </si>
  <si>
    <t>Connor Armstrong</t>
  </si>
  <si>
    <t>CLASS(ES) &amp; LEVEL(S)</t>
  </si>
  <si>
    <t>PLAYER NAME</t>
  </si>
  <si>
    <t>Custom Helf</t>
  </si>
  <si>
    <t/>
  </si>
  <si>
    <t>EXPERIENCE</t>
  </si>
  <si>
    <t>NEXT LEVEL</t>
  </si>
  <si>
    <t>HP</t>
  </si>
  <si>
    <t>INSPIRATION</t>
  </si>
  <si>
    <t>BACKGROUND:</t>
  </si>
  <si>
    <t>STR</t>
  </si>
  <si>
    <t xml:space="preserve">Fazer manutenção </t>
  </si>
  <si>
    <t>PROFICIENCY BONUS</t>
  </si>
  <si>
    <t>AC</t>
  </si>
  <si>
    <t>INIT</t>
  </si>
  <si>
    <t>SPEED</t>
  </si>
  <si>
    <t>PERSONALITY TRAITS</t>
  </si>
  <si>
    <t>Hit Point Max</t>
  </si>
  <si>
    <t>DEX</t>
  </si>
  <si>
    <t>Strength</t>
  </si>
  <si>
    <t>50</t>
  </si>
  <si>
    <t>Dexterity</t>
  </si>
  <si>
    <t>Constitution</t>
  </si>
  <si>
    <t>CURRENT HIT POINTS</t>
  </si>
  <si>
    <t>IDEALS</t>
  </si>
  <si>
    <t>Intelligence</t>
  </si>
  <si>
    <t>Condition</t>
  </si>
  <si>
    <t>-</t>
  </si>
  <si>
    <t>Wisdom</t>
  </si>
  <si>
    <t>CON</t>
  </si>
  <si>
    <t>Charisma</t>
  </si>
  <si>
    <t>SAVING THROWS</t>
  </si>
  <si>
    <t>TEMPORARY HIT POINTS</t>
  </si>
  <si>
    <t>BONDS</t>
  </si>
  <si>
    <t>Acrobatics</t>
  </si>
  <si>
    <t xml:space="preserve"> (Dex)</t>
  </si>
  <si>
    <t>SUC.</t>
  </si>
  <si>
    <t>Animal Handling</t>
  </si>
  <si>
    <t>(Wis)</t>
  </si>
  <si>
    <t>FAIL.</t>
  </si>
  <si>
    <t>INT</t>
  </si>
  <si>
    <t>Arcana</t>
  </si>
  <si>
    <t xml:space="preserve">(Int) </t>
  </si>
  <si>
    <t>HIT DICE</t>
  </si>
  <si>
    <t>FLAWS</t>
  </si>
  <si>
    <t>Athletics</t>
  </si>
  <si>
    <t xml:space="preserve">(Str)    </t>
  </si>
  <si>
    <t>ALIGNMENT:</t>
  </si>
  <si>
    <t>Deception</t>
  </si>
  <si>
    <t xml:space="preserve">  (Cha) </t>
  </si>
  <si>
    <t>History</t>
  </si>
  <si>
    <t xml:space="preserve">(Int)  </t>
  </si>
  <si>
    <t>Insight</t>
  </si>
  <si>
    <t xml:space="preserve">   (Wis)</t>
  </si>
  <si>
    <t>NAME</t>
  </si>
  <si>
    <t>ATK BONUS</t>
  </si>
  <si>
    <t>DAMAGE/TYPE</t>
  </si>
  <si>
    <t>WIS</t>
  </si>
  <si>
    <t>Intimidation</t>
  </si>
  <si>
    <t xml:space="preserve"> (Cha)</t>
  </si>
  <si>
    <t>Dagger</t>
  </si>
  <si>
    <t>Investigation</t>
  </si>
  <si>
    <t xml:space="preserve">  (Int)</t>
  </si>
  <si>
    <t>Medicine</t>
  </si>
  <si>
    <t xml:space="preserve">(Wis)   </t>
  </si>
  <si>
    <t>Nature</t>
  </si>
  <si>
    <t xml:space="preserve"> (Int)</t>
  </si>
  <si>
    <t>Perception</t>
  </si>
  <si>
    <t>CHA</t>
  </si>
  <si>
    <t>Performance</t>
  </si>
  <si>
    <t>(Cha)</t>
  </si>
  <si>
    <t>Persuasion</t>
  </si>
  <si>
    <t xml:space="preserve">(Cha) </t>
  </si>
  <si>
    <t>Religion</t>
  </si>
  <si>
    <t>Sleight of Hand</t>
  </si>
  <si>
    <t>(Dex)</t>
  </si>
  <si>
    <t>Stealth</t>
  </si>
  <si>
    <t xml:space="preserve">(Dex) </t>
  </si>
  <si>
    <t>Survival</t>
  </si>
  <si>
    <t xml:space="preserve">  (Wis) </t>
  </si>
  <si>
    <t>PASSIVE WISDOM (PERCEPTION)</t>
  </si>
  <si>
    <t>Dwarvish</t>
  </si>
  <si>
    <t>Draconic</t>
  </si>
  <si>
    <t>Armor Proficiencies:</t>
  </si>
  <si>
    <t>Giant</t>
  </si>
  <si>
    <t>Weapon Proficiencies:</t>
  </si>
  <si>
    <t>Other Proficiencies:</t>
  </si>
  <si>
    <t>Other Speeds:</t>
  </si>
  <si>
    <t>PROFICIENCIES</t>
  </si>
  <si>
    <t>Recuperação arcana</t>
  </si>
  <si>
    <t>Coroa de ossos</t>
  </si>
  <si>
    <t>Telekinetic (BA)</t>
  </si>
  <si>
    <t>Ritual casting</t>
  </si>
  <si>
    <t>perna de pau</t>
  </si>
  <si>
    <t>ASI int</t>
  </si>
  <si>
    <t>Chronal shift (0)</t>
  </si>
  <si>
    <t>Oculos de identificar</t>
  </si>
  <si>
    <t>◅ Language List</t>
  </si>
  <si>
    <t>◅ Non-race Languages</t>
  </si>
  <si>
    <t>◅ Backgrounds</t>
  </si>
  <si>
    <t>◅ Associated Skills</t>
  </si>
  <si>
    <t>◅ # of Languages</t>
  </si>
  <si>
    <t>◅ Tool Proficiencies</t>
  </si>
  <si>
    <t>◅ Vehicle Proficiencies</t>
  </si>
  <si>
    <t>◅ Sorted for Menus</t>
  </si>
  <si>
    <t>momentary stasis (5)</t>
  </si>
  <si>
    <t>Braço novo!!</t>
  </si>
  <si>
    <t>Thieves' Cant</t>
  </si>
  <si>
    <t>Acolyte</t>
  </si>
  <si>
    <t>Insight, Religion</t>
  </si>
  <si>
    <t>Druidic</t>
  </si>
  <si>
    <t>Charlatan</t>
  </si>
  <si>
    <t>Deception, Sleight of Hand</t>
  </si>
  <si>
    <t>Deep Speech</t>
  </si>
  <si>
    <t>Criminal</t>
  </si>
  <si>
    <t>Deception, Stealth</t>
  </si>
  <si>
    <t>Entertainer</t>
  </si>
  <si>
    <t>Acrobatics, Performance</t>
  </si>
  <si>
    <t>Folk Hero</t>
  </si>
  <si>
    <t>Animal Handling, Survival</t>
  </si>
  <si>
    <t>Elvish</t>
  </si>
  <si>
    <t>Guild Artisan</t>
  </si>
  <si>
    <t>Insight, Persuasion</t>
  </si>
  <si>
    <t>Hermit</t>
  </si>
  <si>
    <t>Medicine, Religion</t>
  </si>
  <si>
    <t>Gnomish</t>
  </si>
  <si>
    <t>Noble</t>
  </si>
  <si>
    <t>History, Persuasion</t>
  </si>
  <si>
    <t>Halfling</t>
  </si>
  <si>
    <t>Outlander</t>
  </si>
  <si>
    <t>Athletics, Survival</t>
  </si>
  <si>
    <t>Infernal</t>
  </si>
  <si>
    <t>Sage</t>
  </si>
  <si>
    <t>Arcana, History</t>
  </si>
  <si>
    <t>Orc</t>
  </si>
  <si>
    <t>Sailor</t>
  </si>
  <si>
    <t>Athletics, Perception</t>
  </si>
  <si>
    <t>Soldier</t>
  </si>
  <si>
    <t>Athletics, Intimidation</t>
  </si>
  <si>
    <t>Urchin</t>
  </si>
  <si>
    <t>Sleight of Hand, Stealth</t>
  </si>
  <si>
    <t xml:space="preserve">FEATURES &amp; TRAITS     </t>
  </si>
  <si>
    <t>Right click and 'Insert note' to add details on any box.</t>
  </si>
  <si>
    <t>SPELLCASTING</t>
  </si>
  <si>
    <t>SPELL</t>
  </si>
  <si>
    <t>Wizard</t>
  </si>
  <si>
    <t>ABILITY</t>
  </si>
  <si>
    <t>SAVE DC</t>
  </si>
  <si>
    <t>ATTACK BONUS</t>
  </si>
  <si>
    <t>c</t>
  </si>
  <si>
    <t>shape water</t>
  </si>
  <si>
    <t>mind sliver</t>
  </si>
  <si>
    <t>CANTRIPS</t>
  </si>
  <si>
    <t>minor ilusion</t>
  </si>
  <si>
    <t>firebolt</t>
  </si>
  <si>
    <t>message</t>
  </si>
  <si>
    <t>Mage hand</t>
  </si>
  <si>
    <t>silveri barbs</t>
  </si>
  <si>
    <t>find familiar (R)</t>
  </si>
  <si>
    <t>jim malgic missile</t>
  </si>
  <si>
    <t>SLOTS</t>
  </si>
  <si>
    <t>MAX</t>
  </si>
  <si>
    <t>shield</t>
  </si>
  <si>
    <t>comprehend languages (R)</t>
  </si>
  <si>
    <t>Identifi (R)</t>
  </si>
  <si>
    <t>2</t>
  </si>
  <si>
    <t>sleep</t>
  </si>
  <si>
    <t>absorb elenents</t>
  </si>
  <si>
    <t>magic missile</t>
  </si>
  <si>
    <t>charm person</t>
  </si>
  <si>
    <t>mage armor</t>
  </si>
  <si>
    <t>feather fall</t>
  </si>
  <si>
    <t>SELL POINTS</t>
  </si>
  <si>
    <t>5</t>
  </si>
  <si>
    <t>misty stp (BA)</t>
  </si>
  <si>
    <t>invisibilidade</t>
  </si>
  <si>
    <t>3</t>
  </si>
  <si>
    <t>Web</t>
  </si>
  <si>
    <t>shatter</t>
  </si>
  <si>
    <t>scorching ray</t>
  </si>
  <si>
    <t>kinock</t>
  </si>
  <si>
    <t>detect toughts</t>
  </si>
  <si>
    <t>enhance ability</t>
  </si>
  <si>
    <t>Darkness</t>
  </si>
  <si>
    <t xml:space="preserve">             </t>
  </si>
  <si>
    <t>Bola de fogo</t>
  </si>
  <si>
    <t>Displel magic</t>
  </si>
  <si>
    <t>haste</t>
  </si>
  <si>
    <t>Sendingo</t>
  </si>
  <si>
    <t>Water brathing</t>
  </si>
  <si>
    <t>Hypnotic pattern</t>
  </si>
  <si>
    <t>Counterspell</t>
  </si>
  <si>
    <t>Polymorph</t>
  </si>
  <si>
    <t>Freedom of moovement</t>
  </si>
  <si>
    <t>7</t>
  </si>
  <si>
    <t>Dicination (R)</t>
  </si>
  <si>
    <t>wall of fire</t>
  </si>
  <si>
    <t>stone shape</t>
  </si>
  <si>
    <t>AGE</t>
  </si>
  <si>
    <t>HEIGHT</t>
  </si>
  <si>
    <t>WEIGHT</t>
  </si>
  <si>
    <t>SIZE</t>
  </si>
  <si>
    <t>GENDER</t>
  </si>
  <si>
    <t>EYES</t>
  </si>
  <si>
    <t>HAIR</t>
  </si>
  <si>
    <t>SKIN</t>
  </si>
  <si>
    <t>Name</t>
  </si>
  <si>
    <t>Top</t>
  </si>
  <si>
    <t>Bottom</t>
  </si>
  <si>
    <t>Dragon</t>
  </si>
  <si>
    <t>http://i.imgur.com/3GVZzam.png</t>
  </si>
  <si>
    <t>http://i.imgur.com/miU7se3.png</t>
  </si>
  <si>
    <t>Undead</t>
  </si>
  <si>
    <t>http://i.imgur.com/Yw2rhH6.png</t>
  </si>
  <si>
    <t>https://i.imgur.com/G8kk6zf.png</t>
  </si>
  <si>
    <t>Magic</t>
  </si>
  <si>
    <t>http://i.imgur.com/Pnzh0Lq.png</t>
  </si>
  <si>
    <t>Airship</t>
  </si>
  <si>
    <t>http://i.imgur.com/4GdhXW2.png</t>
  </si>
  <si>
    <t>Artificer</t>
  </si>
  <si>
    <t>https://i.imgur.com/tVDSt3v.png</t>
  </si>
  <si>
    <t>Barbarian</t>
  </si>
  <si>
    <t>https://i.imgur.com/gjtfTEm.png</t>
  </si>
  <si>
    <t>Bard</t>
  </si>
  <si>
    <t>https://i.imgur.com/5HYYXoz.png</t>
  </si>
  <si>
    <t xml:space="preserve">               ALLIES &amp; ORGANIZATIONS</t>
  </si>
  <si>
    <t>Cleric</t>
  </si>
  <si>
    <t>https://i.imgur.com/hOgeNi7.png</t>
  </si>
  <si>
    <t>Druid</t>
  </si>
  <si>
    <t>https://i.imgur.com/5ZZQ7Jh.png</t>
  </si>
  <si>
    <t>Fighter</t>
  </si>
  <si>
    <t>https://i.imgur.com/UI4mejB.png</t>
  </si>
  <si>
    <t>Monk</t>
  </si>
  <si>
    <t>https://i.imgur.com/lqUQ6YL.png</t>
  </si>
  <si>
    <t>Paladin</t>
  </si>
  <si>
    <t>https://i.imgur.com/uSFG6vd.png</t>
  </si>
  <si>
    <t>Ranger</t>
  </si>
  <si>
    <t>https://i.imgur.com/x6BHYTe.png</t>
  </si>
  <si>
    <t>Rogue</t>
  </si>
  <si>
    <t>https://i.imgur.com/3llLqBB.png</t>
  </si>
  <si>
    <t>Sorcerer</t>
  </si>
  <si>
    <t>https://i.imgur.com/ssrZYbl.png</t>
  </si>
  <si>
    <t>CHARACTER APPEARANCE</t>
  </si>
  <si>
    <t>Warlock</t>
  </si>
  <si>
    <t>https://i.imgur.com/QBhqRiG.png</t>
  </si>
  <si>
    <t>https://i.imgur.com/EOiSGxi.png</t>
  </si>
  <si>
    <t>Verbose</t>
  </si>
  <si>
    <t>https://i.imgur.com/VyFvlcw.png</t>
  </si>
  <si>
    <t>Blue</t>
  </si>
  <si>
    <t>Iconic</t>
  </si>
  <si>
    <t>https://i.imgur.com/Nh6zWQZ.png</t>
  </si>
  <si>
    <t>HEADER</t>
  </si>
  <si>
    <t>COLOR SCHEME</t>
  </si>
  <si>
    <t>Blank</t>
  </si>
  <si>
    <t>https://i.imgur.com/iDgWYL1.png</t>
  </si>
  <si>
    <t>APPEARANCE URL</t>
  </si>
  <si>
    <t>SYMBOL URL</t>
  </si>
  <si>
    <t>CUSTOMIZATION</t>
  </si>
  <si>
    <t>CHARACTER BACKSTORY</t>
  </si>
  <si>
    <t>v2.1 sheet by I F Evans based on v1.3 sheet by DM David Lester based on the official D&amp;D character sheet available at Wizards.com/DnD.  (TM &amp; © 2014 Wizards of the Coast LLC.)</t>
  </si>
  <si>
    <t>1ST LEVEL</t>
  </si>
  <si>
    <t>2ND LEVEL</t>
  </si>
  <si>
    <t>3RD LEVEL</t>
  </si>
  <si>
    <t>4TH LEVEL</t>
  </si>
  <si>
    <t>5TH LEVEL</t>
  </si>
  <si>
    <t>6TH LEVEL</t>
  </si>
  <si>
    <t>7TH LEVEL</t>
  </si>
  <si>
    <t>8TH LEVEL</t>
  </si>
  <si>
    <t>9TH LEVEL</t>
  </si>
  <si>
    <t>bludgeoning</t>
  </si>
  <si>
    <t>piercing</t>
  </si>
  <si>
    <t>CLASS</t>
  </si>
  <si>
    <t>RESISTANCES</t>
  </si>
  <si>
    <t>IMMUNITIES</t>
  </si>
  <si>
    <t>VULNERABILITIES</t>
  </si>
  <si>
    <t>slashing</t>
  </si>
  <si>
    <t>acid</t>
  </si>
  <si>
    <t>cold</t>
  </si>
  <si>
    <t>fire</t>
  </si>
  <si>
    <t>force</t>
  </si>
  <si>
    <t>lightning</t>
  </si>
  <si>
    <t>necrotic</t>
  </si>
  <si>
    <t>poison</t>
  </si>
  <si>
    <t>psychic</t>
  </si>
  <si>
    <t>radiant</t>
  </si>
  <si>
    <t>thunder</t>
  </si>
  <si>
    <t>CP</t>
  </si>
  <si>
    <t>SP</t>
  </si>
  <si>
    <t>GP</t>
  </si>
  <si>
    <t>PP</t>
  </si>
  <si>
    <t>COINS</t>
  </si>
  <si>
    <t>WEALTH</t>
  </si>
  <si>
    <t>#</t>
  </si>
  <si>
    <t>ITEM</t>
  </si>
  <si>
    <t>BACKPACK</t>
  </si>
  <si>
    <t>COST</t>
  </si>
  <si>
    <t>EQUIPPED</t>
  </si>
  <si>
    <t>TREASURE</t>
  </si>
  <si>
    <t>Cost</t>
  </si>
  <si>
    <t>Weight</t>
  </si>
  <si>
    <t>GEAR &amp; LOOT</t>
  </si>
  <si>
    <t>/</t>
  </si>
  <si>
    <t>PARTY LOOT</t>
  </si>
  <si>
    <t>PARTY GOLD LEDGER</t>
  </si>
  <si>
    <t>AMOUNT</t>
  </si>
  <si>
    <t>NOTE</t>
  </si>
  <si>
    <t>component pouch</t>
  </si>
  <si>
    <t>grimoire</t>
  </si>
  <si>
    <t>Coin</t>
  </si>
  <si>
    <t>Max</t>
  </si>
  <si>
    <t>INVENTORY &amp; TREASURE</t>
  </si>
  <si>
    <t>Make a Copy</t>
  </si>
  <si>
    <t>To use the sheet at all, you need to first go to File &gt; Make a copy... to make your own copy to edit.</t>
  </si>
  <si>
    <t>Don't move any of the cells around and never insert extra rows or columns.</t>
  </si>
  <si>
    <t>Formulas</t>
  </si>
  <si>
    <t>Most boxes automatically calculate, including modifiers, skill totals, PHB weapons and the equipment section.  Check the formula bar at the top</t>
  </si>
  <si>
    <t>to see if there is a formula before filling out a field. If you have a bonus from another source that isn't accounted for, DON'T DELETE THE FORMULA,</t>
  </si>
  <si>
    <t>just add an extra +# in there along with other +'s at the end. Some things are now accountable for using the Info tabs.</t>
  </si>
  <si>
    <t>Radio Buttons / Blank Diamonds</t>
  </si>
  <si>
    <t>The sheet includes some faux radio buttons.  To "fill in" the buttons, enter any character you wish ('x', '1', etc) except '0'.</t>
  </si>
  <si>
    <t>Entering '0' into a radio button will clear it. The skill buttons additionally support 'e' for expertise, and double proficiency bonus appropriately.</t>
  </si>
  <si>
    <t>Half proficiency is accounted for automatically if you are a bard of appropriate level.</t>
  </si>
  <si>
    <t>Notes</t>
  </si>
  <si>
    <t>Read ALL the notes I've added! And you can add your own. Right click and "Insert note" to add details for features, traits, and so on.</t>
  </si>
  <si>
    <t>Equipment &amp; Treasure</t>
  </si>
  <si>
    <t>The sheet auto-calculates total weight and wealth (coin wealth separately) along with comparing total weight to your carry capacity.</t>
  </si>
  <si>
    <t>When filling in value, you're free to use denomination symbols, like "cp" and "gp" after the value.  Otherwise the sheet will assume gp.</t>
  </si>
  <si>
    <t>(Ex: "2 cp", "1 sp", "500 pp", "100,000 gp")  In contrast, weight is always lb. so just use plain numbers.  (0.5 will be converted to 1/2 lb. and so on.)</t>
  </si>
  <si>
    <t>Never drag entries around, this ruins the formatting, only copy/paste and delete the previous.  This goes for most of the sheet.</t>
  </si>
  <si>
    <t>Spells</t>
  </si>
  <si>
    <t xml:space="preserve">Radio buttons are used to represent prepared spells  You can hide spell level blocks by selecting/hiding their rows, convenient for lower-level </t>
  </si>
  <si>
    <t>characters. Multiclassing isn't well supported in the spells section if you have different spellcasting abilities for each class, but the granted spell slots</t>
  </si>
  <si>
    <t>by level will add up to the correct amount.</t>
  </si>
  <si>
    <t>Weapons, Equipable Items, Races, &amp; Classes</t>
  </si>
  <si>
    <t>The sheet automatically recognizes all PHB weapons and armor, along with most races and classes. To add your own homebrew, navigate to the</t>
  </si>
  <si>
    <t xml:space="preserve">appropriate Info sheet (e.g. Gear Info for Armor) and fill in the details for your weapon/armor/item/race/class. It will then be selectable from the </t>
  </si>
  <si>
    <t>appropriate dropdown menus in each section (classes aren't dropdown, just fill the Class and Levels cell in and spell everything right).</t>
  </si>
  <si>
    <t>Customization</t>
  </si>
  <si>
    <t>You can use the dropbown boxes to select alternate headers or color schemes. If you don't select a header, the header will automatically change to</t>
  </si>
  <si>
    <t>the header for the class you chose at 1st level. You can copy the blank headers and make your own as well. You can insert your own images for your</t>
  </si>
  <si>
    <t>character's appearance and symbol, just paste the image's URL in Customization where noted.  Appearance images should be 251x335+ pixels while</t>
  </si>
  <si>
    <t>symbol images should be 188x188+ pixels.  Entering a faction name ("Harpers", "Order of the Gauntlet", etc) will make a banner automatically appear.</t>
  </si>
  <si>
    <t>Blank Space</t>
  </si>
  <si>
    <t>A lot of the blank space around the sheet is now used. To the right of the HP/AC/INIT section is a column for entering your rolled hit points at each</t>
  </si>
  <si>
    <t>level. To the RIGHT of the skills and saves is where you can override the automatically calculated adv/dis. And more. See the notes.</t>
  </si>
  <si>
    <t>Have Fun</t>
  </si>
  <si>
    <t>Send questions/comments/suggestions about the original sheet to dallanlester@gmail.com. (Don't bother him about formulas though) Seriously,</t>
  </si>
  <si>
    <t>there isn't much for you to email him about at this point. Ask questions on the Avrae Dev Server. Someone will be able to answer them.</t>
  </si>
  <si>
    <t>Companion/Mounts</t>
  </si>
  <si>
    <t>Below is a section that can no longer be copy/pasted over anything since PROFICIENCIES is used in the formulas.</t>
  </si>
  <si>
    <t>Coming Never</t>
  </si>
  <si>
    <t>The big plan was to create a Builder page to have things even more automated and also include better support for homebrew. That isn't happening.</t>
  </si>
  <si>
    <t xml:space="preserve">         FEATURES &amp; INTSTRUCTIONS</t>
  </si>
  <si>
    <t>DON'T copy and paste this box over NOTES for a companion. NOTES has been changed to</t>
  </si>
  <si>
    <t>PROFICIENCIES, and is referenced by the formulas used to determine attack bonuses.</t>
  </si>
  <si>
    <t>Speed</t>
  </si>
  <si>
    <t>NOTE: Classes with spaces in their names will not work due to limitations of the system.</t>
  </si>
  <si>
    <t>I might eventually figure out a workaround for this, but don't hold your breath. Even once</t>
  </si>
  <si>
    <t>I get space-name classes working, Blood Hunter will probably still not fully be supported</t>
  </si>
  <si>
    <t>because there are several things the class does that are unlike anything else and working</t>
  </si>
  <si>
    <t>COMPANION</t>
  </si>
  <si>
    <t>all that into the system simply isn't worth my time.</t>
  </si>
  <si>
    <t>WEAPONS &amp; ATTACKS</t>
  </si>
  <si>
    <t>If you are adding weapons/attacks, be sure to follow
the format of the existing weapons.</t>
  </si>
  <si>
    <t>If a weapon/attack doesn't have a certain quality,
put only a minus sign (-) in that cell.
DO NOT LEAVE CELLS BLANK.</t>
  </si>
  <si>
    <t>Attack/Weapon Name</t>
  </si>
  <si>
    <t>Damage
Die</t>
  </si>
  <si>
    <t>Damage
Type</t>
  </si>
  <si>
    <t>Proficiency
Category</t>
  </si>
  <si>
    <t>Range
Classification</t>
  </si>
  <si>
    <t>Monk
Weapon</t>
  </si>
  <si>
    <t>Enchantment
Bonus</t>
  </si>
  <si>
    <t>Bonus
Damage
Die</t>
  </si>
  <si>
    <t>Bonus
Damage
Type</t>
  </si>
  <si>
    <t>Attack
Ability
Override</t>
  </si>
  <si>
    <t>Weapon Properties</t>
  </si>
  <si>
    <t>Apply
Ability
Mod?</t>
  </si>
  <si>
    <t>Unarmed Strike</t>
  </si>
  <si>
    <t>Unarmed</t>
  </si>
  <si>
    <t>Melee</t>
  </si>
  <si>
    <t>Two-Handed Unarmed Strike</t>
  </si>
  <si>
    <t>Natural</t>
  </si>
  <si>
    <t>Improvised Weapon</t>
  </si>
  <si>
    <t>1d4</t>
  </si>
  <si>
    <t>Improvised</t>
  </si>
  <si>
    <t>Melee or Ranged</t>
  </si>
  <si>
    <t>Club</t>
  </si>
  <si>
    <t>Simple</t>
  </si>
  <si>
    <t>Light</t>
  </si>
  <si>
    <t>Offhand Club</t>
  </si>
  <si>
    <t>Finesse, Light, Thrown (range 20/60)</t>
  </si>
  <si>
    <t>Offhand Dagger</t>
  </si>
  <si>
    <t>Greatclub</t>
  </si>
  <si>
    <t>1d8</t>
  </si>
  <si>
    <t>Two-Handed</t>
  </si>
  <si>
    <t>Handaxe</t>
  </si>
  <si>
    <t>Light, Thrown (range 20/60)</t>
  </si>
  <si>
    <t>Offhand Handaxe</t>
  </si>
  <si>
    <t>Javelin</t>
  </si>
  <si>
    <t>Thrown (range 30/120)</t>
  </si>
  <si>
    <t>Light Hammer</t>
  </si>
  <si>
    <t>Offhand Light Hammer</t>
  </si>
  <si>
    <t>Mace</t>
  </si>
  <si>
    <t>Offhand Mace</t>
  </si>
  <si>
    <t>Quarterstaff</t>
  </si>
  <si>
    <t>Versatile (1d8)</t>
  </si>
  <si>
    <t>Two-Handed Quarterstaff</t>
  </si>
  <si>
    <t>Quarterstaff (Opposite End)</t>
  </si>
  <si>
    <t>Sickle</t>
  </si>
  <si>
    <t>Offhand Sickle</t>
  </si>
  <si>
    <t>Spear</t>
  </si>
  <si>
    <t>Thrown (range 20/60), Versatile (1d8)</t>
  </si>
  <si>
    <t>Spear (Opposite End)</t>
  </si>
  <si>
    <t>Two-Handed Spear</t>
  </si>
  <si>
    <t>Light Crossbow</t>
  </si>
  <si>
    <t>Ranged</t>
  </si>
  <si>
    <t>Ammunition (range 80/320), Loading, Two-Handed</t>
  </si>
  <si>
    <t>Dart</t>
  </si>
  <si>
    <t>Finesse, Thrown (range 20/60)</t>
  </si>
  <si>
    <t>Shortbow</t>
  </si>
  <si>
    <t>1d6</t>
  </si>
  <si>
    <t>Ammunition (range 80/320), Two-Handed</t>
  </si>
  <si>
    <t>Sling</t>
  </si>
  <si>
    <t>Ammunition (range 30/120)</t>
  </si>
  <si>
    <t>Battleaxe</t>
  </si>
  <si>
    <t>Martial</t>
  </si>
  <si>
    <t>Versatile (1d10)</t>
  </si>
  <si>
    <t>Two-Handed Battleaxe</t>
  </si>
  <si>
    <t>1d10</t>
  </si>
  <si>
    <t>Offhand Battleaxe</t>
  </si>
  <si>
    <t>Flail</t>
  </si>
  <si>
    <t>Offhand Flail</t>
  </si>
  <si>
    <t>Glaive</t>
  </si>
  <si>
    <t>Heavy, Reach, Two-Handed</t>
  </si>
  <si>
    <t>Glaive (Opposite End)</t>
  </si>
  <si>
    <t>Greataxe</t>
  </si>
  <si>
    <t>1d12</t>
  </si>
  <si>
    <t>Heavy, Two-Handed</t>
  </si>
  <si>
    <t>Greatsword</t>
  </si>
  <si>
    <t>2d6</t>
  </si>
  <si>
    <t>Halberd</t>
  </si>
  <si>
    <t>Halberd (Opposite End)</t>
  </si>
  <si>
    <t>Lance</t>
  </si>
  <si>
    <t>Reach, Special - You have disadvantage when you use a lance to attack a target within 5 feet of you. Also, a lance requires two hands to wield when you aren't mounted.</t>
  </si>
  <si>
    <t>Longsword</t>
  </si>
  <si>
    <t>Two-Handed Longsword</t>
  </si>
  <si>
    <t>Offhand Longsword</t>
  </si>
  <si>
    <t>Maul</t>
  </si>
  <si>
    <t>Morningstar</t>
  </si>
  <si>
    <t>Offhand Morningstar</t>
  </si>
  <si>
    <t>Pike</t>
  </si>
  <si>
    <t>Pike (Opposite End)</t>
  </si>
  <si>
    <t>Rapier</t>
  </si>
  <si>
    <t>Finesse</t>
  </si>
  <si>
    <t>Offhand Rapier</t>
  </si>
  <si>
    <t>Scimitar</t>
  </si>
  <si>
    <t>Finesse, Light</t>
  </si>
  <si>
    <t>Offhand Scimitar</t>
  </si>
  <si>
    <t>Shortsword</t>
  </si>
  <si>
    <t>Offhand Shortsword</t>
  </si>
  <si>
    <t>Trident</t>
  </si>
  <si>
    <t>Two-Handed Trident</t>
  </si>
  <si>
    <t>War Pick</t>
  </si>
  <si>
    <t>Offhand War Pick</t>
  </si>
  <si>
    <t>Warhammer</t>
  </si>
  <si>
    <t>Two-Handed Warhammer</t>
  </si>
  <si>
    <t>Offhand Warhammer</t>
  </si>
  <si>
    <t>Whip</t>
  </si>
  <si>
    <t>Finesse, Reach</t>
  </si>
  <si>
    <t>Blowgun</t>
  </si>
  <si>
    <t>Ammunition (range 25/100), Loading</t>
  </si>
  <si>
    <t>Hand Crossbow</t>
  </si>
  <si>
    <t>Ammunition (range 30/120), Light, Loading</t>
  </si>
  <si>
    <t>Heavy Crossbow</t>
  </si>
  <si>
    <t>Ammunition (range 100/400), Heavy, Loading, Two-Handed</t>
  </si>
  <si>
    <t>Longbow</t>
  </si>
  <si>
    <t>Ammunition (150/600), Heavy, Two-Handed</t>
  </si>
  <si>
    <t>Net</t>
  </si>
  <si>
    <t>Thrown (range 5/15), Special - A Large or smaller creature hit by a net is restrained until it is freed. See `!item net` for more details.</t>
  </si>
  <si>
    <t>Eldritch Blast</t>
  </si>
  <si>
    <t>Spell</t>
  </si>
  <si>
    <t>Dagger +1</t>
  </si>
  <si>
    <t>magical piercing</t>
  </si>
  <si>
    <t>Offhand Dagger +1</t>
  </si>
  <si>
    <t>Flame Tongue Longsword</t>
  </si>
  <si>
    <t>magical slashing</t>
  </si>
  <si>
    <t>Versatile (1d10)
**Flame Tongue**
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</si>
  <si>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Two-Handed Flame Tongue Longsword</t>
  </si>
  <si>
    <t>Fire Bolt</t>
  </si>
  <si>
    <t>Luck Blade Rapier</t>
  </si>
  <si>
    <t>Finesse
**Luck Blade**
You gain a +1 bonus to attack and damage rolls made with this magic weapon. While the sword is on your person, you also gain a +1 bonus to saving throws.
**Luck**
If the sword is on your person, you can call on its luck (no action required) to reroll one attack roll, ability check, or saving throw you dislike. You must use the second roll. This property can't be used again until the next dawn.
**Wish**
The sword has 1d4-1 charges. While holding it, you can use an action to expend 1 charge and cast the wish spell from it. This property can't be used again until the next dawn. The sword loses this property if it has no charges.</t>
  </si>
  <si>
    <t>Hammer of Thunderbolts</t>
  </si>
  <si>
    <t>magical bludgeoning</t>
  </si>
  <si>
    <t>Giant's Bane (Requires Attunement). You must be wearing a belt of giant strength (any variety) and gauntlets of ogre power to attune to this weapon. The attunement ends if you take off either of those items. While you are attuned to this weapon and holding it, your Strength score increases by 4 to a maximum of 30. When you roll a 20 on an attack roll made with this weapon against a giant, the giant must succeed on a DC 17 Constitution saving throw or die.
The hammer also has 5 charges. While attuned to it, you can expend 1 charge and make a ranged weapon attack with the hammer, hurling it as if it had the thrown property with a normal range of 20 feet and a long range of 60 feet. If the attack hits, the hammer unleashes a thunderclap audible out to 300 feet. The target and every creature within 30 feet of it must succeed on a DC 17 Constitution saving throw or be stunned until the end of your next turn. The hammer regains 1d4+1 expended charges daily at dawn.</t>
  </si>
  <si>
    <t>Longbow +1</t>
  </si>
  <si>
    <t>Silvered Rapier</t>
  </si>
  <si>
    <t>silvered piercing</t>
  </si>
  <si>
    <t>ARMOR &amp; WEARABLES</t>
  </si>
  <si>
    <t>If you are adding items, be sure to follow
the format of the existing items.</t>
  </si>
  <si>
    <t>If an item doesn't have a certain quality,
put only a minus sign (-) in that cell.
DO NOT LEAVE CELLS BLANK.</t>
  </si>
  <si>
    <t>Armor/Wearable Name</t>
  </si>
  <si>
    <t>Armor
Class
Bonus</t>
  </si>
  <si>
    <t>Maximum
Dexterity
Modifier</t>
  </si>
  <si>
    <t>Category</t>
  </si>
  <si>
    <t>Strength
Required</t>
  </si>
  <si>
    <t>Stealth
Dis/advantage</t>
  </si>
  <si>
    <t>Proficiency
Bonus
Bonus</t>
  </si>
  <si>
    <t>Skills
Bonus</t>
  </si>
  <si>
    <t>Saves
Bonus</t>
  </si>
  <si>
    <t>Additional
Properties</t>
  </si>
  <si>
    <t>Padded</t>
  </si>
  <si>
    <t>Light Armor</t>
  </si>
  <si>
    <t>Disadvantage</t>
  </si>
  <si>
    <t>Leather</t>
  </si>
  <si>
    <t>Studded Leather</t>
  </si>
  <si>
    <t>Hide</t>
  </si>
  <si>
    <t>Medium Armor</t>
  </si>
  <si>
    <t>Chain Shirt</t>
  </si>
  <si>
    <t>Scale Mail</t>
  </si>
  <si>
    <t>Breastplate</t>
  </si>
  <si>
    <t>Half Plate</t>
  </si>
  <si>
    <t>Ring Mail</t>
  </si>
  <si>
    <t>Heavy Armor</t>
  </si>
  <si>
    <t>Chain Mail</t>
  </si>
  <si>
    <t>Splint</t>
  </si>
  <si>
    <t>Plate</t>
  </si>
  <si>
    <t>Shield</t>
  </si>
  <si>
    <t>Common Clothes</t>
  </si>
  <si>
    <t>Clothes</t>
  </si>
  <si>
    <t>Costume</t>
  </si>
  <si>
    <t>Fine Clothes</t>
  </si>
  <si>
    <t>Traveler's Clothes</t>
  </si>
  <si>
    <t>Robes</t>
  </si>
  <si>
    <t>Vestments</t>
  </si>
  <si>
    <t>RACE OPTIONS</t>
  </si>
  <si>
    <t>If you are adding races, be sure to follow
the format of the existing races.</t>
  </si>
  <si>
    <t>If a race doesn't have a certain quality,
put only a minus sign (-) in that cell.
DO NOT LEAVE CELLS BLANK</t>
  </si>
  <si>
    <t>Race Name</t>
  </si>
  <si>
    <t>Ability Score Increases</t>
  </si>
  <si>
    <t>Natural
Armor
Class</t>
  </si>
  <si>
    <t>Bonus
HP per
Level</t>
  </si>
  <si>
    <t>Resistances, Immunities, and Vulnerabilities</t>
  </si>
  <si>
    <t>Languages</t>
  </si>
  <si>
    <t>Natural
Attack</t>
  </si>
  <si>
    <t>Bonus Weapon 
and Armor
Proficiencies</t>
  </si>
  <si>
    <t>Other
Features &amp;
Proficiencies</t>
  </si>
  <si>
    <t>Hill Dwarf</t>
  </si>
  <si>
    <t>con +2, wis +1</t>
  </si>
  <si>
    <t>Dwarven Resilience
You have advantage on saving throws against poison, and you have resistance against poison damage.</t>
  </si>
  <si>
    <t>Common, Dwarvish</t>
  </si>
  <si>
    <t>Battleaxe, Handaxe, Light Hammer, Warhammer</t>
  </si>
  <si>
    <t>1 Tool (Artisan's Tools)</t>
  </si>
  <si>
    <t>High Elf</t>
  </si>
  <si>
    <t>dex +2, int +1</t>
  </si>
  <si>
    <t>Common, Elvish, 1 extra</t>
  </si>
  <si>
    <t>Longsword, Shortsword, Shortbow, Longbow</t>
  </si>
  <si>
    <t>Keen Senses
You gain proficiency in the Perception skill.</t>
  </si>
  <si>
    <t>Lightfoot Halfling</t>
  </si>
  <si>
    <t>dex +2, cha +1</t>
  </si>
  <si>
    <t>Common, Halfling</t>
  </si>
  <si>
    <t>Human</t>
  </si>
  <si>
    <t>str +1, dex +1, con +1, int +1, wis +1, cha +1</t>
  </si>
  <si>
    <t>Common, 1 extra</t>
  </si>
  <si>
    <t>Black Dragonborn</t>
  </si>
  <si>
    <t>str +2, cha +1</t>
  </si>
  <si>
    <t>Damage Resistance
You have resistance to Acid damage.</t>
  </si>
  <si>
    <t>Common, Draconic</t>
  </si>
  <si>
    <t>Blue Dragonborn</t>
  </si>
  <si>
    <t>Damage Resistance
You have resistance to Lightning damage.</t>
  </si>
  <si>
    <t>Brass Dragonborn</t>
  </si>
  <si>
    <t>Damage Resistance
You have resistance to Fire damage.</t>
  </si>
  <si>
    <t>Bronze Dragonborn</t>
  </si>
  <si>
    <t>Copper Dragonborn</t>
  </si>
  <si>
    <t>Gold Dragonborn</t>
  </si>
  <si>
    <t>Green Dragonborn</t>
  </si>
  <si>
    <t>Damage Resistance
You have resistance to Poison damage.</t>
  </si>
  <si>
    <t>Red Dragonborn</t>
  </si>
  <si>
    <t>Silver Dragonborn</t>
  </si>
  <si>
    <t>Damage Resistance
You have resistance to Cold damage.</t>
  </si>
  <si>
    <t>White Dragonborn</t>
  </si>
  <si>
    <t>Rock Gnome</t>
  </si>
  <si>
    <t>int +2, con +1</t>
  </si>
  <si>
    <t>Common, Gnomish</t>
  </si>
  <si>
    <t>1 Tool (Tinker's Tools)</t>
  </si>
  <si>
    <t>Half-Elf</t>
  </si>
  <si>
    <t>cha +2, choose 2: str +1, dex +1, con +1, int +1, wis +1</t>
  </si>
  <si>
    <t>Skill Versatility
You gain proficiency in two skills of your choice.</t>
  </si>
  <si>
    <t>Half-Orc</t>
  </si>
  <si>
    <t>str +2, con +1</t>
  </si>
  <si>
    <t>--</t>
  </si>
  <si>
    <t>Common, Orc</t>
  </si>
  <si>
    <t>Menacing
You gain proficiency in the Intimidation skill.</t>
  </si>
  <si>
    <t>Tiefling</t>
  </si>
  <si>
    <t>int +1, cha +2</t>
  </si>
  <si>
    <t>Common, Infernal</t>
  </si>
  <si>
    <t>Common, Elvish, 3 extra</t>
  </si>
  <si>
    <t>There will be no more races added to this sheet.</t>
  </si>
  <si>
    <t>CLASSES &amp; SUBCLASSES</t>
  </si>
  <si>
    <t>If you are adding classes or subclasses, follow
the format of the existing classes and ADD THEM TO THE END, after the existing entries.</t>
  </si>
  <si>
    <t>If a class doesn't have or a subclass doesn't alter
something, put only a minus sign (-) in that cell.
DO NOT LEAVE CELLS BLANK.</t>
  </si>
  <si>
    <t>Class Name</t>
  </si>
  <si>
    <t>Subclass</t>
  </si>
  <si>
    <t>Alt
Armor
Class</t>
  </si>
  <si>
    <t>Hit Die
Size</t>
  </si>
  <si>
    <t>Init
Bonus</t>
  </si>
  <si>
    <t>Saving Throw
Proficiencies &amp;
Class Skills</t>
  </si>
  <si>
    <t>1st Level Exclusive
Proficiencies</t>
  </si>
  <si>
    <t>Additional/
Multiclassing Proficiencies</t>
  </si>
  <si>
    <t>Spellcasting Type</t>
  </si>
  <si>
    <t>Spellcasting
Ability</t>
  </si>
  <si>
    <t>Speed Increase</t>
  </si>
  <si>
    <t>10+dex+con</t>
  </si>
  <si>
    <t>d12</t>
  </si>
  <si>
    <t>Strength, Constitution, Choose 2, Animal Handling, Athletics, Intimidation, Nature, Perception, Survival</t>
  </si>
  <si>
    <t>Light Armor, Medium Armor</t>
  </si>
  <si>
    <t>Shields, Simple Weapons, Martial Weapons</t>
  </si>
  <si>
    <t>Berserker</t>
  </si>
  <si>
    <t>d8</t>
  </si>
  <si>
    <t>Dexterity, Charisma, Choose 2, Acrobatics, Animal Handling, Arcana, Athletics, Deception, History, Insight, Intimidation, Investigation, Medicine, Nature, Perception, Performance, Persuasion, Religion, Sleight of Hand, Stealth, Survival</t>
  </si>
  <si>
    <t>Simple Weapons, Hand Crossbow, Longsword, Rapier, Shortsword, 2 Tools (Musical Instruments)</t>
  </si>
  <si>
    <t>Light Armor, 1 Skill, 1 Tool (Musical Instrument)</t>
  </si>
  <si>
    <t>Full Caster</t>
  </si>
  <si>
    <t>Lore</t>
  </si>
  <si>
    <t>Wisdom, Charisma, Choose 2, History, Insight, Medicine, Persuasion, Religion</t>
  </si>
  <si>
    <t>Simple Weapons</t>
  </si>
  <si>
    <t>Light Armor, Medium Armor, Shields</t>
  </si>
  <si>
    <t>Life</t>
  </si>
  <si>
    <t>Intelligence, Wisdom, Choose 2, Arcana, Animal Handling, Insight, Medicine, Nature, Perception, Religion, Survival</t>
  </si>
  <si>
    <t>Club, Dagger, Dart, Javelin, Mace, Quarterstaff, Scimitar, Sickle, Sling, Spear</t>
  </si>
  <si>
    <t>Light Armor, Medium Armor, Shields, NoMetal, Druidic, 1 Tool (Herbalism Kit)</t>
  </si>
  <si>
    <t>Land</t>
  </si>
  <si>
    <t>d10</t>
  </si>
  <si>
    <t>Strength, Constitution, Choose 2, Acrobatics, Animal Handling, Athletics, History, Insight, Intimidation, Perception, Survival</t>
  </si>
  <si>
    <t>Light Armor, Medium Armor, Shields, Simple Weapons, Martial Weapons</t>
  </si>
  <si>
    <t>Champion</t>
  </si>
  <si>
    <t>10+dex+wis</t>
  </si>
  <si>
    <t>1 Tool (Artisan's Tools or Musical Instrument)</t>
  </si>
  <si>
    <t>Simple Weapons, Shortsword</t>
  </si>
  <si>
    <t>Open Hand</t>
  </si>
  <si>
    <t>Wisdom, Charisma, Choose 2, Athletics, Insight, Intimidation, Medicine, Persuasion, Religion</t>
  </si>
  <si>
    <t>Half Caster</t>
  </si>
  <si>
    <t>Devotion</t>
  </si>
  <si>
    <t>Strength, Dexterity, Choose 2, Animal Handling, Athletics, Insight, Investigation, Nature, Perception, Stealth, Survival</t>
  </si>
  <si>
    <t>Light Armor, Medium Armor, Shields, Simple Weapons, Martial Weapons, 1 Skill</t>
  </si>
  <si>
    <t>Hunter</t>
  </si>
  <si>
    <t>Dexterity, Intelligence, Choose 3, Acrobatics, Athletics, Deception, Insight, Intimidation, Investigation, Perception, Performance, Persuasion, Sleight of Hand, Stealth</t>
  </si>
  <si>
    <t>Simple Weapons, Hand Crossbow, Longsword, Rapier, Shortsword</t>
  </si>
  <si>
    <t>Light Armor, 1 Skill, Thieves' Cant, 1 Tool (Thieves' Tools)</t>
  </si>
  <si>
    <t>Thief</t>
  </si>
  <si>
    <t>d6</t>
  </si>
  <si>
    <t>Constitution, Charisma, Choose 2, Arcana, Deception, Insight, Intimidation, Persuasion, Religion</t>
  </si>
  <si>
    <t>Dagger, Dart, Sling, Quarterstaff, Light Crossbow</t>
  </si>
  <si>
    <t>Draconic Bloodline</t>
  </si>
  <si>
    <t>13+dex</t>
  </si>
  <si>
    <t>Wisdom, Charisma, Choose 2, Arcana, Deception, History, Intimidation, Investigation, Nature, Religion</t>
  </si>
  <si>
    <t>Light Armor, Simple Weapons</t>
  </si>
  <si>
    <t>Pact Magic</t>
  </si>
  <si>
    <t>Fiend</t>
  </si>
  <si>
    <t>Intelligence, Wisdom, Choose 2, Arcana, History, Insight, Investigation, Medicine, Religion</t>
  </si>
  <si>
    <t>Evocation</t>
  </si>
  <si>
    <t>There will be no more class options added to this sheet.</t>
  </si>
  <si>
    <t>Let's start a changelog.</t>
  </si>
  <si>
    <t>Tons of stuff had been changed up to this point from the original 2.1, but oh well.</t>
  </si>
  <si>
    <t>4.29.2021</t>
  </si>
  <si>
    <t>Fixed the calculation for tool proficiencies in cell C52.</t>
  </si>
  <si>
    <t>6.13.2021</t>
  </si>
  <si>
    <t>Added more conditional formatting to highlight when cells have not been filled in on the Info pages since that is the most common error.</t>
  </si>
  <si>
    <t>6.25.2021</t>
  </si>
  <si>
    <t>Made it actually look for Armor and Shield proficiency when it's written in manually in the Other Proficiencies area instead of just taking the Armored feats or multiclassing like normal.</t>
  </si>
  <si>
    <t>Accounted for people manually adding proficiencies to classes that have no armor proficiencies.</t>
  </si>
  <si>
    <t>7.4.2021</t>
  </si>
  <si>
    <t>Fixed that google cut off the ranges during import for race info.</t>
  </si>
  <si>
    <t>7.29.2021</t>
  </si>
  <si>
    <t>Added check for Lifedrinker invocation. If you have the invocation and an attack that has "pact" in it, it will apply properly now.</t>
  </si>
  <si>
    <t>8.11.2021</t>
  </si>
  <si>
    <t>Stopped giving racial tool proficiencies twice. The fix did not take 4 days, I just forgot to erase that from the name cell.</t>
  </si>
  <si>
    <t>8.15.2021</t>
  </si>
  <si>
    <t>Fixed Data Validation range for Equipped Items section. Only saw up to row 95, now sees the whole Gear Info page.</t>
  </si>
  <si>
    <t>9.18.2021</t>
  </si>
  <si>
    <t>Added support for the Lightly Armored feat because the other two Armored feats were already in there.</t>
  </si>
  <si>
    <t>9.20.2021</t>
  </si>
  <si>
    <t>Finally gave rogues proficiency with Thieves' Tools so it'll say they right number of Tool Proficiencies in the Proficiency box.</t>
  </si>
  <si>
    <t>3.10.2023</t>
  </si>
  <si>
    <t>Fixed some missing image issues.</t>
  </si>
  <si>
    <t>3.25.2023</t>
  </si>
  <si>
    <t>Brand new inventory sheet. Hated the way gsheet never loads tall images properly, so made the inventory sheet into several boxes for tracking different things instead.</t>
  </si>
  <si>
    <t>3.26.2023</t>
  </si>
  <si>
    <t>Reverted inventory sheet, but fixed gsheet tall images. New format was breaking Avrae import. Hid the new inventory sheet for potential future use - Croebh</t>
  </si>
  <si>
    <t>5.13.2023</t>
  </si>
  <si>
    <t>Removed all non-SRD options from the Race Info and Class Info pages.</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</si>
</sst>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quot;&quot;;&quot;&quot;;&quot;&quot;;&quot;&quot;"/>
    <numFmt numFmtId="165" formatCode="##;-##;0"/>
    <numFmt numFmtId="166" formatCode="#,###;-#,###;0"/>
    <numFmt numFmtId="167" formatCode="&quot;✧&quot;;&quot;✧&quot;;&quot;&quot;;&quot;✧&quot;"/>
    <numFmt numFmtId="168" formatCode=" ; ; ; "/>
    <numFmt numFmtId="169" formatCode="&quot;+&quot;#;&quot;-&quot;#;+0"/>
    <numFmt numFmtId="170" formatCode="0&quot; ft&quot;"/>
    <numFmt numFmtId="171" formatCode="&quot;+&quot;0;&quot;-&quot;0"/>
    <numFmt numFmtId="172" formatCode="&quot;+&quot;#;&quot;-&quot;#"/>
    <numFmt numFmtId="173" formatCode="#;-#;00"/>
    <numFmt numFmtId="174" formatCode="#;-#;0"/>
    <numFmt numFmtId="175" formatCode="#,###"/>
    <numFmt numFmtId="176" formatCode="◉;◉;〇;◉"/>
    <numFmt numFmtId="177" formatCode="#,##0.00 gp; -#,##0.00 gp;0.0  gp"/>
    <numFmt numFmtId="178" formatCode="#,### #/## &quot;lb.&quot;"/>
    <numFmt numFmtId="179" formatCode="#,###.##&quot; gp&quot;;-#,###.##&quot; gp&quot;;&quot;Priceless&quot;"/>
    <numFmt numFmtId="180" formatCode="&quot;+&quot;#;&quot;-&quot;#;&quot;+&quot;0"/>
    <numFmt numFmtId="181" formatCode="# &quot;ft.&quot;"/>
    <numFmt numFmtId="182" formatCode="#,### &quot;lb.&quot;"/>
    <numFmt numFmtId="183" formatCode="◆;◆;◇;◆"/>
    <numFmt numFmtId="184" formatCode="#,###.##&quot; gp&quot;;-#,###.##&quot; gp&quot;"/>
    <numFmt numFmtId="185" formatCode="#,###.##&quot; gp&quot;;-#,###.##&quot; gp&quot;;&quot;—&quot;"/>
    <numFmt numFmtId="186" formatCode="&quot;CARRIED:&quot; #,###.## &quot;lb.&quot;;WAT;&quot;CARRIED:&quot; 0 &quot;lb.&quot;"/>
    <numFmt numFmtId="187" formatCode="#,### #/## &quot;lb. MAXIMUM&quot;"/>
    <numFmt numFmtId="188" formatCode="#,##0.00[$ OD]"/>
    <numFmt numFmtId="189" formatCode="#,###.00&quot; gp&quot;;-#,###.00&quot; gp&quot;"/>
    <numFmt numFmtId="190" formatCode="#,###.00&quot; lb.&quot;;-#,###.00&quot; lb.&quot;"/>
    <numFmt numFmtId="191" formatCode="&quot;◉&quot;;&quot;◉&quot;;&quot;〇&quot;;&quot;◉&quot;"/>
    <numFmt numFmtId="192" formatCode="#&quot; ft.&quot;"/>
    <numFmt numFmtId="193" formatCode="&quot;(+&quot;#&quot;)&quot;;&quot;(-&quot;#&quot;)&quot;;&quot;(+&quot;0&quot;)&quot;"/>
  </numFmts>
  <fonts count="107">
    <font>
      <sz val="10.0"/>
      <color rgb="FF000000"/>
      <name val="Calibri"/>
      <scheme val="minor"/>
    </font>
    <font>
      <color theme="1"/>
      <name val="Calibri"/>
      <scheme val="minor"/>
    </font>
    <font>
      <sz val="6.0"/>
      <color rgb="FF999999"/>
      <name val="Trebuchet MS"/>
    </font>
    <font>
      <i/>
      <sz val="8.0"/>
      <color rgb="FF999999"/>
      <name val="Georgia"/>
    </font>
    <font>
      <i/>
      <sz val="8.0"/>
      <color rgb="FF000000"/>
      <name val="Georgia"/>
    </font>
    <font>
      <color theme="1"/>
      <name val="Georgia"/>
    </font>
    <font/>
    <font>
      <sz val="7.0"/>
      <color rgb="FF434343"/>
      <name val="Georgia"/>
    </font>
    <font>
      <sz val="9.0"/>
      <color rgb="FF999999"/>
      <name val="Georgia"/>
    </font>
    <font>
      <sz val="7.0"/>
      <color rgb="FF666666"/>
      <name val="Trebuchet MS"/>
    </font>
    <font>
      <sz val="14.0"/>
      <color theme="1"/>
      <name val="Georgia"/>
    </font>
    <font>
      <i/>
      <sz val="20.0"/>
      <color rgb="FF434343"/>
      <name val="Georgia"/>
    </font>
    <font>
      <sz val="18.0"/>
      <color rgb="FF999999"/>
      <name val="Georgia"/>
    </font>
    <font>
      <sz val="20.0"/>
      <color rgb="FF434343"/>
      <name val="Georgia"/>
    </font>
    <font>
      <sz val="10.0"/>
      <color rgb="FF434343"/>
      <name val="Georgia"/>
    </font>
    <font>
      <sz val="6.0"/>
      <color rgb="FFB7B7B7"/>
      <name val="Trebuchet MS"/>
    </font>
    <font>
      <b/>
      <sz val="6.0"/>
      <color theme="1"/>
      <name val="Arial"/>
    </font>
    <font>
      <sz val="24.0"/>
      <color rgb="FF434343"/>
      <name val="Calibri"/>
      <scheme val="minor"/>
    </font>
    <font>
      <color theme="1"/>
      <name val="Arial"/>
    </font>
    <font>
      <b/>
      <sz val="8.0"/>
      <color rgb="FF000000"/>
      <name val="Trebuchet MS"/>
    </font>
    <font>
      <i/>
      <sz val="8.0"/>
      <color rgb="FF666666"/>
      <name val="Georgia"/>
    </font>
    <font>
      <i/>
      <sz val="8.0"/>
      <color rgb="FFDDDDDD"/>
      <name val="Georgia"/>
    </font>
    <font>
      <sz val="8.0"/>
      <color rgb="FF000000"/>
      <name val="Trebuchet MS"/>
    </font>
    <font>
      <sz val="9.0"/>
      <color rgb="FF000000"/>
      <name val="Georgia"/>
    </font>
    <font>
      <sz val="10.0"/>
      <color theme="1"/>
      <name val="Trebuchet MS"/>
    </font>
    <font>
      <sz val="14.0"/>
      <color rgb="FF434343"/>
      <name val="Georgia"/>
    </font>
    <font>
      <i/>
      <sz val="8.0"/>
      <color rgb="FF434343"/>
      <name val="Georgia"/>
    </font>
    <font>
      <i/>
      <sz val="10.0"/>
      <color rgb="FF434343"/>
      <name val="Georgia"/>
    </font>
    <font>
      <color rgb="FFFFFFFF"/>
      <name val="Georgia"/>
    </font>
    <font>
      <color rgb="FF999999"/>
      <name val="Georgia"/>
    </font>
    <font>
      <i/>
      <sz val="8.0"/>
      <color rgb="FFFFFFFF"/>
      <name val="Georgia"/>
    </font>
    <font>
      <sz val="8.0"/>
      <color rgb="FFCCCCCC"/>
      <name val="Trebuchet MS"/>
    </font>
    <font>
      <sz val="6.0"/>
      <color rgb="FFFFFFFF"/>
      <name val="Trebuchet MS"/>
    </font>
    <font>
      <color rgb="FF434343"/>
      <name val="Trebuchet MS"/>
    </font>
    <font>
      <sz val="9.0"/>
      <color theme="1"/>
      <name val="Trebuchet MS"/>
    </font>
    <font>
      <i/>
      <sz val="6.0"/>
      <color rgb="FFFFFFFF"/>
      <name val="Trebuchet MS"/>
    </font>
    <font>
      <i/>
      <sz val="16.0"/>
      <color rgb="FF434343"/>
      <name val="Georgia"/>
    </font>
    <font>
      <b/>
      <sz val="8.0"/>
      <color theme="1"/>
      <name val="Trebuchet MS"/>
    </font>
    <font>
      <sz val="10.0"/>
      <color rgb="FF434343"/>
      <name val="Trebuchet MS"/>
    </font>
    <font>
      <color rgb="FF434343"/>
      <name val="Georgia"/>
    </font>
    <font>
      <sz val="8.0"/>
      <color theme="1"/>
      <name val="Trebuchet MS"/>
    </font>
    <font>
      <sz val="9.0"/>
      <color rgb="FF666666"/>
      <name val="Georgia"/>
    </font>
    <font>
      <sz val="6.0"/>
      <color rgb="FF000000"/>
      <name val="Trebuchet MS"/>
    </font>
    <font>
      <sz val="8.0"/>
      <color rgb="FFCCCCCC"/>
      <name val="Georgia"/>
    </font>
    <font>
      <sz val="8.0"/>
      <color rgb="FFCCCCCC"/>
      <name val="Calibri"/>
      <scheme val="minor"/>
    </font>
    <font>
      <sz val="10.0"/>
      <color theme="1"/>
      <name val="Georgia"/>
    </font>
    <font>
      <i/>
      <sz val="7.0"/>
      <color rgb="FF999999"/>
      <name val="Georgia"/>
    </font>
    <font>
      <sz val="7.0"/>
      <color rgb="FFCCCCCC"/>
      <name val="Trebuchet MS"/>
    </font>
    <font>
      <sz val="9.0"/>
      <color rgb="FF434343"/>
      <name val="Georgia"/>
    </font>
    <font>
      <sz val="6.0"/>
      <color rgb="FF434343"/>
      <name val="Georgia"/>
    </font>
    <font>
      <b/>
      <sz val="6.0"/>
      <color rgb="FFFFFFFF"/>
      <name val="Trebuchet MS"/>
    </font>
    <font>
      <b/>
      <sz val="8.0"/>
      <color rgb="FFCCCCCC"/>
      <name val="Arial"/>
    </font>
    <font>
      <color rgb="FFFFFFFF"/>
      <name val="Calibri"/>
      <scheme val="minor"/>
    </font>
    <font>
      <sz val="8.0"/>
      <color rgb="FF999999"/>
      <name val="Georgia"/>
    </font>
    <font>
      <sz val="12.0"/>
      <color rgb="FF434343"/>
      <name val="Georgia"/>
    </font>
    <font>
      <sz val="8.0"/>
      <color rgb="FF434343"/>
      <name val="Georgia"/>
    </font>
    <font>
      <sz val="9.0"/>
      <color theme="1"/>
      <name val="Georgia"/>
    </font>
    <font>
      <i/>
      <sz val="9.0"/>
      <color theme="1"/>
      <name val="Georgia"/>
    </font>
    <font>
      <b/>
      <sz val="12.0"/>
      <color rgb="FF999999"/>
      <name val="Trebuchet MS"/>
    </font>
    <font>
      <sz val="10.0"/>
      <color rgb="FF999999"/>
      <name val="Trebuchet MS"/>
    </font>
    <font>
      <b/>
      <sz val="9.0"/>
      <color theme="1"/>
      <name val="Georgia"/>
    </font>
    <font>
      <sz val="10.0"/>
      <color rgb="FF434343"/>
      <name val="Arial"/>
    </font>
    <font>
      <color rgb="FF434343"/>
      <name val="Calibri"/>
      <scheme val="minor"/>
    </font>
    <font>
      <sz val="16.0"/>
      <color rgb="FF999999"/>
      <name val="Georgia"/>
    </font>
    <font>
      <sz val="11.0"/>
      <color rgb="FF000000"/>
      <name val="Inconsolata"/>
    </font>
    <font>
      <sz val="9.0"/>
      <color rgb="FF434343"/>
      <name val="Trebuchet MS"/>
    </font>
    <font>
      <sz val="7.0"/>
      <color rgb="FFB7B7B7"/>
      <name val="Trebuchet MS"/>
    </font>
    <font>
      <i/>
      <color theme="1"/>
      <name val="Georgia"/>
    </font>
    <font>
      <sz val="7.0"/>
      <color theme="1"/>
      <name val="Trebuchet MS"/>
    </font>
    <font>
      <u/>
      <sz val="6.0"/>
      <color rgb="FF999999"/>
      <name val="Trebuchet MS"/>
    </font>
    <font>
      <u/>
      <sz val="6.0"/>
      <color rgb="FF999999"/>
      <name val="Trebuchet MS"/>
    </font>
    <font>
      <u/>
      <sz val="6.0"/>
      <color rgb="FF999999"/>
      <name val="Trebuchet MS"/>
    </font>
    <font>
      <u/>
      <sz val="6.0"/>
      <color rgb="FF999999"/>
      <name val="Trebuchet MS"/>
    </font>
    <font>
      <u/>
      <sz val="6.0"/>
      <color rgb="FF999999"/>
      <name val="Trebuchet MS"/>
    </font>
    <font>
      <sz val="6.0"/>
      <color rgb="FF999999"/>
      <name val="Georgia"/>
    </font>
    <font>
      <i/>
      <sz val="8.0"/>
      <color theme="1"/>
      <name val="Georgia"/>
    </font>
    <font>
      <b/>
      <sz val="8.0"/>
      <color rgb="FF434343"/>
      <name val="Georgia"/>
    </font>
    <font>
      <b/>
      <sz val="9.0"/>
      <color rgb="FF434343"/>
      <name val="Georgia"/>
    </font>
    <font>
      <i/>
      <sz val="8.0"/>
      <color rgb="FF999999"/>
      <name val="Play"/>
    </font>
    <font>
      <color theme="1"/>
      <name val="Play"/>
    </font>
    <font>
      <color rgb="FF999999"/>
      <name val="Arial"/>
    </font>
    <font>
      <sz val="9.0"/>
      <color rgb="FFCC4125"/>
      <name val="Pangolin"/>
    </font>
    <font>
      <sz val="9.0"/>
      <color rgb="FFB7B7B7"/>
      <name val="Pangolin"/>
    </font>
    <font>
      <sz val="9.0"/>
      <color rgb="FFBF9000"/>
      <name val="Pangolin"/>
    </font>
    <font>
      <sz val="9.0"/>
      <color rgb="FF6FA8DC"/>
      <name val="Pangolin"/>
    </font>
    <font>
      <sz val="9.0"/>
      <color rgb="FF999999"/>
      <name val="Trebuchet MS"/>
    </font>
    <font>
      <b/>
      <sz val="9.0"/>
      <color rgb="FF666666"/>
      <name val="Trebuchet MS"/>
    </font>
    <font>
      <sz val="6.0"/>
      <color rgb="FFCCCCCC"/>
      <name val="Trebuchet MS"/>
    </font>
    <font>
      <sz val="6.0"/>
      <color rgb="FF434343"/>
      <name val="Trebuchet MS"/>
    </font>
    <font>
      <sz val="7.0"/>
      <color rgb="FF434343"/>
      <name val="Trebuchet MS"/>
    </font>
    <font>
      <color theme="1"/>
      <name val="Trebuchet MS"/>
    </font>
    <font>
      <b/>
      <sz val="10.0"/>
      <color rgb="FF000000"/>
      <name val="Trebuchet MS"/>
    </font>
    <font>
      <color rgb="FFBF9000"/>
      <name val="Pangolin"/>
    </font>
    <font>
      <sz val="7.0"/>
      <color rgb="FF999999"/>
      <name val="Trebuchet MS"/>
    </font>
    <font>
      <sz val="6.0"/>
      <color theme="1"/>
      <name val="Trebuchet MS"/>
    </font>
    <font>
      <sz val="9.0"/>
      <color rgb="FFE69138"/>
      <name val="Pangolin"/>
    </font>
    <font>
      <b/>
      <sz val="9.0"/>
      <color theme="1"/>
      <name val="Trebuchet MS"/>
    </font>
    <font>
      <b/>
      <sz val="9.0"/>
      <color rgb="FF980000"/>
      <name val="Trebuchet MS"/>
    </font>
    <font>
      <sz val="9.0"/>
      <color rgb="FF000000"/>
      <name val="Trebuchet MS"/>
    </font>
    <font>
      <b/>
      <sz val="8.0"/>
      <color theme="1"/>
      <name val="Calibri"/>
      <scheme val="minor"/>
    </font>
    <font>
      <sz val="10.0"/>
      <color rgb="FF000000"/>
      <name val="Trebuchet MS"/>
    </font>
    <font>
      <sz val="8.0"/>
      <color rgb="FF999999"/>
      <name val="Trebuchet MS"/>
    </font>
    <font>
      <b/>
      <sz val="8.0"/>
      <color rgb="FF434343"/>
      <name val="Trebuchet MS"/>
    </font>
    <font>
      <sz val="8.0"/>
      <color rgb="FF434343"/>
      <name val="Trebuchet MS"/>
    </font>
    <font>
      <sz val="8.0"/>
      <color rgb="FFFFFFFF"/>
      <name val="Trebuchet MS"/>
    </font>
    <font>
      <b/>
      <sz val="14.0"/>
      <color theme="1"/>
      <name val="Trebuchet MS"/>
    </font>
    <font>
      <sz val="8.0"/>
      <color rgb="FFFF0000"/>
      <name val="Trebuchet MS"/>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DDDDD"/>
        <bgColor rgb="FFDDDDDD"/>
      </patternFill>
    </fill>
    <fill>
      <patternFill patternType="solid">
        <fgColor rgb="FFE6E7E7"/>
        <bgColor rgb="FFE6E7E7"/>
      </patternFill>
    </fill>
    <fill>
      <patternFill patternType="solid">
        <fgColor rgb="FFDFDFDF"/>
        <bgColor rgb="FFDFDFDF"/>
      </patternFill>
    </fill>
    <fill>
      <patternFill patternType="solid">
        <fgColor rgb="FFDDDEDE"/>
        <bgColor rgb="FFDDDEDE"/>
      </patternFill>
    </fill>
    <fill>
      <patternFill patternType="solid">
        <fgColor rgb="FFF8FAF8"/>
        <bgColor rgb="FFF8FAF8"/>
      </patternFill>
    </fill>
    <fill>
      <patternFill patternType="solid">
        <fgColor rgb="FFFFFF00"/>
        <bgColor rgb="FFFFFF00"/>
      </patternFill>
    </fill>
  </fills>
  <borders count="74">
    <border/>
    <border>
      <right/>
    </border>
    <border>
      <left style="thin">
        <color rgb="FF000000"/>
      </left>
    </border>
    <border>
      <right style="thin">
        <color rgb="FF000000"/>
      </right>
    </border>
    <border>
      <bottom style="thin">
        <color rgb="FFCCCCCC"/>
      </bottom>
    </border>
    <border>
      <top style="thin">
        <color rgb="FF000000"/>
      </top>
    </border>
    <border>
      <bottom style="thin">
        <color rgb="FF000000"/>
      </bottom>
    </border>
    <border>
      <right style="thin">
        <color rgb="FFFFFFFF"/>
      </right>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DDDDDD"/>
      </bottom>
    </border>
    <border>
      <top style="thin">
        <color rgb="FFFFFFFF"/>
      </top>
      <bottom style="thin">
        <color rgb="FFDDDDDD"/>
      </bottom>
    </border>
    <border>
      <right style="thin">
        <color rgb="FFFFFFFF"/>
      </right>
      <top style="thin">
        <color rgb="FFFFFFFF"/>
      </top>
      <bottom style="thin">
        <color rgb="FFDDDDDD"/>
      </bottom>
    </border>
    <border>
      <left style="thin">
        <color rgb="FFFFFFFF"/>
      </left>
      <bottom style="thin">
        <color rgb="FFDDDDDD"/>
      </bottom>
    </border>
    <border>
      <bottom style="thin">
        <color rgb="FFDDDDDD"/>
      </bottom>
    </border>
    <border>
      <right style="thin">
        <color rgb="FFFFFFFF"/>
      </right>
      <bottom style="thin">
        <color rgb="FFDDDDDD"/>
      </bottom>
    </border>
    <border>
      <left style="thin">
        <color rgb="FFFFFFFF"/>
      </left>
      <top style="thin">
        <color rgb="FFDDDDDD"/>
      </top>
    </border>
    <border>
      <right style="thin">
        <color rgb="FFFFFFFF"/>
      </right>
      <top style="thin">
        <color rgb="FFDDDDDD"/>
      </top>
    </border>
    <border>
      <left style="thin">
        <color rgb="FFFFFFFF"/>
      </left>
    </border>
    <border>
      <right style="thin">
        <color rgb="FFDDDDDD"/>
      </right>
    </border>
    <border>
      <left style="thin">
        <color rgb="FFDDDDDD"/>
      </left>
    </border>
    <border>
      <top style="thin">
        <color rgb="FF000000"/>
      </top>
      <bottom style="thin">
        <color rgb="FFD9D9D9"/>
      </bottom>
    </border>
    <border>
      <top style="thin">
        <color rgb="FFD9D9D9"/>
      </top>
      <bottom style="thin">
        <color rgb="FFD9D9D9"/>
      </bottom>
    </border>
    <border>
      <top style="thin">
        <color rgb="FF000000"/>
      </top>
      <bottom style="thin">
        <color rgb="FF000000"/>
      </bottom>
    </border>
    <border>
      <top style="thin">
        <color rgb="FFD9D9D9"/>
      </top>
      <bottom style="thin">
        <color rgb="FF000000"/>
      </bottom>
    </border>
    <border>
      <left style="thin">
        <color rgb="FFB7B7B7"/>
      </left>
      <right style="thin">
        <color rgb="FFB7B7B7"/>
      </right>
      <top style="thin">
        <color rgb="FF000000"/>
      </top>
      <bottom style="thin">
        <color rgb="FF000000"/>
      </bottom>
    </border>
    <border>
      <bottom style="thin">
        <color rgb="FFD9D9D9"/>
      </bottom>
    </border>
    <border>
      <top style="thin">
        <color rgb="FFDDDDDD"/>
      </top>
    </border>
    <border>
      <top style="thin">
        <color rgb="FFFFFFFF"/>
      </top>
      <bottom style="thin">
        <color rgb="FFFFFFFF"/>
      </bottom>
    </border>
    <border>
      <bottom style="thin">
        <color rgb="FFFFFFFF"/>
      </bottom>
    </border>
    <border>
      <left style="thin">
        <color rgb="FFB7B7B7"/>
      </left>
      <right style="thin">
        <color rgb="FFB7B7B7"/>
      </right>
      <top style="thin">
        <color rgb="FF000000"/>
      </top>
      <bottom style="thin">
        <color rgb="FFB7B7B7"/>
      </bottom>
    </border>
    <border>
      <left style="thin">
        <color rgb="FFFFFFFF"/>
      </left>
      <bottom style="thin">
        <color rgb="FFFFFFFF"/>
      </bottom>
    </border>
    <border>
      <right style="thin">
        <color rgb="FFFFFFFF"/>
      </right>
      <bottom style="thin">
        <color rgb="FFFFFFFF"/>
      </bottom>
    </border>
    <border>
      <top style="thin">
        <color rgb="FFD9D9D9"/>
      </top>
    </border>
    <border>
      <top style="thin">
        <color rgb="FFD9D9D9"/>
      </top>
      <bottom style="thin">
        <color rgb="FFCCCCCC"/>
      </bottom>
    </border>
    <border>
      <bottom style="thin">
        <color rgb="FFEFEFEF"/>
      </bottom>
    </border>
    <border>
      <left style="thin">
        <color rgb="FF000000"/>
      </left>
      <bottom style="thin">
        <color rgb="FFDFDFDF"/>
      </bottom>
    </border>
    <border>
      <bottom style="thin">
        <color rgb="FFDFDFDF"/>
      </bottom>
    </border>
    <border>
      <right style="thin">
        <color rgb="FF000000"/>
      </right>
      <bottom style="thin">
        <color rgb="FFDFDFDF"/>
      </bottom>
    </border>
    <border>
      <top style="thin">
        <color rgb="FFDFDFDF"/>
      </top>
    </border>
    <border>
      <bottom style="thin">
        <color rgb="FFDDDEDE"/>
      </bottom>
    </border>
    <border>
      <left style="thin">
        <color rgb="FFFFFFFF"/>
      </left>
      <top style="thin">
        <color rgb="FF000000"/>
      </top>
    </border>
    <border>
      <right style="thin">
        <color rgb="FFFFFFFF"/>
      </right>
      <top style="thin">
        <color rgb="FF000000"/>
      </top>
    </border>
    <border>
      <left style="thin">
        <color rgb="FFFFFFFF"/>
      </left>
      <top style="thin">
        <color rgb="FFDDDEDE"/>
      </top>
    </border>
    <border>
      <right style="thin">
        <color rgb="FFFFFFFF"/>
      </right>
      <top style="thin">
        <color rgb="FFDDDEDE"/>
      </top>
    </border>
    <border>
      <left style="thin">
        <color rgb="FF000000"/>
      </left>
      <top style="thin">
        <color rgb="FFFFFFFF"/>
      </top>
    </border>
    <border>
      <right style="thin">
        <color rgb="FF000000"/>
      </right>
      <top style="thin">
        <color rgb="FFFFFFFF"/>
      </top>
    </border>
    <border>
      <right style="thin">
        <color rgb="FFEFEFEF"/>
      </right>
      <bottom style="thin">
        <color rgb="FFEFEFEF"/>
      </bottom>
    </border>
    <border>
      <right/>
      <bottom style="thin">
        <color rgb="FFEFEFEF"/>
      </bottom>
    </border>
    <border>
      <left style="thin">
        <color rgb="FFFFFFFF"/>
      </left>
      <bottom style="thin">
        <color rgb="FFDDDEDE"/>
      </bottom>
    </border>
    <border>
      <left style="thin">
        <color rgb="FF000000"/>
      </left>
      <bottom style="thin">
        <color rgb="FFFFFFFF"/>
      </bottom>
    </border>
    <border>
      <right style="thin">
        <color rgb="FF000000"/>
      </right>
      <bottom style="thin">
        <color rgb="FFFFFFFF"/>
      </bottom>
    </border>
    <border>
      <right style="thin">
        <color rgb="FFFFFFFF"/>
      </right>
      <bottom style="thin">
        <color rgb="FFDDDEDE"/>
      </bottom>
    </border>
    <border>
      <top style="thin">
        <color rgb="FF434343"/>
      </top>
      <bottom style="thin">
        <color rgb="FFFFFFFF"/>
      </bottom>
    </border>
    <border>
      <right/>
      <bottom style="thin">
        <color rgb="FFD9D9D9"/>
      </bottom>
    </border>
    <border>
      <left/>
      <bottom style="thin">
        <color rgb="FFD9D9D9"/>
      </bottom>
    </border>
    <border>
      <right style="thin">
        <color rgb="FFD9D9D9"/>
      </right>
    </border>
    <border>
      <left style="thin">
        <color rgb="FFD9D9D9"/>
      </left>
    </border>
    <border>
      <left style="thin">
        <color rgb="FFD9D9D9"/>
      </left>
      <right style="thin">
        <color rgb="FFEFEFEF"/>
      </right>
      <bottom style="thin">
        <color rgb="FFEFEFEF"/>
      </bottom>
    </border>
    <border>
      <right style="thin">
        <color rgb="FFD9D9D9"/>
      </right>
      <bottom style="thin">
        <color rgb="FFEFEFEF"/>
      </bottom>
    </border>
    <border>
      <left style="thin">
        <color rgb="FFD9D9D9"/>
      </left>
      <right style="thin">
        <color rgb="FFEFEFEF"/>
      </right>
      <bottom style="thin">
        <color rgb="FFCCCCCC"/>
      </bottom>
    </border>
    <border>
      <right style="thin">
        <color rgb="FFD9D9D9"/>
      </right>
      <bottom style="thin">
        <color rgb="FFCCCCCC"/>
      </bottom>
    </border>
    <border>
      <left style="thin">
        <color rgb="FFD9D9D9"/>
      </left>
      <right style="thin">
        <color rgb="FFEFEFEF"/>
      </right>
    </border>
    <border>
      <bottom style="thin">
        <color rgb="FFB7B7B7"/>
      </bottom>
    </border>
    <border>
      <top style="thin">
        <color rgb="FFB7B7B7"/>
      </top>
      <bottom style="thin">
        <color rgb="FFD9D9D9"/>
      </bottom>
    </border>
    <border>
      <top style="thin">
        <color rgb="FF999999"/>
      </top>
      <bottom style="thin">
        <color rgb="FFD9D9D9"/>
      </bottom>
    </border>
    <border>
      <top style="thin">
        <color rgb="FF666666"/>
      </top>
      <bottom style="thin">
        <color rgb="FFD9D9D9"/>
      </bottom>
    </border>
    <border>
      <bottom style="thin">
        <color rgb="FF999999"/>
      </bottom>
    </border>
    <border>
      <bottom style="thin">
        <color rgb="FF666666"/>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72">
    <xf borderId="0" fillId="0" fontId="0" numFmtId="0" xfId="0" applyAlignment="1" applyFont="1">
      <alignment readingOrder="0" shrinkToFit="0" vertical="bottom" wrapText="0"/>
    </xf>
    <xf borderId="0" fillId="0" fontId="1" numFmtId="164" xfId="0" applyFont="1" applyNumberFormat="1"/>
    <xf borderId="0" fillId="2" fontId="2" numFmtId="0" xfId="0" applyAlignment="1" applyFill="1" applyFont="1">
      <alignment horizontal="left" shrinkToFit="0" vertical="center" wrapText="0"/>
    </xf>
    <xf borderId="0" fillId="2" fontId="2" numFmtId="0" xfId="0" applyAlignment="1" applyFont="1">
      <alignment horizontal="left" vertical="center"/>
    </xf>
    <xf borderId="0" fillId="0" fontId="1" numFmtId="0" xfId="0" applyFont="1"/>
    <xf borderId="0" fillId="0" fontId="3" numFmtId="0" xfId="0" applyAlignment="1" applyFont="1">
      <alignment horizontal="center" vertical="center"/>
    </xf>
    <xf borderId="0" fillId="0" fontId="4" numFmtId="0" xfId="0" applyAlignment="1" applyFont="1">
      <alignment horizontal="center" shrinkToFit="0" vertical="center" wrapText="0"/>
    </xf>
    <xf borderId="1" fillId="2" fontId="2" numFmtId="0" xfId="0" applyAlignment="1" applyBorder="1" applyFont="1">
      <alignment horizontal="left" shrinkToFit="0" vertical="center" wrapText="0"/>
    </xf>
    <xf borderId="1" fillId="2" fontId="2" numFmtId="0" xfId="0" applyAlignment="1" applyBorder="1" applyFont="1">
      <alignment horizontal="left" vertical="center"/>
    </xf>
    <xf borderId="0" fillId="0" fontId="4" numFmtId="0" xfId="0" applyAlignment="1" applyFont="1">
      <alignment horizontal="center" vertical="center"/>
    </xf>
    <xf borderId="2" fillId="0" fontId="5" numFmtId="0" xfId="0" applyAlignment="1" applyBorder="1" applyFont="1">
      <alignment vertical="center"/>
    </xf>
    <xf borderId="3" fillId="0" fontId="6" numFmtId="0" xfId="0" applyBorder="1" applyFont="1"/>
    <xf borderId="0" fillId="0" fontId="5" numFmtId="0" xfId="0" applyAlignment="1" applyFont="1">
      <alignment vertical="center"/>
    </xf>
    <xf borderId="0" fillId="2" fontId="2" numFmtId="49" xfId="0" applyAlignment="1" applyFont="1" applyNumberFormat="1">
      <alignment horizontal="left" vertical="center"/>
    </xf>
    <xf borderId="2" fillId="0" fontId="1" numFmtId="0" xfId="0" applyBorder="1" applyFont="1"/>
    <xf borderId="4" fillId="3" fontId="7" numFmtId="0" xfId="0" applyAlignment="1" applyBorder="1" applyFill="1" applyFont="1">
      <alignment horizontal="left" readingOrder="0" vertical="bottom"/>
    </xf>
    <xf borderId="4" fillId="0" fontId="6" numFmtId="0" xfId="0" applyBorder="1" applyFont="1"/>
    <xf borderId="4" fillId="3" fontId="8" numFmtId="0" xfId="0" applyAlignment="1" applyBorder="1" applyFont="1">
      <alignment horizontal="left" readingOrder="0" vertical="bottom"/>
    </xf>
    <xf borderId="0" fillId="0" fontId="9" numFmtId="0" xfId="0" applyAlignment="1" applyFont="1">
      <alignment horizontal="center" vertical="bottom"/>
    </xf>
    <xf borderId="3" fillId="0" fontId="5" numFmtId="0" xfId="0" applyAlignment="1" applyBorder="1" applyFont="1">
      <alignment vertical="center"/>
    </xf>
    <xf borderId="2" fillId="0" fontId="10" numFmtId="0" xfId="0" applyAlignment="1" applyBorder="1" applyFont="1">
      <alignment horizontal="center" vertical="center"/>
    </xf>
    <xf borderId="2" fillId="0" fontId="11" numFmtId="0" xfId="0" applyAlignment="1" applyBorder="1" applyFont="1">
      <alignment horizontal="center" readingOrder="0" vertical="top"/>
    </xf>
    <xf borderId="2" fillId="0" fontId="12" numFmtId="0" xfId="0" applyAlignment="1" applyBorder="1" applyFont="1">
      <alignment horizontal="center" vertical="center"/>
    </xf>
    <xf borderId="0" fillId="0" fontId="9" numFmtId="0" xfId="0" applyAlignment="1" applyFont="1">
      <alignment horizontal="left" vertical="top"/>
    </xf>
    <xf borderId="5" fillId="0" fontId="13" numFmtId="165" xfId="0" applyAlignment="1" applyBorder="1" applyFont="1" applyNumberFormat="1">
      <alignment horizontal="center" vertical="top"/>
    </xf>
    <xf borderId="5" fillId="0" fontId="6" numFmtId="0" xfId="0" applyBorder="1" applyFont="1"/>
    <xf borderId="0" fillId="2" fontId="2" numFmtId="0" xfId="0" applyAlignment="1" applyFont="1">
      <alignment vertical="center"/>
    </xf>
    <xf borderId="2" fillId="0" fontId="6" numFmtId="0" xfId="0" applyBorder="1" applyFont="1"/>
    <xf borderId="4" fillId="3" fontId="14" numFmtId="0" xfId="0" applyAlignment="1" applyBorder="1" applyFont="1">
      <alignment horizontal="left" readingOrder="0" vertical="bottom"/>
    </xf>
    <xf borderId="4" fillId="3" fontId="14" numFmtId="3" xfId="0" applyAlignment="1" applyBorder="1" applyFont="1" applyNumberFormat="1">
      <alignment horizontal="left" readingOrder="0" vertical="bottom"/>
    </xf>
    <xf borderId="4" fillId="0" fontId="8" numFmtId="166" xfId="0" applyAlignment="1" applyBorder="1" applyFont="1" applyNumberFormat="1">
      <alignment horizontal="left" vertical="bottom"/>
    </xf>
    <xf borderId="6" fillId="0" fontId="6" numFmtId="0" xfId="0" applyBorder="1" applyFont="1"/>
    <xf borderId="0" fillId="0" fontId="9" numFmtId="0" xfId="0" applyAlignment="1" applyFont="1">
      <alignment horizontal="center" vertical="top"/>
    </xf>
    <xf borderId="7" fillId="0" fontId="5" numFmtId="0" xfId="0" applyAlignment="1" applyBorder="1" applyFont="1">
      <alignment vertical="center"/>
    </xf>
    <xf borderId="8" fillId="0" fontId="1" numFmtId="0" xfId="0" applyBorder="1" applyFont="1"/>
    <xf borderId="9" fillId="0" fontId="6" numFmtId="0" xfId="0" applyBorder="1" applyFont="1"/>
    <xf borderId="10" fillId="0" fontId="6" numFmtId="0" xfId="0" applyBorder="1" applyFont="1"/>
    <xf borderId="11" fillId="0" fontId="5" numFmtId="0" xfId="0" applyAlignment="1" applyBorder="1" applyFont="1">
      <alignment vertical="center"/>
    </xf>
    <xf borderId="12" fillId="0" fontId="6" numFmtId="0" xfId="0" applyBorder="1" applyFont="1"/>
    <xf borderId="13" fillId="0" fontId="6" numFmtId="0" xfId="0" applyBorder="1" applyFont="1"/>
    <xf borderId="0" fillId="0" fontId="15" numFmtId="0" xfId="0" applyAlignment="1" applyFont="1">
      <alignment horizontal="center" vertical="center"/>
    </xf>
    <xf borderId="14" fillId="0" fontId="5" numFmtId="0" xfId="0" applyAlignment="1" applyBorder="1" applyFont="1">
      <alignment vertical="center"/>
    </xf>
    <xf borderId="15" fillId="0" fontId="6" numFmtId="0" xfId="0" applyBorder="1" applyFont="1"/>
    <xf borderId="16" fillId="0" fontId="6" numFmtId="0" xfId="0" applyBorder="1" applyFont="1"/>
    <xf borderId="17" fillId="0" fontId="1" numFmtId="0" xfId="0" applyBorder="1" applyFont="1"/>
    <xf borderId="6" fillId="4" fontId="1" numFmtId="0" xfId="0" applyBorder="1" applyFill="1" applyFont="1"/>
    <xf borderId="18" fillId="0" fontId="16" numFmtId="0" xfId="0" applyAlignment="1" applyBorder="1" applyFont="1">
      <alignment horizontal="center" vertical="center"/>
    </xf>
    <xf borderId="5" fillId="0" fontId="17" numFmtId="167" xfId="0" applyAlignment="1" applyBorder="1" applyFont="1" applyNumberFormat="1">
      <alignment horizontal="center" readingOrder="0" vertical="center"/>
    </xf>
    <xf borderId="5" fillId="0" fontId="18" numFmtId="0" xfId="0" applyAlignment="1" applyBorder="1" applyFont="1">
      <alignment vertical="bottom"/>
    </xf>
    <xf borderId="5" fillId="0" fontId="19" numFmtId="0" xfId="0" applyAlignment="1" applyBorder="1" applyFont="1">
      <alignment horizontal="center" vertical="center"/>
    </xf>
    <xf borderId="19" fillId="0" fontId="1" numFmtId="0" xfId="0" applyAlignment="1" applyBorder="1" applyFont="1">
      <alignment vertical="top"/>
    </xf>
    <xf borderId="0" fillId="4" fontId="20" numFmtId="0" xfId="0" applyAlignment="1" applyFont="1">
      <alignment horizontal="center" vertical="center"/>
    </xf>
    <xf borderId="20" fillId="0" fontId="1" numFmtId="0" xfId="0" applyBorder="1" applyFont="1"/>
    <xf borderId="0" fillId="4" fontId="21" numFmtId="168" xfId="0" applyAlignment="1" applyFont="1" applyNumberFormat="1">
      <alignment horizontal="center" vertical="center"/>
    </xf>
    <xf borderId="21" fillId="0" fontId="1" numFmtId="0" xfId="0" applyBorder="1" applyFont="1"/>
    <xf borderId="7" fillId="0" fontId="1" numFmtId="0" xfId="0" applyAlignment="1" applyBorder="1" applyFont="1">
      <alignment vertical="top"/>
    </xf>
    <xf borderId="0" fillId="0" fontId="15" numFmtId="0" xfId="0" applyAlignment="1" applyFont="1">
      <alignment horizontal="center"/>
    </xf>
    <xf borderId="19" fillId="0" fontId="1" numFmtId="0" xfId="0" applyBorder="1" applyFont="1"/>
    <xf borderId="0" fillId="4" fontId="22" numFmtId="0" xfId="0" applyAlignment="1" applyFont="1">
      <alignment horizontal="right" vertical="center"/>
    </xf>
    <xf borderId="0" fillId="4" fontId="23" numFmtId="0" xfId="0" applyAlignment="1" applyFont="1">
      <alignment horizontal="left" readingOrder="0" vertical="center"/>
    </xf>
    <xf borderId="7" fillId="0" fontId="1" numFmtId="0" xfId="0" applyBorder="1" applyFont="1"/>
    <xf borderId="19" fillId="0" fontId="6" numFmtId="0" xfId="0" applyBorder="1" applyFont="1"/>
    <xf borderId="0" fillId="0" fontId="24" numFmtId="0" xfId="0" applyAlignment="1" applyFont="1">
      <alignment horizontal="center" vertical="top"/>
    </xf>
    <xf borderId="7" fillId="0" fontId="6" numFmtId="0" xfId="0" applyBorder="1" applyFont="1"/>
    <xf borderId="5" fillId="0" fontId="13" numFmtId="49" xfId="0" applyAlignment="1" applyBorder="1" applyFont="1" applyNumberFormat="1">
      <alignment horizontal="center" vertical="bottom"/>
    </xf>
    <xf borderId="20" fillId="0" fontId="6" numFmtId="0" xfId="0" applyBorder="1" applyFont="1"/>
    <xf borderId="5" fillId="0" fontId="13" numFmtId="169" xfId="0" applyAlignment="1" applyBorder="1" applyFont="1" applyNumberFormat="1">
      <alignment horizontal="center" vertical="bottom"/>
    </xf>
    <xf borderId="21" fillId="0" fontId="6" numFmtId="0" xfId="0" applyBorder="1" applyFont="1"/>
    <xf borderId="5" fillId="0" fontId="25" numFmtId="170" xfId="0" applyAlignment="1" applyBorder="1" applyFont="1" applyNumberFormat="1">
      <alignment horizontal="center" vertical="bottom"/>
    </xf>
    <xf borderId="22" fillId="3" fontId="26" numFmtId="0" xfId="0" applyAlignment="1" applyBorder="1" applyFont="1">
      <alignment horizontal="center" readingOrder="0" vertical="bottom"/>
    </xf>
    <xf borderId="22" fillId="0" fontId="6" numFmtId="0" xfId="0" applyBorder="1" applyFont="1"/>
    <xf borderId="0" fillId="0" fontId="13" numFmtId="171" xfId="0" applyAlignment="1" applyFont="1" applyNumberFormat="1">
      <alignment horizontal="center" vertical="top"/>
    </xf>
    <xf borderId="6" fillId="0" fontId="18" numFmtId="0" xfId="0" applyAlignment="1" applyBorder="1" applyFont="1">
      <alignment vertical="bottom"/>
    </xf>
    <xf borderId="23" fillId="3" fontId="26" numFmtId="0" xfId="0" applyAlignment="1" applyBorder="1" applyFont="1">
      <alignment horizontal="center" readingOrder="0" vertical="bottom"/>
    </xf>
    <xf borderId="23" fillId="0" fontId="6" numFmtId="0" xfId="0" applyBorder="1" applyFont="1"/>
    <xf borderId="5" fillId="0" fontId="25" numFmtId="172" xfId="0" applyAlignment="1" applyBorder="1" applyFont="1" applyNumberFormat="1">
      <alignment horizontal="center" vertical="center"/>
    </xf>
    <xf borderId="0" fillId="0" fontId="18" numFmtId="0" xfId="0" applyAlignment="1" applyFont="1">
      <alignment vertical="bottom"/>
    </xf>
    <xf borderId="5" fillId="0" fontId="19" numFmtId="0" xfId="0" applyAlignment="1" applyBorder="1" applyFont="1">
      <alignment horizontal="center" shrinkToFit="0" vertical="center" wrapText="1"/>
    </xf>
    <xf borderId="6" fillId="0" fontId="19" numFmtId="171" xfId="0" applyAlignment="1" applyBorder="1" applyFont="1" applyNumberFormat="1">
      <alignment horizontal="center" vertical="bottom"/>
    </xf>
    <xf borderId="23" fillId="3" fontId="26" numFmtId="0" xfId="0" applyAlignment="1" applyBorder="1" applyFont="1">
      <alignment horizontal="center" vertical="bottom"/>
    </xf>
    <xf borderId="24" fillId="3" fontId="27" numFmtId="0" xfId="0" applyAlignment="1" applyBorder="1" applyFont="1">
      <alignment horizontal="center" vertical="center"/>
    </xf>
    <xf borderId="24" fillId="0" fontId="6" numFmtId="0" xfId="0" applyBorder="1" applyFont="1"/>
    <xf borderId="19" fillId="0" fontId="28" numFmtId="0" xfId="0" applyAlignment="1" applyBorder="1" applyFont="1">
      <alignment vertical="center"/>
    </xf>
    <xf borderId="0" fillId="4" fontId="21" numFmtId="0" xfId="0" applyAlignment="1" applyFont="1">
      <alignment horizontal="center" readingOrder="0" vertical="center"/>
    </xf>
    <xf borderId="25" fillId="3" fontId="9" numFmtId="0" xfId="0" applyAlignment="1" applyBorder="1" applyFont="1">
      <alignment horizontal="center"/>
    </xf>
    <xf borderId="25" fillId="0" fontId="6" numFmtId="0" xfId="0" applyBorder="1" applyFont="1"/>
    <xf borderId="26" fillId="4" fontId="29" numFmtId="173" xfId="0" applyAlignment="1" applyBorder="1" applyFont="1" applyNumberFormat="1">
      <alignment horizontal="center" readingOrder="0" vertical="center"/>
    </xf>
    <xf borderId="26" fillId="4" fontId="29" numFmtId="174" xfId="0" applyAlignment="1" applyBorder="1" applyFont="1" applyNumberFormat="1">
      <alignment horizontal="center" vertical="center"/>
    </xf>
    <xf borderId="19" fillId="0" fontId="30" numFmtId="0" xfId="0" applyAlignment="1" applyBorder="1" applyFont="1">
      <alignment textRotation="90" vertical="center"/>
    </xf>
    <xf borderId="6" fillId="0" fontId="1" numFmtId="0" xfId="0" applyBorder="1" applyFont="1"/>
    <xf borderId="5" fillId="0" fontId="31" numFmtId="0" xfId="0" applyAlignment="1" applyBorder="1" applyFont="1">
      <alignment horizontal="center" vertical="bottom"/>
    </xf>
    <xf borderId="22" fillId="0" fontId="8" numFmtId="175" xfId="0" applyAlignment="1" applyBorder="1" applyFont="1" applyNumberFormat="1">
      <alignment horizontal="center"/>
    </xf>
    <xf borderId="22" fillId="3" fontId="26" numFmtId="0" xfId="0" applyAlignment="1" applyBorder="1" applyFont="1">
      <alignment horizontal="center" vertical="bottom"/>
    </xf>
    <xf borderId="0" fillId="3" fontId="32" numFmtId="0" xfId="0" applyAlignment="1" applyFont="1">
      <alignment horizontal="center" vertical="center"/>
    </xf>
    <xf borderId="5" fillId="0" fontId="33" numFmtId="176" xfId="0" applyAlignment="1" applyBorder="1" applyFont="1" applyNumberFormat="1">
      <alignment horizontal="center" vertical="bottom"/>
    </xf>
    <xf borderId="27" fillId="0" fontId="14" numFmtId="171" xfId="0" applyAlignment="1" applyBorder="1" applyFont="1" applyNumberFormat="1">
      <alignment horizontal="center" vertical="bottom"/>
    </xf>
    <xf borderId="5" fillId="0" fontId="34" numFmtId="0" xfId="0" applyAlignment="1" applyBorder="1" applyFont="1">
      <alignment vertical="bottom"/>
    </xf>
    <xf borderId="0" fillId="0" fontId="32" numFmtId="0" xfId="0" applyFont="1"/>
    <xf borderId="0" fillId="0" fontId="13" numFmtId="49" xfId="0" applyAlignment="1" applyFont="1" applyNumberFormat="1">
      <alignment horizontal="center" readingOrder="0" vertical="center"/>
    </xf>
    <xf borderId="19" fillId="3" fontId="35" numFmtId="0" xfId="0" applyAlignment="1" applyBorder="1" applyFont="1">
      <alignment vertical="center"/>
    </xf>
    <xf borderId="0" fillId="0" fontId="33" numFmtId="176" xfId="0" applyAlignment="1" applyFont="1" applyNumberFormat="1">
      <alignment horizontal="center" vertical="bottom"/>
    </xf>
    <xf borderId="0" fillId="0" fontId="34" numFmtId="0" xfId="0" applyAlignment="1" applyFont="1">
      <alignment vertical="bottom"/>
    </xf>
    <xf borderId="0" fillId="0" fontId="19" numFmtId="0" xfId="0" applyAlignment="1" applyFont="1">
      <alignment horizontal="center"/>
    </xf>
    <xf borderId="22" fillId="0" fontId="8" numFmtId="175" xfId="0" applyAlignment="1" applyBorder="1" applyFont="1" applyNumberFormat="1">
      <alignment horizontal="center" readingOrder="0"/>
    </xf>
    <xf borderId="0" fillId="0" fontId="36" numFmtId="0" xfId="0" applyAlignment="1" applyFont="1">
      <alignment horizontal="center" readingOrder="0" vertical="center"/>
    </xf>
    <xf borderId="6" fillId="0" fontId="37" numFmtId="0" xfId="0" applyAlignment="1" applyBorder="1" applyFont="1">
      <alignment horizontal="center"/>
    </xf>
    <xf borderId="6" fillId="0" fontId="19" numFmtId="0" xfId="0" applyAlignment="1" applyBorder="1" applyFont="1">
      <alignment horizontal="center" vertical="bottom"/>
    </xf>
    <xf borderId="24" fillId="0" fontId="3" numFmtId="0" xfId="0" applyAlignment="1" applyBorder="1" applyFont="1">
      <alignment horizontal="center" vertical="center"/>
    </xf>
    <xf borderId="0" fillId="0" fontId="32" numFmtId="0" xfId="0" applyAlignment="1" applyFont="1">
      <alignment horizontal="right" vertical="center"/>
    </xf>
    <xf borderId="0" fillId="3" fontId="35" numFmtId="0" xfId="0" applyAlignment="1" applyFont="1">
      <alignment horizontal="center" shrinkToFit="0" vertical="center" wrapText="0"/>
    </xf>
    <xf borderId="5" fillId="0" fontId="38" numFmtId="176" xfId="0" applyAlignment="1" applyBorder="1" applyFont="1" applyNumberFormat="1">
      <alignment horizontal="center" shrinkToFit="0" vertical="bottom" wrapText="1"/>
    </xf>
    <xf borderId="22" fillId="0" fontId="39" numFmtId="171" xfId="0" applyAlignment="1" applyBorder="1" applyFont="1" applyNumberFormat="1">
      <alignment horizontal="center" vertical="bottom"/>
    </xf>
    <xf borderId="5" fillId="0" fontId="40" numFmtId="0" xfId="0" applyAlignment="1" applyBorder="1" applyFont="1">
      <alignment vertical="center"/>
    </xf>
    <xf borderId="5" fillId="0" fontId="31" numFmtId="0" xfId="0" applyAlignment="1" applyBorder="1" applyFont="1">
      <alignment vertical="center"/>
    </xf>
    <xf borderId="5" fillId="0" fontId="31" numFmtId="0" xfId="0" applyAlignment="1" applyBorder="1" applyFont="1">
      <alignment horizontal="right" vertical="center"/>
    </xf>
    <xf borderId="0" fillId="0" fontId="31" numFmtId="0" xfId="0" applyAlignment="1" applyFont="1">
      <alignment horizontal="right" vertical="center"/>
    </xf>
    <xf borderId="0" fillId="0" fontId="32" numFmtId="0" xfId="0" applyAlignment="1" applyFont="1">
      <alignment horizontal="center" vertical="center"/>
    </xf>
    <xf borderId="5" fillId="0" fontId="41" numFmtId="49" xfId="0" applyAlignment="1" applyBorder="1" applyFont="1" applyNumberFormat="1">
      <alignment horizontal="center" shrinkToFit="0" vertical="center" wrapText="1"/>
    </xf>
    <xf borderId="5" fillId="0" fontId="42" numFmtId="0" xfId="0" applyAlignment="1" applyBorder="1" applyFont="1">
      <alignment horizontal="center" vertical="center"/>
    </xf>
    <xf borderId="5" fillId="0" fontId="38" numFmtId="176" xfId="0" applyAlignment="1" applyBorder="1" applyFont="1" applyNumberFormat="1">
      <alignment horizontal="right" shrinkToFit="0" vertical="center" wrapText="1"/>
    </xf>
    <xf borderId="5" fillId="0" fontId="38" numFmtId="176" xfId="0" applyAlignment="1" applyBorder="1" applyFont="1" applyNumberFormat="1">
      <alignment horizontal="center" shrinkToFit="0" vertical="center" wrapText="1"/>
    </xf>
    <xf borderId="5" fillId="0" fontId="38" numFmtId="176" xfId="0" applyAlignment="1" applyBorder="1" applyFont="1" applyNumberFormat="1">
      <alignment horizontal="left" shrinkToFit="0" vertical="center" wrapText="1"/>
    </xf>
    <xf borderId="0" fillId="0" fontId="15" numFmtId="0" xfId="0" applyAlignment="1" applyFont="1">
      <alignment horizontal="center" vertical="top"/>
    </xf>
    <xf borderId="26" fillId="4" fontId="29" numFmtId="174" xfId="0" applyAlignment="1" applyBorder="1" applyFont="1" applyNumberFormat="1">
      <alignment horizontal="center" readingOrder="0" vertical="center"/>
    </xf>
    <xf borderId="0" fillId="0" fontId="38" numFmtId="176" xfId="0" applyAlignment="1" applyFont="1" applyNumberFormat="1">
      <alignment horizontal="center" shrinkToFit="0" vertical="bottom" wrapText="1"/>
    </xf>
    <xf borderId="23" fillId="0" fontId="39" numFmtId="171" xfId="0" applyAlignment="1" applyBorder="1" applyFont="1" applyNumberFormat="1">
      <alignment horizontal="center" vertical="bottom"/>
    </xf>
    <xf borderId="0" fillId="0" fontId="40" numFmtId="0" xfId="0" applyAlignment="1" applyFont="1">
      <alignment vertical="center"/>
    </xf>
    <xf borderId="0" fillId="0" fontId="43" numFmtId="0" xfId="0" applyAlignment="1" applyFont="1">
      <alignment shrinkToFit="0" vertical="center" wrapText="0"/>
    </xf>
    <xf borderId="0" fillId="0" fontId="43" numFmtId="0" xfId="0" applyAlignment="1" applyFont="1">
      <alignment vertical="center"/>
    </xf>
    <xf borderId="0" fillId="0" fontId="42" numFmtId="0" xfId="0" applyAlignment="1" applyFont="1">
      <alignment horizontal="center" vertical="center"/>
    </xf>
    <xf borderId="0" fillId="0" fontId="38" numFmtId="176" xfId="0" applyAlignment="1" applyFont="1" applyNumberFormat="1">
      <alignment horizontal="right" readingOrder="0" shrinkToFit="0" vertical="center" wrapText="1"/>
    </xf>
    <xf borderId="0" fillId="0" fontId="38" numFmtId="176" xfId="0" applyAlignment="1" applyFont="1" applyNumberFormat="1">
      <alignment horizontal="center" readingOrder="0" shrinkToFit="0" vertical="center" wrapText="1"/>
    </xf>
    <xf borderId="0" fillId="0" fontId="38" numFmtId="176" xfId="0" applyAlignment="1" applyFont="1" applyNumberFormat="1">
      <alignment horizontal="left" shrinkToFit="0" vertical="center" wrapText="1"/>
    </xf>
    <xf borderId="0" fillId="2" fontId="2" numFmtId="174" xfId="0" applyFont="1" applyNumberFormat="1"/>
    <xf borderId="0" fillId="0" fontId="38" numFmtId="176" xfId="0" applyAlignment="1" applyFont="1" applyNumberFormat="1">
      <alignment horizontal="center" readingOrder="0" shrinkToFit="0" vertical="bottom" wrapText="1"/>
    </xf>
    <xf borderId="6" fillId="0" fontId="9" numFmtId="0" xfId="0" applyAlignment="1" applyBorder="1" applyFont="1">
      <alignment horizontal="center"/>
    </xf>
    <xf borderId="25" fillId="0" fontId="9" numFmtId="0" xfId="0" applyAlignment="1" applyBorder="1" applyFont="1">
      <alignment horizontal="center"/>
    </xf>
    <xf borderId="0" fillId="0" fontId="40" numFmtId="0" xfId="0" applyAlignment="1" applyFont="1">
      <alignment horizontal="left" vertical="center"/>
    </xf>
    <xf borderId="0" fillId="0" fontId="44" numFmtId="0" xfId="0" applyAlignment="1" applyFont="1">
      <alignment vertical="center"/>
    </xf>
    <xf borderId="0" fillId="0" fontId="31" numFmtId="0" xfId="0" applyAlignment="1" applyFont="1">
      <alignment horizontal="center" vertical="center"/>
    </xf>
    <xf borderId="15" fillId="4" fontId="20" numFmtId="0" xfId="0" applyAlignment="1" applyBorder="1" applyFont="1">
      <alignment horizontal="center" vertical="top"/>
    </xf>
    <xf borderId="14" fillId="0" fontId="6" numFmtId="0" xfId="0" applyBorder="1" applyFont="1"/>
    <xf borderId="0" fillId="4" fontId="23" numFmtId="0" xfId="0" applyAlignment="1" applyFont="1">
      <alignment horizontal="left" vertical="center"/>
    </xf>
    <xf borderId="17" fillId="0" fontId="45" numFmtId="0" xfId="0" applyAlignment="1" applyBorder="1" applyFont="1">
      <alignment horizontal="left"/>
    </xf>
    <xf borderId="28" fillId="0" fontId="6" numFmtId="0" xfId="0" applyBorder="1" applyFont="1"/>
    <xf borderId="18" fillId="0" fontId="6" numFmtId="0" xfId="0" applyBorder="1" applyFont="1"/>
    <xf borderId="19" fillId="0" fontId="45" numFmtId="0" xfId="0" applyAlignment="1" applyBorder="1" applyFont="1">
      <alignment horizontal="left"/>
    </xf>
    <xf borderId="0" fillId="0" fontId="32" numFmtId="0" xfId="0" applyAlignment="1" applyFont="1">
      <alignment horizontal="center" readingOrder="0" vertical="center"/>
    </xf>
    <xf borderId="0" fillId="0" fontId="5" numFmtId="0" xfId="0" applyAlignment="1" applyFont="1">
      <alignment vertical="top"/>
    </xf>
    <xf borderId="0" fillId="0" fontId="46" numFmtId="0" xfId="0" applyAlignment="1" applyFont="1">
      <alignment horizontal="center" vertical="center"/>
    </xf>
    <xf borderId="0" fillId="0" fontId="46" numFmtId="0" xfId="0" applyAlignment="1" applyFont="1">
      <alignment horizontal="left" vertical="center"/>
    </xf>
    <xf borderId="0" fillId="0" fontId="1" numFmtId="0" xfId="0" applyAlignment="1" applyFont="1">
      <alignment vertical="top"/>
    </xf>
    <xf borderId="5" fillId="0" fontId="47" numFmtId="0" xfId="0" applyAlignment="1" applyBorder="1" applyFont="1">
      <alignment horizontal="left" vertical="bottom"/>
    </xf>
    <xf borderId="5" fillId="0" fontId="1" numFmtId="0" xfId="0" applyBorder="1" applyFont="1"/>
    <xf borderId="5" fillId="0" fontId="47" numFmtId="0" xfId="0" applyAlignment="1" applyBorder="1" applyFont="1">
      <alignment horizontal="center" vertical="bottom"/>
    </xf>
    <xf borderId="29" fillId="5" fontId="48" numFmtId="0" xfId="0" applyAlignment="1" applyBorder="1" applyFill="1" applyFont="1">
      <alignment horizontal="left" readingOrder="0" vertical="center"/>
    </xf>
    <xf borderId="29" fillId="0" fontId="6" numFmtId="0" xfId="0" applyBorder="1" applyFont="1"/>
    <xf borderId="29" fillId="0" fontId="48" numFmtId="0" xfId="0" applyAlignment="1" applyBorder="1" applyFont="1">
      <alignment vertical="center"/>
    </xf>
    <xf borderId="29" fillId="5" fontId="48" numFmtId="171" xfId="0" applyAlignment="1" applyBorder="1" applyFont="1" applyNumberFormat="1">
      <alignment horizontal="center" vertical="bottom"/>
    </xf>
    <xf borderId="30" fillId="5" fontId="49" numFmtId="0" xfId="0" applyBorder="1" applyFont="1"/>
    <xf borderId="30" fillId="0" fontId="6" numFmtId="0" xfId="0" applyBorder="1" applyFont="1"/>
    <xf borderId="0" fillId="2" fontId="2" numFmtId="171" xfId="0" applyAlignment="1" applyFont="1" applyNumberFormat="1">
      <alignment horizontal="left" vertical="center"/>
    </xf>
    <xf borderId="0" fillId="2" fontId="2" numFmtId="171" xfId="0" applyFont="1" applyNumberFormat="1"/>
    <xf borderId="29" fillId="5" fontId="48" numFmtId="0" xfId="0" applyAlignment="1" applyBorder="1" applyFont="1">
      <alignment horizontal="left" vertical="center"/>
    </xf>
    <xf borderId="0" fillId="2" fontId="2" numFmtId="0" xfId="0" applyFont="1"/>
    <xf borderId="0" fillId="0" fontId="50" numFmtId="0" xfId="0" applyAlignment="1" applyFont="1">
      <alignment horizontal="right" vertical="center"/>
    </xf>
    <xf borderId="0" fillId="0" fontId="51" numFmtId="0" xfId="0" applyAlignment="1" applyFont="1">
      <alignment horizontal="center" vertical="center"/>
    </xf>
    <xf borderId="9" fillId="0" fontId="48" numFmtId="0" xfId="0" applyAlignment="1" applyBorder="1" applyFont="1">
      <alignment vertical="center"/>
    </xf>
    <xf borderId="0" fillId="0" fontId="32" numFmtId="0" xfId="0" applyAlignment="1" applyFont="1">
      <alignment horizontal="right"/>
    </xf>
    <xf borderId="0" fillId="0" fontId="31" numFmtId="0" xfId="0" applyAlignment="1" applyFont="1">
      <alignment horizontal="left" vertical="center"/>
    </xf>
    <xf borderId="27" fillId="0" fontId="48" numFmtId="0" xfId="0" applyAlignment="1" applyBorder="1" applyFont="1">
      <alignment shrinkToFit="0" vertical="bottom" wrapText="1"/>
    </xf>
    <xf borderId="27" fillId="0" fontId="6" numFmtId="0" xfId="0" applyBorder="1" applyFont="1"/>
    <xf borderId="27" fillId="0" fontId="48" numFmtId="0" xfId="0" applyAlignment="1" applyBorder="1" applyFont="1">
      <alignment vertical="bottom"/>
    </xf>
    <xf borderId="31" fillId="4" fontId="29" numFmtId="173" xfId="0" applyAlignment="1" applyBorder="1" applyFont="1" applyNumberFormat="1">
      <alignment horizontal="center" readingOrder="0" vertical="center"/>
    </xf>
    <xf borderId="31" fillId="4" fontId="29" numFmtId="174" xfId="0" applyAlignment="1" applyBorder="1" applyFont="1" applyNumberFormat="1">
      <alignment horizontal="center" vertical="center"/>
    </xf>
    <xf borderId="0" fillId="0" fontId="43" numFmtId="0" xfId="0" applyAlignment="1" applyFont="1">
      <alignment horizontal="center" vertical="center"/>
    </xf>
    <xf borderId="32" fillId="0" fontId="5" numFmtId="0" xfId="0" applyAlignment="1" applyBorder="1" applyFont="1">
      <alignment vertical="center"/>
    </xf>
    <xf borderId="33" fillId="0" fontId="6" numFmtId="0" xfId="0" applyBorder="1" applyFont="1"/>
    <xf borderId="0" fillId="0" fontId="43" numFmtId="0" xfId="0" applyAlignment="1" applyFont="1">
      <alignment horizontal="left" vertical="center"/>
    </xf>
    <xf borderId="0" fillId="0" fontId="30" numFmtId="0" xfId="0" applyAlignment="1" applyFont="1">
      <alignment horizontal="center" shrinkToFit="0" textRotation="90" vertical="center" wrapText="0"/>
    </xf>
    <xf borderId="6" fillId="0" fontId="37" numFmtId="0" xfId="0" applyAlignment="1" applyBorder="1" applyFont="1">
      <alignment horizontal="center" vertical="bottom"/>
    </xf>
    <xf borderId="0" fillId="0" fontId="52" numFmtId="0" xfId="0" applyAlignment="1" applyFont="1">
      <alignment horizontal="center" vertical="center"/>
    </xf>
    <xf borderId="6" fillId="0" fontId="37" numFmtId="49" xfId="0" applyAlignment="1" applyBorder="1" applyFont="1" applyNumberFormat="1">
      <alignment horizontal="center" vertical="bottom"/>
    </xf>
    <xf borderId="0" fillId="0" fontId="53" numFmtId="0" xfId="0" applyAlignment="1" applyFont="1">
      <alignment horizontal="center" vertical="center"/>
    </xf>
    <xf borderId="5" fillId="0" fontId="54" numFmtId="49" xfId="0" applyAlignment="1" applyBorder="1" applyFont="1" applyNumberFormat="1">
      <alignment horizontal="center" vertical="center"/>
    </xf>
    <xf borderId="5" fillId="0" fontId="9" numFmtId="0" xfId="0" applyAlignment="1" applyBorder="1" applyFont="1">
      <alignment horizontal="center" vertical="center"/>
    </xf>
    <xf borderId="22" fillId="3" fontId="48" numFmtId="0" xfId="0" applyAlignment="1" applyBorder="1" applyFont="1">
      <alignment horizontal="center"/>
    </xf>
    <xf borderId="5" fillId="3" fontId="48" numFmtId="0" xfId="0" applyAlignment="1" applyBorder="1" applyFont="1">
      <alignment horizontal="center"/>
    </xf>
    <xf borderId="23" fillId="3" fontId="48" numFmtId="0" xfId="0" applyAlignment="1" applyBorder="1" applyFont="1">
      <alignment horizontal="center" readingOrder="0"/>
    </xf>
    <xf borderId="34" fillId="3" fontId="48" numFmtId="0" xfId="0" applyAlignment="1" applyBorder="1" applyFont="1">
      <alignment horizontal="center"/>
    </xf>
    <xf borderId="34" fillId="0" fontId="6" numFmtId="0" xfId="0" applyBorder="1" applyFont="1"/>
    <xf borderId="0" fillId="0" fontId="5" numFmtId="0" xfId="0" applyAlignment="1" applyFont="1">
      <alignment vertical="bottom"/>
    </xf>
    <xf borderId="22" fillId="0" fontId="55" numFmtId="0" xfId="0" applyAlignment="1" applyBorder="1" applyFont="1">
      <alignment horizontal="right" vertical="center"/>
    </xf>
    <xf borderId="22" fillId="0" fontId="55" numFmtId="0" xfId="0" applyAlignment="1" applyBorder="1" applyFont="1">
      <alignment horizontal="left" vertical="center"/>
    </xf>
    <xf borderId="27" fillId="0" fontId="55" numFmtId="0" xfId="0" applyAlignment="1" applyBorder="1" applyFont="1">
      <alignment horizontal="right" vertical="center"/>
    </xf>
    <xf borderId="27" fillId="0" fontId="55" numFmtId="0" xfId="0" applyAlignment="1" applyBorder="1" applyFont="1">
      <alignment horizontal="left" vertical="center"/>
    </xf>
    <xf borderId="23" fillId="3" fontId="48" numFmtId="0" xfId="0" applyAlignment="1" applyBorder="1" applyFont="1">
      <alignment horizontal="center"/>
    </xf>
    <xf borderId="35" fillId="3" fontId="48" numFmtId="0" xfId="0" applyAlignment="1" applyBorder="1" applyFont="1">
      <alignment horizontal="center"/>
    </xf>
    <xf borderId="35" fillId="0" fontId="6" numFmtId="0" xfId="0" applyBorder="1" applyFont="1"/>
    <xf borderId="27" fillId="3" fontId="55" numFmtId="0" xfId="0" applyAlignment="1" applyBorder="1" applyFont="1">
      <alignment horizontal="left" vertical="center"/>
    </xf>
    <xf borderId="0" fillId="3" fontId="48" numFmtId="0" xfId="0" applyAlignment="1" applyFont="1">
      <alignment horizontal="center"/>
    </xf>
    <xf borderId="27" fillId="3" fontId="55" numFmtId="0" xfId="0" applyAlignment="1" applyBorder="1" applyFont="1">
      <alignment horizontal="right" vertical="center"/>
    </xf>
    <xf borderId="25" fillId="0" fontId="37" numFmtId="0" xfId="0" applyAlignment="1" applyBorder="1" applyFont="1">
      <alignment horizontal="center" vertical="bottom"/>
    </xf>
    <xf borderId="0" fillId="0" fontId="5" numFmtId="0" xfId="0" applyAlignment="1" applyFont="1">
      <alignment horizontal="center" vertical="center"/>
    </xf>
    <xf borderId="0" fillId="0" fontId="45" numFmtId="0" xfId="0" applyAlignment="1" applyFont="1">
      <alignment vertical="center"/>
    </xf>
    <xf borderId="0" fillId="0" fontId="3" numFmtId="49" xfId="0" applyAlignment="1" applyFont="1" applyNumberFormat="1">
      <alignment horizontal="center" vertical="center"/>
    </xf>
    <xf borderId="0" fillId="0" fontId="3" numFmtId="177" xfId="0" applyAlignment="1" applyFont="1" applyNumberFormat="1">
      <alignment horizontal="center" vertical="center"/>
    </xf>
    <xf borderId="0" fillId="3" fontId="1" numFmtId="0" xfId="0" applyFont="1"/>
    <xf borderId="0" fillId="3" fontId="48" numFmtId="0" xfId="0" applyAlignment="1" applyFont="1">
      <alignment horizontal="left"/>
    </xf>
    <xf borderId="22" fillId="3" fontId="56" numFmtId="0" xfId="0" applyAlignment="1" applyBorder="1" applyFont="1">
      <alignment horizontal="left" readingOrder="0" vertical="bottom"/>
    </xf>
    <xf borderId="5" fillId="3" fontId="56" numFmtId="49" xfId="0" applyAlignment="1" applyBorder="1" applyFont="1" applyNumberFormat="1">
      <alignment horizontal="left" vertical="bottom"/>
    </xf>
    <xf borderId="22" fillId="3" fontId="56" numFmtId="49" xfId="0" applyAlignment="1" applyBorder="1" applyFont="1" applyNumberFormat="1">
      <alignment horizontal="left" readingOrder="0" vertical="bottom"/>
    </xf>
    <xf borderId="5" fillId="3" fontId="57" numFmtId="0" xfId="0" applyAlignment="1" applyBorder="1" applyFont="1">
      <alignment horizontal="center" vertical="center"/>
    </xf>
    <xf borderId="23" fillId="3" fontId="56" numFmtId="0" xfId="0" applyAlignment="1" applyBorder="1" applyFont="1">
      <alignment horizontal="left" readingOrder="0" vertical="bottom"/>
    </xf>
    <xf borderId="23" fillId="3" fontId="56" numFmtId="49" xfId="0" applyAlignment="1" applyBorder="1" applyFont="1" applyNumberFormat="1">
      <alignment readingOrder="0" vertical="center"/>
    </xf>
    <xf borderId="23" fillId="3" fontId="56" numFmtId="0" xfId="0" applyAlignment="1" applyBorder="1" applyFont="1">
      <alignment horizontal="left" vertical="bottom"/>
    </xf>
    <xf borderId="0" fillId="2" fontId="58" numFmtId="0" xfId="0" applyAlignment="1" applyFont="1">
      <alignment horizontal="center" textRotation="90" vertical="bottom"/>
    </xf>
    <xf borderId="0" fillId="2" fontId="58" numFmtId="0" xfId="0" applyAlignment="1" applyFont="1">
      <alignment horizontal="right" textRotation="90" vertical="bottom"/>
    </xf>
    <xf borderId="0" fillId="2" fontId="59" numFmtId="0" xfId="0" applyAlignment="1" applyFont="1">
      <alignment horizontal="right" textRotation="90" vertical="bottom"/>
    </xf>
    <xf borderId="0" fillId="2" fontId="58" numFmtId="0" xfId="0" applyAlignment="1" applyFont="1">
      <alignment readingOrder="0" textRotation="90" vertical="bottom"/>
    </xf>
    <xf borderId="23" fillId="3" fontId="56" numFmtId="49" xfId="0" applyAlignment="1" applyBorder="1" applyFont="1" applyNumberFormat="1">
      <alignment vertical="center"/>
    </xf>
    <xf borderId="0" fillId="2" fontId="2" numFmtId="178" xfId="0" applyAlignment="1" applyFont="1" applyNumberFormat="1">
      <alignment horizontal="left" vertical="center"/>
    </xf>
    <xf borderId="36" fillId="2" fontId="2" numFmtId="0" xfId="0" applyAlignment="1" applyBorder="1" applyFont="1">
      <alignment horizontal="left" vertical="center"/>
    </xf>
    <xf borderId="0" fillId="2" fontId="2" numFmtId="0" xfId="0" applyAlignment="1" applyFont="1">
      <alignment horizontal="left" readingOrder="0" vertical="center"/>
    </xf>
    <xf borderId="0" fillId="2" fontId="2" numFmtId="165" xfId="0" applyAlignment="1" applyFont="1" applyNumberFormat="1">
      <alignment vertical="center"/>
    </xf>
    <xf borderId="23" fillId="3" fontId="56" numFmtId="0" xfId="0" applyAlignment="1" applyBorder="1" applyFont="1">
      <alignment horizontal="left"/>
    </xf>
    <xf borderId="23" fillId="3" fontId="56" numFmtId="0" xfId="0" applyAlignment="1" applyBorder="1" applyFont="1">
      <alignment vertical="center"/>
    </xf>
    <xf borderId="0" fillId="2" fontId="2" numFmtId="165" xfId="0" applyAlignment="1" applyFont="1" applyNumberFormat="1">
      <alignment horizontal="left" vertical="center"/>
    </xf>
    <xf borderId="6" fillId="3" fontId="60" numFmtId="0" xfId="0" applyAlignment="1" applyBorder="1" applyFont="1">
      <alignment horizontal="center" vertical="bottom"/>
    </xf>
    <xf borderId="6" fillId="3" fontId="37" numFmtId="0" xfId="0" applyAlignment="1" applyBorder="1" applyFont="1">
      <alignment horizontal="center" vertical="bottom"/>
    </xf>
    <xf borderId="0" fillId="0" fontId="3" numFmtId="179" xfId="0" applyAlignment="1" applyFont="1" applyNumberFormat="1">
      <alignment horizontal="center" vertical="center"/>
    </xf>
    <xf borderId="37" fillId="0" fontId="5" numFmtId="0" xfId="0" applyAlignment="1" applyBorder="1" applyFont="1">
      <alignment vertical="center"/>
    </xf>
    <xf borderId="38" fillId="0" fontId="6" numFmtId="0" xfId="0" applyBorder="1" applyFont="1"/>
    <xf borderId="39" fillId="0" fontId="6" numFmtId="0" xfId="0" applyBorder="1" applyFont="1"/>
    <xf borderId="2" fillId="6" fontId="1" numFmtId="0" xfId="0" applyBorder="1" applyFill="1" applyFont="1"/>
    <xf borderId="0" fillId="0" fontId="1" numFmtId="0" xfId="0" applyFont="1"/>
    <xf borderId="0" fillId="6" fontId="9" numFmtId="0" xfId="0" applyAlignment="1" applyFont="1">
      <alignment horizontal="center" vertical="bottom"/>
    </xf>
    <xf borderId="40" fillId="0" fontId="1" numFmtId="0" xfId="0" applyBorder="1" applyFont="1"/>
    <xf borderId="0" fillId="6" fontId="1" numFmtId="0" xfId="0" applyFont="1"/>
    <xf borderId="3" fillId="6" fontId="1" numFmtId="0" xfId="0" applyBorder="1" applyFont="1"/>
    <xf borderId="2" fillId="3" fontId="11" numFmtId="0" xfId="0" applyAlignment="1" applyBorder="1" applyFont="1">
      <alignment horizontal="center" readingOrder="0" vertical="center"/>
    </xf>
    <xf borderId="5" fillId="0" fontId="54" numFmtId="0" xfId="0" applyAlignment="1" applyBorder="1" applyFont="1">
      <alignment horizontal="center" vertical="center"/>
    </xf>
    <xf borderId="5" fillId="0" fontId="13" numFmtId="49" xfId="0" applyAlignment="1" applyBorder="1" applyFont="1" applyNumberFormat="1">
      <alignment horizontal="center" vertical="top"/>
    </xf>
    <xf borderId="5" fillId="0" fontId="13" numFmtId="180" xfId="0" applyAlignment="1" applyBorder="1" applyFont="1" applyNumberFormat="1">
      <alignment horizontal="center" vertical="top"/>
    </xf>
    <xf borderId="0" fillId="6" fontId="9" numFmtId="0" xfId="0" applyAlignment="1" applyFont="1">
      <alignment horizontal="center" vertical="top"/>
    </xf>
    <xf borderId="0" fillId="0" fontId="5" numFmtId="49" xfId="0" applyAlignment="1" applyFont="1" applyNumberFormat="1">
      <alignment vertical="center"/>
    </xf>
    <xf borderId="0" fillId="0" fontId="1" numFmtId="49" xfId="0" applyFont="1" applyNumberFormat="1"/>
    <xf borderId="41" fillId="0" fontId="1" numFmtId="49" xfId="0" applyBorder="1" applyFont="1" applyNumberFormat="1"/>
    <xf borderId="41" fillId="0" fontId="6" numFmtId="0" xfId="0" applyBorder="1" applyFont="1"/>
    <xf borderId="0" fillId="0" fontId="37" numFmtId="49" xfId="0" applyAlignment="1" applyFont="1" applyNumberFormat="1">
      <alignment horizontal="center" vertical="center"/>
    </xf>
    <xf borderId="0" fillId="3" fontId="61" numFmtId="176" xfId="0" applyAlignment="1" applyFont="1" applyNumberFormat="1">
      <alignment horizontal="center" vertical="bottom"/>
    </xf>
    <xf borderId="27" fillId="0" fontId="48" numFmtId="0" xfId="0" applyAlignment="1" applyBorder="1" applyFont="1">
      <alignment readingOrder="0"/>
    </xf>
    <xf borderId="0" fillId="0" fontId="1" numFmtId="0" xfId="0" applyAlignment="1" applyFont="1">
      <alignment horizontal="center" vertical="top"/>
    </xf>
    <xf borderId="27" fillId="0" fontId="48" numFmtId="0" xfId="0" applyBorder="1" applyFont="1"/>
    <xf borderId="5" fillId="0" fontId="37" numFmtId="49" xfId="0" applyAlignment="1" applyBorder="1" applyFont="1" applyNumberFormat="1">
      <alignment horizontal="center" vertical="center"/>
    </xf>
    <xf borderId="27" fillId="0" fontId="1" numFmtId="49" xfId="0" applyBorder="1" applyFont="1" applyNumberFormat="1"/>
    <xf borderId="27" fillId="0" fontId="3" numFmtId="49" xfId="0" applyAlignment="1" applyBorder="1" applyFont="1" applyNumberFormat="1">
      <alignment horizontal="center" vertical="center"/>
    </xf>
    <xf borderId="0" fillId="0" fontId="62" numFmtId="0" xfId="0" applyAlignment="1" applyFont="1">
      <alignment horizontal="center" vertical="top"/>
    </xf>
    <xf borderId="0" fillId="0" fontId="47" numFmtId="49" xfId="0" applyAlignment="1" applyFont="1" applyNumberFormat="1">
      <alignment horizontal="center"/>
    </xf>
    <xf borderId="5" fillId="0" fontId="13" numFmtId="49" xfId="0" applyAlignment="1" applyBorder="1" applyFont="1" applyNumberFormat="1">
      <alignment horizontal="center" readingOrder="0" vertical="top"/>
    </xf>
    <xf borderId="5" fillId="3" fontId="63" numFmtId="49" xfId="0" applyAlignment="1" applyBorder="1" applyFont="1" applyNumberFormat="1">
      <alignment horizontal="center" vertical="center"/>
    </xf>
    <xf borderId="0" fillId="0" fontId="3" numFmtId="49" xfId="0" applyAlignment="1" applyFont="1" applyNumberFormat="1">
      <alignment horizontal="center" readingOrder="0" vertical="center"/>
    </xf>
    <xf borderId="27" fillId="3" fontId="64" numFmtId="49" xfId="0" applyBorder="1" applyFont="1" applyNumberFormat="1"/>
    <xf borderId="0" fillId="0" fontId="65" numFmtId="49" xfId="0" applyAlignment="1" applyFont="1" applyNumberFormat="1">
      <alignment horizontal="center" shrinkToFit="0" vertical="top" wrapText="1"/>
    </xf>
    <xf borderId="0" fillId="0" fontId="48" numFmtId="49" xfId="0" applyFont="1" applyNumberFormat="1"/>
    <xf borderId="5" fillId="0" fontId="63" numFmtId="49" xfId="0" applyAlignment="1" applyBorder="1" applyFont="1" applyNumberFormat="1">
      <alignment horizontal="center" vertical="center"/>
    </xf>
    <xf borderId="27" fillId="0" fontId="8" numFmtId="49" xfId="0" applyBorder="1" applyFont="1" applyNumberFormat="1"/>
    <xf borderId="0" fillId="0" fontId="66" numFmtId="49" xfId="0" applyAlignment="1" applyFont="1" applyNumberFormat="1">
      <alignment horizontal="center"/>
    </xf>
    <xf borderId="0" fillId="0" fontId="3" numFmtId="49" xfId="0" applyAlignment="1" applyFont="1" applyNumberFormat="1">
      <alignment horizontal="center"/>
    </xf>
    <xf borderId="0" fillId="0" fontId="62" numFmtId="0" xfId="0" applyAlignment="1" applyFont="1">
      <alignment vertical="top"/>
    </xf>
    <xf borderId="27" fillId="0" fontId="5" numFmtId="49" xfId="0" applyAlignment="1" applyBorder="1" applyFont="1" applyNumberFormat="1">
      <alignment vertical="center"/>
    </xf>
    <xf borderId="27" fillId="0" fontId="3" numFmtId="49" xfId="0" applyAlignment="1" applyBorder="1" applyFont="1" applyNumberFormat="1">
      <alignment horizontal="center" shrinkToFit="0" vertical="center" wrapText="1"/>
    </xf>
    <xf borderId="0" fillId="0" fontId="67" numFmtId="0" xfId="0" applyAlignment="1" applyFont="1">
      <alignment vertical="center"/>
    </xf>
    <xf borderId="2" fillId="0" fontId="5" numFmtId="0" xfId="0" applyAlignment="1" applyBorder="1" applyFont="1">
      <alignment vertical="top"/>
    </xf>
    <xf borderId="22" fillId="0" fontId="48" numFmtId="0" xfId="0" applyAlignment="1" applyBorder="1" applyFont="1">
      <alignment vertical="bottom"/>
    </xf>
    <xf borderId="5" fillId="0" fontId="5" numFmtId="0" xfId="0" applyAlignment="1" applyBorder="1" applyFont="1">
      <alignment vertical="top"/>
    </xf>
    <xf borderId="42" fillId="0" fontId="5" numFmtId="0" xfId="0" applyAlignment="1" applyBorder="1" applyFont="1">
      <alignment vertical="center"/>
    </xf>
    <xf borderId="43" fillId="0" fontId="6" numFmtId="0" xfId="0" applyBorder="1" applyFont="1"/>
    <xf borderId="4" fillId="0" fontId="48" numFmtId="175" xfId="0" applyAlignment="1" applyBorder="1" applyFont="1" applyNumberFormat="1">
      <alignment horizontal="left" vertical="bottom"/>
    </xf>
    <xf borderId="4" fillId="0" fontId="48" numFmtId="181" xfId="0" applyAlignment="1" applyBorder="1" applyFont="1" applyNumberFormat="1">
      <alignment horizontal="left" vertical="bottom"/>
    </xf>
    <xf borderId="4" fillId="0" fontId="48" numFmtId="182" xfId="0" applyAlignment="1" applyBorder="1" applyFont="1" applyNumberFormat="1">
      <alignment horizontal="left" vertical="bottom"/>
    </xf>
    <xf borderId="4" fillId="0" fontId="48" numFmtId="49" xfId="0" applyAlignment="1" applyBorder="1" applyFont="1" applyNumberFormat="1">
      <alignment horizontal="left" vertical="bottom"/>
    </xf>
    <xf borderId="23" fillId="0" fontId="48" numFmtId="0" xfId="0" applyAlignment="1" applyBorder="1" applyFont="1">
      <alignment vertical="bottom"/>
    </xf>
    <xf borderId="44" fillId="7" fontId="5" numFmtId="0" xfId="0" applyAlignment="1" applyBorder="1" applyFill="1" applyFont="1">
      <alignment vertical="center"/>
    </xf>
    <xf borderId="2" fillId="0" fontId="68" numFmtId="0" xfId="0" applyAlignment="1" applyBorder="1" applyFont="1">
      <alignment vertical="center"/>
    </xf>
    <xf borderId="29" fillId="5" fontId="48" numFmtId="0" xfId="0" applyAlignment="1" applyBorder="1" applyFont="1">
      <alignment horizontal="center" vertical="center"/>
    </xf>
    <xf borderId="45" fillId="7" fontId="5" numFmtId="0" xfId="0" applyAlignment="1" applyBorder="1" applyFont="1">
      <alignment vertical="center"/>
    </xf>
    <xf borderId="46" fillId="0" fontId="31" numFmtId="0" xfId="0" applyAlignment="1" applyBorder="1" applyFont="1">
      <alignment horizontal="center" shrinkToFit="0" vertical="center" wrapText="1"/>
    </xf>
    <xf borderId="47" fillId="0" fontId="6" numFmtId="0" xfId="0" applyBorder="1" applyFont="1"/>
    <xf borderId="2" fillId="0" fontId="45" numFmtId="171" xfId="0" applyAlignment="1" applyBorder="1" applyFont="1" applyNumberFormat="1">
      <alignment horizontal="left" vertical="center"/>
    </xf>
    <xf borderId="42" fillId="0" fontId="31" numFmtId="0" xfId="0" applyAlignment="1" applyBorder="1" applyFont="1">
      <alignment horizontal="center" shrinkToFit="0" vertical="center" wrapText="1"/>
    </xf>
    <xf borderId="0" fillId="2" fontId="69" numFmtId="49" xfId="0" applyAlignment="1" applyFont="1" applyNumberFormat="1">
      <alignment horizontal="left" vertical="center"/>
    </xf>
    <xf borderId="0" fillId="2" fontId="70" numFmtId="49" xfId="0" applyAlignment="1" applyFont="1" applyNumberFormat="1">
      <alignment horizontal="left" shrinkToFit="0" vertical="center" wrapText="0"/>
    </xf>
    <xf borderId="48" fillId="2" fontId="2" numFmtId="49" xfId="0" applyAlignment="1" applyBorder="1" applyFont="1" applyNumberFormat="1">
      <alignment horizontal="left" vertical="center"/>
    </xf>
    <xf borderId="48" fillId="2" fontId="71" numFmtId="49" xfId="0" applyAlignment="1" applyBorder="1" applyFont="1" applyNumberFormat="1">
      <alignment horizontal="left" vertical="center"/>
    </xf>
    <xf borderId="49" fillId="2" fontId="72" numFmtId="49" xfId="0" applyAlignment="1" applyBorder="1" applyFont="1" applyNumberFormat="1">
      <alignment horizontal="left" readingOrder="0" shrinkToFit="0" vertical="center" wrapText="0"/>
    </xf>
    <xf borderId="50" fillId="0" fontId="6" numFmtId="0" xfId="0" applyBorder="1" applyFont="1"/>
    <xf borderId="51" fillId="0" fontId="6" numFmtId="0" xfId="0" applyBorder="1" applyFont="1"/>
    <xf borderId="52" fillId="0" fontId="6" numFmtId="0" xfId="0" applyBorder="1" applyFont="1"/>
    <xf borderId="53" fillId="0" fontId="6" numFmtId="0" xfId="0" applyBorder="1" applyFont="1"/>
    <xf borderId="0" fillId="2" fontId="73" numFmtId="0" xfId="0" applyAlignment="1" applyFont="1">
      <alignment horizontal="left" vertical="center"/>
    </xf>
    <xf borderId="22" fillId="0" fontId="26" numFmtId="0" xfId="0" applyAlignment="1" applyBorder="1" applyFont="1">
      <alignment vertical="bottom"/>
    </xf>
    <xf borderId="23" fillId="0" fontId="26" numFmtId="0" xfId="0" applyAlignment="1" applyBorder="1" applyFont="1">
      <alignment vertical="bottom"/>
    </xf>
    <xf borderId="32" fillId="0" fontId="6" numFmtId="0" xfId="0" applyBorder="1" applyFont="1"/>
    <xf borderId="0" fillId="0" fontId="26" numFmtId="0" xfId="0" applyFont="1"/>
    <xf borderId="22" fillId="0" fontId="23" numFmtId="49" xfId="0" applyAlignment="1" applyBorder="1" applyFont="1" applyNumberFormat="1">
      <alignment horizontal="left" readingOrder="0" shrinkToFit="0" vertical="bottom" wrapText="1"/>
    </xf>
    <xf borderId="22" fillId="0" fontId="56" numFmtId="0" xfId="0" applyAlignment="1" applyBorder="1" applyFont="1">
      <alignment horizontal="left" readingOrder="0" vertical="bottom"/>
    </xf>
    <xf borderId="27" fillId="0" fontId="74" numFmtId="0" xfId="0" applyAlignment="1" applyBorder="1" applyFont="1">
      <alignment vertical="bottom"/>
    </xf>
    <xf borderId="0" fillId="0" fontId="37" numFmtId="0" xfId="0" applyAlignment="1" applyFont="1">
      <alignment horizontal="center" vertical="bottom"/>
    </xf>
    <xf borderId="0" fillId="2" fontId="2" numFmtId="0" xfId="0" applyAlignment="1" applyFont="1">
      <alignment horizontal="left" readingOrder="0" vertical="center"/>
    </xf>
    <xf borderId="0" fillId="0" fontId="47" numFmtId="0" xfId="0" applyAlignment="1" applyFont="1">
      <alignment horizontal="center" readingOrder="0" vertical="top"/>
    </xf>
    <xf borderId="0" fillId="0" fontId="1" numFmtId="0" xfId="0" applyAlignment="1" applyFont="1">
      <alignment vertical="center"/>
    </xf>
    <xf borderId="6" fillId="0" fontId="1" numFmtId="0" xfId="0" applyAlignment="1" applyBorder="1" applyFont="1">
      <alignment vertical="center"/>
    </xf>
    <xf borderId="5" fillId="0" fontId="47" numFmtId="0" xfId="0" applyAlignment="1" applyBorder="1" applyFont="1">
      <alignment horizontal="left" vertical="center"/>
    </xf>
    <xf borderId="5" fillId="0" fontId="1" numFmtId="0" xfId="0" applyAlignment="1" applyBorder="1" applyFont="1">
      <alignment vertical="center"/>
    </xf>
    <xf borderId="5" fillId="0" fontId="47" numFmtId="0" xfId="0" applyAlignment="1" applyBorder="1" applyFont="1">
      <alignment horizontal="center" vertical="center"/>
    </xf>
    <xf borderId="29" fillId="0" fontId="18" numFmtId="0" xfId="0" applyAlignment="1" applyBorder="1" applyFont="1">
      <alignment vertical="center"/>
    </xf>
    <xf borderId="6" fillId="0" fontId="37" numFmtId="49" xfId="0" applyAlignment="1" applyBorder="1" applyFont="1" applyNumberFormat="1">
      <alignment horizontal="center" vertical="center"/>
    </xf>
    <xf borderId="0" fillId="0" fontId="75" numFmtId="0" xfId="0" applyAlignment="1" applyFont="1">
      <alignment horizontal="center" vertical="center"/>
    </xf>
    <xf borderId="0" fillId="0" fontId="1" numFmtId="49" xfId="0" applyAlignment="1" applyFont="1" applyNumberFormat="1">
      <alignment vertical="center"/>
    </xf>
    <xf borderId="41" fillId="0" fontId="1" numFmtId="49" xfId="0" applyAlignment="1" applyBorder="1" applyFont="1" applyNumberFormat="1">
      <alignment vertical="center"/>
    </xf>
    <xf borderId="0" fillId="3" fontId="61" numFmtId="176" xfId="0" applyAlignment="1" applyFont="1" applyNumberFormat="1">
      <alignment horizontal="center" vertical="center"/>
    </xf>
    <xf borderId="27" fillId="0" fontId="48" numFmtId="0" xfId="0" applyAlignment="1" applyBorder="1" applyFont="1">
      <alignment vertical="center"/>
    </xf>
    <xf borderId="0" fillId="0" fontId="1" numFmtId="0" xfId="0" applyAlignment="1" applyFont="1">
      <alignment horizontal="center" vertical="center"/>
    </xf>
    <xf borderId="27" fillId="0" fontId="1" numFmtId="49" xfId="0" applyAlignment="1" applyBorder="1" applyFont="1" applyNumberFormat="1">
      <alignment vertical="center"/>
    </xf>
    <xf borderId="0" fillId="0" fontId="38" numFmtId="176" xfId="0" applyAlignment="1" applyFont="1" applyNumberFormat="1">
      <alignment horizontal="center" shrinkToFit="0" vertical="center" wrapText="1"/>
    </xf>
    <xf borderId="0" fillId="0" fontId="62" numFmtId="0" xfId="0" applyAlignment="1" applyFont="1">
      <alignment horizontal="center" vertical="center"/>
    </xf>
    <xf borderId="0" fillId="0" fontId="47" numFmtId="49" xfId="0" applyAlignment="1" applyFont="1" applyNumberFormat="1">
      <alignment horizontal="center" vertical="center"/>
    </xf>
    <xf borderId="6" fillId="0" fontId="63" numFmtId="49" xfId="0" applyAlignment="1" applyBorder="1" applyFont="1" applyNumberFormat="1">
      <alignment horizontal="center" vertical="center"/>
    </xf>
    <xf borderId="0" fillId="0" fontId="65" numFmtId="49" xfId="0" applyAlignment="1" applyFont="1" applyNumberFormat="1">
      <alignment horizontal="center" shrinkToFit="0" vertical="center" wrapText="1"/>
    </xf>
    <xf borderId="0" fillId="0" fontId="48" numFmtId="49" xfId="0" applyAlignment="1" applyFont="1" applyNumberFormat="1">
      <alignment vertical="center"/>
    </xf>
    <xf borderId="5" fillId="0" fontId="13" numFmtId="49" xfId="0" applyAlignment="1" applyBorder="1" applyFont="1" applyNumberFormat="1">
      <alignment horizontal="center" vertical="center"/>
    </xf>
    <xf borderId="6" fillId="0" fontId="13" numFmtId="49" xfId="0" applyAlignment="1" applyBorder="1" applyFont="1" applyNumberFormat="1">
      <alignment horizontal="center" vertical="center"/>
    </xf>
    <xf borderId="27" fillId="0" fontId="8" numFmtId="49" xfId="0" applyAlignment="1" applyBorder="1" applyFont="1" applyNumberFormat="1">
      <alignment vertical="center"/>
    </xf>
    <xf borderId="0" fillId="0" fontId="66" numFmtId="49" xfId="0" applyAlignment="1" applyFont="1" applyNumberFormat="1">
      <alignment horizontal="center" vertical="center"/>
    </xf>
    <xf borderId="0" fillId="0" fontId="62" numFmtId="0" xfId="0" applyAlignment="1" applyFont="1">
      <alignment vertical="center"/>
    </xf>
    <xf borderId="0" fillId="2" fontId="2" numFmtId="0" xfId="0" applyAlignment="1" applyFont="1">
      <alignment horizontal="left" shrinkToFit="0" vertical="center" wrapText="1"/>
    </xf>
    <xf borderId="15" fillId="0" fontId="5" numFmtId="49" xfId="0" applyAlignment="1" applyBorder="1" applyFont="1" applyNumberFormat="1">
      <alignment vertical="center"/>
    </xf>
    <xf borderId="15" fillId="0" fontId="48" numFmtId="49" xfId="0" applyAlignment="1" applyBorder="1" applyFont="1" applyNumberFormat="1">
      <alignment vertical="center"/>
    </xf>
    <xf borderId="0" fillId="0" fontId="3" numFmtId="49" xfId="0" applyAlignment="1" applyFont="1" applyNumberFormat="1">
      <alignment horizontal="center" shrinkToFit="0" vertical="center" wrapText="1"/>
    </xf>
    <xf borderId="0" fillId="0" fontId="38" numFmtId="183" xfId="0" applyAlignment="1" applyFont="1" applyNumberFormat="1">
      <alignment horizontal="center" shrinkToFit="0" vertical="center" wrapText="1"/>
    </xf>
    <xf borderId="5" fillId="0" fontId="9" numFmtId="0" xfId="0" applyAlignment="1" applyBorder="1" applyFont="1">
      <alignment horizontal="left" vertical="center"/>
    </xf>
    <xf borderId="9" fillId="5" fontId="48" numFmtId="0" xfId="0" applyAlignment="1" applyBorder="1" applyFont="1">
      <alignment horizontal="left" vertical="center"/>
    </xf>
    <xf borderId="9" fillId="0" fontId="18" numFmtId="0" xfId="0" applyAlignment="1" applyBorder="1" applyFont="1">
      <alignment vertical="center"/>
    </xf>
    <xf borderId="9" fillId="5" fontId="48" numFmtId="0" xfId="0" applyAlignment="1" applyBorder="1" applyFont="1">
      <alignment horizontal="center" vertical="center"/>
    </xf>
    <xf borderId="54" fillId="5" fontId="76" numFmtId="0" xfId="0" applyAlignment="1" applyBorder="1" applyFont="1">
      <alignment horizontal="right" vertical="center"/>
    </xf>
    <xf borderId="54" fillId="0" fontId="6" numFmtId="0" xfId="0" applyBorder="1" applyFont="1"/>
    <xf borderId="54" fillId="0" fontId="18" numFmtId="0" xfId="0" applyAlignment="1" applyBorder="1" applyFont="1">
      <alignment vertical="center"/>
    </xf>
    <xf borderId="54" fillId="5" fontId="77" numFmtId="0" xfId="0" applyAlignment="1" applyBorder="1" applyFont="1">
      <alignment horizontal="center" vertical="center"/>
    </xf>
    <xf borderId="29" fillId="5" fontId="23" numFmtId="0" xfId="0" applyAlignment="1" applyBorder="1" applyFont="1">
      <alignment horizontal="left" readingOrder="0" vertical="center"/>
    </xf>
    <xf borderId="6" fillId="3" fontId="48" numFmtId="0" xfId="0" applyAlignment="1" applyBorder="1" applyFont="1">
      <alignment horizontal="center" vertical="center"/>
    </xf>
    <xf borderId="6" fillId="3" fontId="5" numFmtId="0" xfId="0" applyAlignment="1" applyBorder="1" applyFont="1">
      <alignment vertical="center"/>
    </xf>
    <xf borderId="6" fillId="3" fontId="1" numFmtId="0" xfId="0" applyAlignment="1" applyBorder="1" applyFont="1">
      <alignment vertical="center"/>
    </xf>
    <xf borderId="0" fillId="3" fontId="48" numFmtId="0" xfId="0" applyAlignment="1" applyFont="1">
      <alignment horizontal="center" vertical="center"/>
    </xf>
    <xf borderId="0" fillId="3" fontId="5" numFmtId="0" xfId="0" applyAlignment="1" applyFont="1">
      <alignment vertical="center"/>
    </xf>
    <xf borderId="0" fillId="3" fontId="1" numFmtId="0" xfId="0" applyAlignment="1" applyFont="1">
      <alignment vertical="center"/>
    </xf>
    <xf borderId="0" fillId="0" fontId="78" numFmtId="0" xfId="0" applyAlignment="1" applyFont="1">
      <alignment horizontal="center" vertical="center"/>
    </xf>
    <xf borderId="0" fillId="0" fontId="79" numFmtId="0" xfId="0" applyFont="1"/>
    <xf borderId="0" fillId="8" fontId="2" numFmtId="0" xfId="0" applyAlignment="1" applyFill="1" applyFont="1">
      <alignment horizontal="left" vertical="bottom"/>
    </xf>
    <xf borderId="0" fillId="8" fontId="80" numFmtId="0" xfId="0" applyAlignment="1" applyFont="1">
      <alignment horizontal="left" vertical="bottom"/>
    </xf>
    <xf borderId="6" fillId="0" fontId="1" numFmtId="0" xfId="0" applyBorder="1" applyFont="1"/>
    <xf borderId="5" fillId="0" fontId="81" numFmtId="0" xfId="0" applyAlignment="1" applyBorder="1" applyFont="1">
      <alignment horizontal="center" readingOrder="0" vertical="center"/>
    </xf>
    <xf borderId="5" fillId="0" fontId="82" numFmtId="0" xfId="0" applyAlignment="1" applyBorder="1" applyFont="1">
      <alignment horizontal="center" readingOrder="0" vertical="center"/>
    </xf>
    <xf borderId="5" fillId="0" fontId="83" numFmtId="0" xfId="0" applyAlignment="1" applyBorder="1" applyFont="1">
      <alignment horizontal="center" readingOrder="0" vertical="center"/>
    </xf>
    <xf borderId="5" fillId="0" fontId="84" numFmtId="0" xfId="0" applyAlignment="1" applyBorder="1" applyFont="1">
      <alignment horizontal="center" readingOrder="0" vertical="center"/>
    </xf>
    <xf borderId="5" fillId="0" fontId="83" numFmtId="184" xfId="0" applyAlignment="1" applyBorder="1" applyFont="1" applyNumberFormat="1">
      <alignment horizontal="center" readingOrder="0" vertical="center"/>
    </xf>
    <xf borderId="6" fillId="0" fontId="79" numFmtId="0" xfId="0" applyBorder="1" applyFont="1"/>
    <xf borderId="22" fillId="0" fontId="1" numFmtId="0" xfId="0" applyBorder="1" applyFont="1"/>
    <xf borderId="22" fillId="0" fontId="85" numFmtId="0" xfId="0" applyAlignment="1" applyBorder="1" applyFont="1">
      <alignment horizontal="left" readingOrder="0"/>
    </xf>
    <xf borderId="27" fillId="0" fontId="1" numFmtId="0" xfId="0" applyBorder="1" applyFont="1"/>
    <xf borderId="27" fillId="0" fontId="78" numFmtId="0" xfId="0" applyAlignment="1" applyBorder="1" applyFont="1">
      <alignment horizontal="center" vertical="center"/>
    </xf>
    <xf borderId="27" fillId="0" fontId="79" numFmtId="0" xfId="0" applyBorder="1" applyFont="1"/>
    <xf borderId="27" fillId="0" fontId="47" numFmtId="0" xfId="0" applyAlignment="1" applyBorder="1" applyFont="1">
      <alignment horizontal="center" vertical="bottom"/>
    </xf>
    <xf borderId="27" fillId="0" fontId="47" numFmtId="49" xfId="0" applyAlignment="1" applyBorder="1" applyFont="1" applyNumberFormat="1">
      <alignment horizontal="left" vertical="bottom"/>
    </xf>
    <xf borderId="27" fillId="0" fontId="86" numFmtId="49" xfId="0" applyAlignment="1" applyBorder="1" applyFont="1" applyNumberFormat="1">
      <alignment horizontal="center" readingOrder="0" vertical="center"/>
    </xf>
    <xf borderId="27" fillId="3" fontId="87" numFmtId="179" xfId="0" applyAlignment="1" applyBorder="1" applyFont="1" applyNumberFormat="1">
      <alignment horizontal="center" vertical="bottom"/>
    </xf>
    <xf borderId="27" fillId="3" fontId="87" numFmtId="178" xfId="0" applyAlignment="1" applyBorder="1" applyFont="1" applyNumberFormat="1">
      <alignment horizontal="center" vertical="bottom"/>
    </xf>
    <xf borderId="34" fillId="3" fontId="47" numFmtId="178" xfId="0" applyAlignment="1" applyBorder="1" applyFont="1" applyNumberFormat="1">
      <alignment horizontal="right" vertical="bottom"/>
    </xf>
    <xf borderId="34" fillId="0" fontId="1" numFmtId="0" xfId="0" applyBorder="1" applyFont="1"/>
    <xf borderId="27" fillId="8" fontId="2" numFmtId="0" xfId="0" applyAlignment="1" applyBorder="1" applyFont="1">
      <alignment horizontal="left" vertical="bottom"/>
    </xf>
    <xf borderId="55" fillId="8" fontId="2" numFmtId="0" xfId="0" applyAlignment="1" applyBorder="1" applyFont="1">
      <alignment horizontal="left" shrinkToFit="0" vertical="bottom" wrapText="0"/>
    </xf>
    <xf borderId="56" fillId="8" fontId="2" numFmtId="0" xfId="0" applyAlignment="1" applyBorder="1" applyFont="1">
      <alignment horizontal="left" vertical="bottom"/>
    </xf>
    <xf borderId="23" fillId="0" fontId="88" numFmtId="0" xfId="0" applyAlignment="1" applyBorder="1" applyFont="1">
      <alignment horizontal="right" readingOrder="0" vertical="center"/>
    </xf>
    <xf borderId="23" fillId="0" fontId="65" numFmtId="49" xfId="0" applyAlignment="1" applyBorder="1" applyFont="1" applyNumberFormat="1">
      <alignment readingOrder="0" vertical="center"/>
    </xf>
    <xf borderId="23" fillId="3" fontId="89" numFmtId="185" xfId="0" applyAlignment="1" applyBorder="1" applyFont="1" applyNumberFormat="1">
      <alignment horizontal="center" readingOrder="0" vertical="center"/>
    </xf>
    <xf borderId="23" fillId="3" fontId="89" numFmtId="178" xfId="0" applyAlignment="1" applyBorder="1" applyFont="1" applyNumberFormat="1">
      <alignment horizontal="center" readingOrder="0" vertical="center"/>
    </xf>
    <xf borderId="57" fillId="3" fontId="65" numFmtId="178" xfId="0" applyAlignment="1" applyBorder="1" applyFont="1" applyNumberFormat="1">
      <alignment horizontal="right" readingOrder="0" vertical="center"/>
    </xf>
    <xf borderId="58" fillId="0" fontId="90" numFmtId="0" xfId="0" applyBorder="1" applyFont="1"/>
    <xf borderId="23" fillId="0" fontId="88" numFmtId="0" xfId="0" applyAlignment="1" applyBorder="1" applyFont="1">
      <alignment horizontal="right" vertical="center"/>
    </xf>
    <xf borderId="59" fillId="8" fontId="2" numFmtId="0" xfId="0" applyAlignment="1" applyBorder="1" applyFont="1">
      <alignment horizontal="left" vertical="bottom"/>
    </xf>
    <xf borderId="60" fillId="8" fontId="2" numFmtId="178" xfId="0" applyAlignment="1" applyBorder="1" applyFont="1" applyNumberFormat="1">
      <alignment horizontal="left" vertical="bottom"/>
    </xf>
    <xf borderId="57" fillId="8" fontId="2" numFmtId="178" xfId="0" applyAlignment="1" applyBorder="1" applyFont="1" applyNumberFormat="1">
      <alignment horizontal="left" vertical="bottom"/>
    </xf>
    <xf borderId="57" fillId="3" fontId="65" numFmtId="178" xfId="0" applyAlignment="1" applyBorder="1" applyFont="1" applyNumberFormat="1">
      <alignment horizontal="right" vertical="center"/>
    </xf>
    <xf borderId="23" fillId="0" fontId="34" numFmtId="49" xfId="0" applyAlignment="1" applyBorder="1" applyFont="1" applyNumberFormat="1">
      <alignment readingOrder="0" vertical="center"/>
    </xf>
    <xf borderId="23" fillId="3" fontId="89" numFmtId="178" xfId="0" applyAlignment="1" applyBorder="1" applyFont="1" applyNumberFormat="1">
      <alignment horizontal="center" vertical="center"/>
    </xf>
    <xf borderId="23" fillId="3" fontId="68" numFmtId="185" xfId="0" applyAlignment="1" applyBorder="1" applyFont="1" applyNumberFormat="1">
      <alignment horizontal="center" readingOrder="0" vertical="center"/>
    </xf>
    <xf borderId="23" fillId="3" fontId="89" numFmtId="185" xfId="0" applyAlignment="1" applyBorder="1" applyFont="1" applyNumberFormat="1">
      <alignment horizontal="center" vertical="center"/>
    </xf>
    <xf borderId="23" fillId="0" fontId="65" numFmtId="49" xfId="0" applyAlignment="1" applyBorder="1" applyFont="1" applyNumberFormat="1">
      <alignment vertical="center"/>
    </xf>
    <xf borderId="23" fillId="3" fontId="68" numFmtId="185" xfId="0" applyAlignment="1" applyBorder="1" applyFont="1" applyNumberFormat="1">
      <alignment horizontal="center" vertical="center"/>
    </xf>
    <xf borderId="61" fillId="8" fontId="2" numFmtId="0" xfId="0" applyAlignment="1" applyBorder="1" applyFont="1">
      <alignment horizontal="left" vertical="bottom"/>
    </xf>
    <xf borderId="62" fillId="8" fontId="2" numFmtId="178" xfId="0" applyAlignment="1" applyBorder="1" applyFont="1" applyNumberFormat="1">
      <alignment horizontal="left" vertical="bottom"/>
    </xf>
    <xf borderId="6" fillId="0" fontId="19" numFmtId="0" xfId="0" applyAlignment="1" applyBorder="1" applyFont="1">
      <alignment horizontal="center" readingOrder="0"/>
    </xf>
    <xf borderId="6" fillId="0" fontId="19" numFmtId="186" xfId="0" applyAlignment="1" applyBorder="1" applyFont="1" applyNumberFormat="1">
      <alignment horizontal="right"/>
    </xf>
    <xf borderId="6" fillId="0" fontId="91" numFmtId="0" xfId="0" applyAlignment="1" applyBorder="1" applyFont="1">
      <alignment horizontal="center" readingOrder="0"/>
    </xf>
    <xf borderId="6" fillId="0" fontId="19" numFmtId="187" xfId="0" applyAlignment="1" applyBorder="1" applyFont="1" applyNumberFormat="1">
      <alignment horizontal="left"/>
    </xf>
    <xf borderId="0" fillId="8" fontId="2" numFmtId="178" xfId="0" applyAlignment="1" applyFont="1" applyNumberFormat="1">
      <alignment horizontal="left" vertical="bottom"/>
    </xf>
    <xf borderId="6" fillId="0" fontId="5" numFmtId="0" xfId="0" applyAlignment="1" applyBorder="1" applyFont="1">
      <alignment vertical="center"/>
    </xf>
    <xf borderId="6" fillId="0" fontId="92" numFmtId="188" xfId="0" applyAlignment="1" applyBorder="1" applyFont="1" applyNumberFormat="1">
      <alignment horizontal="center" readingOrder="0" vertical="center"/>
    </xf>
    <xf borderId="6" fillId="0" fontId="78" numFmtId="0" xfId="0" applyAlignment="1" applyBorder="1" applyFont="1">
      <alignment horizontal="center" vertical="center"/>
    </xf>
    <xf borderId="23" fillId="0" fontId="47" numFmtId="0" xfId="0" applyAlignment="1" applyBorder="1" applyFont="1">
      <alignment horizontal="center" vertical="bottom"/>
    </xf>
    <xf borderId="23" fillId="0" fontId="47" numFmtId="49" xfId="0" applyAlignment="1" applyBorder="1" applyFont="1" applyNumberFormat="1">
      <alignment horizontal="left" vertical="bottom"/>
    </xf>
    <xf borderId="23" fillId="0" fontId="86" numFmtId="49" xfId="0" applyAlignment="1" applyBorder="1" applyFont="1" applyNumberFormat="1">
      <alignment horizontal="center" readingOrder="0" vertical="top"/>
    </xf>
    <xf borderId="23" fillId="3" fontId="87" numFmtId="179" xfId="0" applyAlignment="1" applyBorder="1" applyFont="1" applyNumberFormat="1">
      <alignment horizontal="center" vertical="bottom"/>
    </xf>
    <xf borderId="23" fillId="3" fontId="87" numFmtId="178" xfId="0" applyAlignment="1" applyBorder="1" applyFont="1" applyNumberFormat="1">
      <alignment horizontal="center" vertical="bottom"/>
    </xf>
    <xf borderId="23" fillId="0" fontId="86" numFmtId="49" xfId="0" applyAlignment="1" applyBorder="1" applyFont="1" applyNumberFormat="1">
      <alignment horizontal="center" readingOrder="0" vertical="bottom"/>
    </xf>
    <xf borderId="6" fillId="0" fontId="19" numFmtId="0" xfId="0" applyAlignment="1" applyBorder="1" applyFont="1">
      <alignment horizontal="center" readingOrder="0" vertical="center"/>
    </xf>
    <xf borderId="5" fillId="0" fontId="92" numFmtId="184" xfId="0" applyAlignment="1" applyBorder="1" applyFont="1" applyNumberFormat="1">
      <alignment horizontal="center" readingOrder="0" vertical="center"/>
    </xf>
    <xf borderId="22" fillId="0" fontId="93" numFmtId="0" xfId="0" applyAlignment="1" applyBorder="1" applyFont="1">
      <alignment readingOrder="0"/>
    </xf>
    <xf borderId="0" fillId="0" fontId="47" numFmtId="0" xfId="0" applyAlignment="1" applyFont="1">
      <alignment horizontal="right" readingOrder="0"/>
    </xf>
    <xf borderId="0" fillId="0" fontId="47" numFmtId="0" xfId="0" applyAlignment="1" applyFont="1">
      <alignment readingOrder="0"/>
    </xf>
    <xf borderId="23" fillId="0" fontId="65" numFmtId="184" xfId="0" applyAlignment="1" applyBorder="1" applyFont="1" applyNumberFormat="1">
      <alignment horizontal="right" vertical="bottom"/>
    </xf>
    <xf borderId="23" fillId="0" fontId="65" numFmtId="0" xfId="0" applyAlignment="1" applyBorder="1" applyFont="1">
      <alignment horizontal="left" readingOrder="0" vertical="bottom"/>
    </xf>
    <xf borderId="34" fillId="3" fontId="89" numFmtId="178" xfId="0" applyAlignment="1" applyBorder="1" applyFont="1" applyNumberFormat="1">
      <alignment horizontal="right" vertical="bottom"/>
    </xf>
    <xf borderId="34" fillId="0" fontId="33" numFmtId="0" xfId="0" applyBorder="1" applyFont="1"/>
    <xf borderId="23" fillId="0" fontId="65" numFmtId="0" xfId="0" applyAlignment="1" applyBorder="1" applyFont="1">
      <alignment horizontal="left" vertical="bottom"/>
    </xf>
    <xf borderId="23" fillId="3" fontId="65" numFmtId="184" xfId="0" applyAlignment="1" applyBorder="1" applyFont="1" applyNumberFormat="1">
      <alignment horizontal="right" readingOrder="0" vertical="center"/>
    </xf>
    <xf borderId="23" fillId="3" fontId="65" numFmtId="178" xfId="0" applyAlignment="1" applyBorder="1" applyFont="1" applyNumberFormat="1">
      <alignment horizontal="left" readingOrder="0" vertical="center"/>
    </xf>
    <xf borderId="58" fillId="0" fontId="33" numFmtId="0" xfId="0" applyBorder="1" applyFont="1"/>
    <xf borderId="23" fillId="3" fontId="65" numFmtId="184" xfId="0" applyAlignment="1" applyBorder="1" applyFont="1" applyNumberFormat="1">
      <alignment horizontal="right" vertical="center"/>
    </xf>
    <xf borderId="23" fillId="3" fontId="65" numFmtId="178" xfId="0" applyAlignment="1" applyBorder="1" applyFont="1" applyNumberFormat="1">
      <alignment horizontal="left" vertical="center"/>
    </xf>
    <xf borderId="0" fillId="0" fontId="3" numFmtId="0" xfId="0" applyAlignment="1" applyFont="1">
      <alignment horizontal="center"/>
    </xf>
    <xf borderId="0" fillId="0" fontId="1" numFmtId="0" xfId="0" applyAlignment="1" applyFont="1">
      <alignment vertical="top"/>
    </xf>
    <xf borderId="0" fillId="2" fontId="94" numFmtId="0" xfId="0" applyAlignment="1" applyFont="1">
      <alignment horizontal="left"/>
    </xf>
    <xf borderId="0" fillId="2" fontId="18" numFmtId="0" xfId="0" applyAlignment="1" applyFont="1">
      <alignment vertical="bottom"/>
    </xf>
    <xf borderId="5" fillId="0" fontId="5" numFmtId="49" xfId="0" applyAlignment="1" applyBorder="1" applyFont="1" applyNumberFormat="1">
      <alignment vertical="center"/>
    </xf>
    <xf borderId="22" fillId="0" fontId="47" numFmtId="0" xfId="0" applyAlignment="1" applyBorder="1" applyFont="1">
      <alignment horizontal="center" vertical="bottom"/>
    </xf>
    <xf borderId="22" fillId="0" fontId="47" numFmtId="49" xfId="0" applyAlignment="1" applyBorder="1" applyFont="1" applyNumberFormat="1">
      <alignment horizontal="left" vertical="bottom"/>
    </xf>
    <xf borderId="22" fillId="3" fontId="47" numFmtId="179" xfId="0" applyAlignment="1" applyBorder="1" applyFont="1" applyNumberFormat="1">
      <alignment horizontal="right" vertical="bottom"/>
    </xf>
    <xf borderId="22" fillId="3" fontId="47" numFmtId="178" xfId="0" applyAlignment="1" applyBorder="1" applyFont="1" applyNumberFormat="1">
      <alignment horizontal="right" vertical="bottom"/>
    </xf>
    <xf borderId="5" fillId="0" fontId="1" numFmtId="0" xfId="0" applyAlignment="1" applyBorder="1" applyFont="1">
      <alignment vertical="top"/>
    </xf>
    <xf borderId="27" fillId="2" fontId="2" numFmtId="0" xfId="0" applyAlignment="1" applyBorder="1" applyFont="1">
      <alignment horizontal="left" vertical="bottom"/>
    </xf>
    <xf borderId="55" fillId="2" fontId="2" numFmtId="0" xfId="0" applyAlignment="1" applyBorder="1" applyFont="1">
      <alignment horizontal="left" shrinkToFit="0" vertical="bottom" wrapText="0"/>
    </xf>
    <xf borderId="56" fillId="2" fontId="2" numFmtId="0" xfId="0" applyAlignment="1" applyBorder="1" applyFont="1">
      <alignment vertical="bottom"/>
    </xf>
    <xf borderId="23" fillId="0" fontId="48" numFmtId="0" xfId="0" applyAlignment="1" applyBorder="1" applyFont="1">
      <alignment horizontal="right" vertical="center"/>
    </xf>
    <xf borderId="23" fillId="0" fontId="48" numFmtId="49" xfId="0" applyAlignment="1" applyBorder="1" applyFont="1" applyNumberFormat="1">
      <alignment readingOrder="0" vertical="center"/>
    </xf>
    <xf borderId="23" fillId="3" fontId="48" numFmtId="179" xfId="0" applyAlignment="1" applyBorder="1" applyFont="1" applyNumberFormat="1">
      <alignment horizontal="right" vertical="center"/>
    </xf>
    <xf borderId="23" fillId="3" fontId="48" numFmtId="178" xfId="0" applyAlignment="1" applyBorder="1" applyFont="1" applyNumberFormat="1">
      <alignment horizontal="right" vertical="center"/>
    </xf>
    <xf borderId="23" fillId="0" fontId="48" numFmtId="49" xfId="0" applyAlignment="1" applyBorder="1" applyFont="1" applyNumberFormat="1">
      <alignment vertical="center"/>
    </xf>
    <xf borderId="59" fillId="2" fontId="2" numFmtId="0" xfId="0" applyAlignment="1" applyBorder="1" applyFont="1">
      <alignment horizontal="left" vertical="bottom"/>
    </xf>
    <xf borderId="60" fillId="2" fontId="2" numFmtId="178" xfId="0" applyAlignment="1" applyBorder="1" applyFont="1" applyNumberFormat="1">
      <alignment horizontal="left" vertical="bottom"/>
    </xf>
    <xf borderId="59" fillId="2" fontId="2" numFmtId="0" xfId="0" applyAlignment="1" applyBorder="1" applyFont="1">
      <alignment vertical="bottom"/>
    </xf>
    <xf borderId="23" fillId="3" fontId="56" numFmtId="179" xfId="0" applyAlignment="1" applyBorder="1" applyFont="1" applyNumberFormat="1">
      <alignment horizontal="right" vertical="center"/>
    </xf>
    <xf borderId="5" fillId="0" fontId="95" numFmtId="0" xfId="0" applyAlignment="1" applyBorder="1" applyFont="1">
      <alignment horizontal="center" readingOrder="0" vertical="center"/>
    </xf>
    <xf borderId="23" fillId="3" fontId="23" numFmtId="178" xfId="0" applyAlignment="1" applyBorder="1" applyFont="1" applyNumberFormat="1">
      <alignment horizontal="right" readingOrder="0" vertical="center"/>
    </xf>
    <xf borderId="23" fillId="3" fontId="48" numFmtId="179" xfId="0" applyAlignment="1" applyBorder="1" applyFont="1" applyNumberFormat="1">
      <alignment horizontal="right" readingOrder="0" vertical="center"/>
    </xf>
    <xf borderId="27" fillId="0" fontId="5" numFmtId="0" xfId="0" applyAlignment="1" applyBorder="1" applyFont="1">
      <alignment vertical="center"/>
    </xf>
    <xf borderId="27" fillId="0" fontId="1" numFmtId="0" xfId="0" applyBorder="1" applyFont="1"/>
    <xf borderId="0" fillId="0" fontId="37" numFmtId="0" xfId="0" applyAlignment="1" applyFont="1">
      <alignment horizontal="left" vertical="bottom"/>
    </xf>
    <xf borderId="22" fillId="0" fontId="53" numFmtId="189" xfId="0" applyAlignment="1" applyBorder="1" applyFont="1" applyNumberFormat="1">
      <alignment horizontal="center" vertical="bottom"/>
    </xf>
    <xf borderId="0" fillId="0" fontId="54" numFmtId="189" xfId="0" applyAlignment="1" applyFont="1" applyNumberFormat="1">
      <alignment horizontal="center" vertical="center"/>
    </xf>
    <xf borderId="22" fillId="0" fontId="53" numFmtId="178" xfId="0" applyAlignment="1" applyBorder="1" applyFont="1" applyNumberFormat="1">
      <alignment horizontal="center" vertical="bottom"/>
    </xf>
    <xf borderId="0" fillId="0" fontId="54" numFmtId="190" xfId="0" applyAlignment="1" applyFont="1" applyNumberFormat="1">
      <alignment horizontal="center" vertical="center"/>
    </xf>
    <xf borderId="27" fillId="0" fontId="37" numFmtId="0" xfId="0" applyAlignment="1" applyBorder="1" applyFont="1">
      <alignment horizontal="center" vertical="bottom"/>
    </xf>
    <xf borderId="27" fillId="0" fontId="3" numFmtId="179" xfId="0" applyAlignment="1" applyBorder="1" applyFont="1" applyNumberFormat="1">
      <alignment horizontal="center" vertical="center"/>
    </xf>
    <xf borderId="23" fillId="0" fontId="1" numFmtId="0" xfId="0" applyBorder="1" applyFont="1"/>
    <xf borderId="63" fillId="2" fontId="2" numFmtId="0" xfId="0" applyAlignment="1" applyBorder="1" applyFont="1">
      <alignment horizontal="left" vertical="bottom"/>
    </xf>
    <xf borderId="57" fillId="2" fontId="2" numFmtId="178" xfId="0" applyAlignment="1" applyBorder="1" applyFont="1" applyNumberFormat="1">
      <alignment horizontal="left" vertical="bottom"/>
    </xf>
    <xf borderId="25" fillId="0" fontId="1" numFmtId="0" xfId="0" applyAlignment="1" applyBorder="1" applyFont="1">
      <alignment horizontal="center"/>
    </xf>
    <xf borderId="0" fillId="2" fontId="2" numFmtId="0" xfId="0" applyAlignment="1" applyFont="1">
      <alignment horizontal="left" vertical="bottom"/>
    </xf>
    <xf borderId="0" fillId="2" fontId="2" numFmtId="178" xfId="0" applyAlignment="1" applyFont="1" applyNumberFormat="1">
      <alignment horizontal="left" vertical="bottom"/>
    </xf>
    <xf borderId="0" fillId="0" fontId="90" numFmtId="0" xfId="0" applyFont="1"/>
    <xf borderId="0" fillId="0" fontId="90" numFmtId="0" xfId="0" applyAlignment="1" applyFont="1">
      <alignment vertical="top"/>
    </xf>
    <xf borderId="22" fillId="0" fontId="96" numFmtId="0" xfId="0" applyAlignment="1" applyBorder="1" applyFont="1">
      <alignment horizontal="left"/>
    </xf>
    <xf borderId="23" fillId="0" fontId="34" numFmtId="0" xfId="0" applyAlignment="1" applyBorder="1" applyFont="1">
      <alignment horizontal="left"/>
    </xf>
    <xf borderId="23" fillId="0" fontId="97" numFmtId="0" xfId="0" applyAlignment="1" applyBorder="1" applyFont="1">
      <alignment horizontal="left"/>
    </xf>
    <xf borderId="27" fillId="0" fontId="96" numFmtId="0" xfId="0" applyAlignment="1" applyBorder="1" applyFont="1">
      <alignment horizontal="left"/>
    </xf>
    <xf borderId="27" fillId="0" fontId="34" numFmtId="0" xfId="0" applyAlignment="1" applyBorder="1" applyFont="1">
      <alignment horizontal="left"/>
    </xf>
    <xf borderId="23" fillId="0" fontId="96" numFmtId="0" xfId="0" applyAlignment="1" applyBorder="1" applyFont="1">
      <alignment horizontal="left"/>
    </xf>
    <xf borderId="23" fillId="0" fontId="96" numFmtId="0" xfId="0" applyAlignment="1" applyBorder="1" applyFont="1">
      <alignment horizontal="left" vertical="bottom"/>
    </xf>
    <xf borderId="27" fillId="0" fontId="34" numFmtId="0" xfId="0" applyAlignment="1" applyBorder="1" applyFont="1">
      <alignment horizontal="left" vertical="bottom"/>
    </xf>
    <xf borderId="27" fillId="0" fontId="96" numFmtId="0" xfId="0" applyAlignment="1" applyBorder="1" applyFont="1">
      <alignment horizontal="left" vertical="bottom"/>
    </xf>
    <xf borderId="23" fillId="0" fontId="96" numFmtId="0" xfId="0" applyAlignment="1" applyBorder="1" applyFont="1">
      <alignment vertical="bottom"/>
    </xf>
    <xf borderId="27" fillId="0" fontId="34" numFmtId="0" xfId="0" applyAlignment="1" applyBorder="1" applyFont="1">
      <alignment vertical="bottom"/>
    </xf>
    <xf borderId="27" fillId="0" fontId="96" numFmtId="0" xfId="0" applyAlignment="1" applyBorder="1" applyFont="1">
      <alignment vertical="bottom"/>
    </xf>
    <xf borderId="27" fillId="3" fontId="98" numFmtId="0" xfId="0" applyAlignment="1" applyBorder="1" applyFont="1">
      <alignment vertical="bottom"/>
    </xf>
    <xf borderId="23" fillId="0" fontId="34" numFmtId="0" xfId="0" applyAlignment="1" applyBorder="1" applyFont="1">
      <alignment horizontal="left" readingOrder="0"/>
    </xf>
    <xf borderId="23" fillId="0" fontId="96" numFmtId="0" xfId="0" applyAlignment="1" applyBorder="1" applyFont="1">
      <alignment horizontal="left" readingOrder="0"/>
    </xf>
    <xf borderId="4" fillId="0" fontId="34" numFmtId="0" xfId="0" applyAlignment="1" applyBorder="1" applyFont="1">
      <alignment horizontal="left"/>
    </xf>
    <xf borderId="6" fillId="0" fontId="99" numFmtId="171" xfId="0" applyAlignment="1" applyBorder="1" applyFont="1" applyNumberFormat="1">
      <alignment horizontal="center" vertical="bottom"/>
    </xf>
    <xf borderId="0" fillId="0" fontId="90" numFmtId="171" xfId="0" applyFont="1" applyNumberFormat="1"/>
    <xf borderId="0" fillId="0" fontId="90" numFmtId="191" xfId="0" applyFont="1" applyNumberFormat="1"/>
    <xf borderId="22" fillId="0" fontId="47" numFmtId="0" xfId="0" applyAlignment="1" applyBorder="1" applyFont="1">
      <alignment horizontal="center" vertical="center"/>
    </xf>
    <xf borderId="22" fillId="0" fontId="27" numFmtId="0" xfId="0" applyAlignment="1" applyBorder="1" applyFont="1">
      <alignment horizontal="center" vertical="center"/>
    </xf>
    <xf borderId="22" fillId="0" fontId="14" numFmtId="0" xfId="0" applyAlignment="1" applyBorder="1" applyFont="1">
      <alignment horizontal="left"/>
    </xf>
    <xf borderId="0" fillId="0" fontId="19" numFmtId="0" xfId="0" applyAlignment="1" applyFont="1">
      <alignment horizontal="right" vertical="center"/>
    </xf>
    <xf borderId="0" fillId="0" fontId="65" numFmtId="0" xfId="0" applyAlignment="1" applyFont="1">
      <alignment horizontal="center" vertical="center"/>
    </xf>
    <xf borderId="0" fillId="0" fontId="100" numFmtId="0" xfId="0" applyAlignment="1" applyFont="1">
      <alignment horizontal="center" vertical="center"/>
    </xf>
    <xf borderId="0" fillId="0" fontId="101" numFmtId="0" xfId="0" applyAlignment="1" applyFont="1">
      <alignment horizontal="center" vertical="center"/>
    </xf>
    <xf borderId="64" fillId="0" fontId="65" numFmtId="192" xfId="0" applyAlignment="1" applyBorder="1" applyFont="1" applyNumberFormat="1">
      <alignment horizontal="center" vertical="center"/>
    </xf>
    <xf borderId="64" fillId="0" fontId="6" numFmtId="0" xfId="0" applyBorder="1" applyFont="1"/>
    <xf borderId="65" fillId="0" fontId="102" numFmtId="0" xfId="0" applyAlignment="1" applyBorder="1" applyFont="1">
      <alignment horizontal="center" vertical="bottom"/>
    </xf>
    <xf borderId="65" fillId="0" fontId="6" numFmtId="0" xfId="0" applyBorder="1" applyFont="1"/>
    <xf borderId="66" fillId="0" fontId="102" numFmtId="0" xfId="0" applyAlignment="1" applyBorder="1" applyFont="1">
      <alignment horizontal="center" vertical="bottom"/>
    </xf>
    <xf borderId="66" fillId="0" fontId="6" numFmtId="0" xfId="0" applyBorder="1" applyFont="1"/>
    <xf borderId="67" fillId="0" fontId="102" numFmtId="0" xfId="0" applyAlignment="1" applyBorder="1" applyFont="1">
      <alignment horizontal="center" vertical="bottom"/>
    </xf>
    <xf borderId="67" fillId="0" fontId="6" numFmtId="0" xfId="0" applyBorder="1" applyFont="1"/>
    <xf borderId="64" fillId="0" fontId="101" numFmtId="0" xfId="0" applyAlignment="1" applyBorder="1" applyFont="1">
      <alignment horizontal="right" vertical="top"/>
    </xf>
    <xf borderId="64" fillId="0" fontId="103" numFmtId="193" xfId="0" applyAlignment="1" applyBorder="1" applyFont="1" applyNumberFormat="1">
      <alignment horizontal="center" vertical="top"/>
    </xf>
    <xf borderId="68" fillId="0" fontId="101" numFmtId="0" xfId="0" applyAlignment="1" applyBorder="1" applyFont="1">
      <alignment horizontal="right" vertical="top"/>
    </xf>
    <xf borderId="68" fillId="0" fontId="103" numFmtId="193" xfId="0" applyAlignment="1" applyBorder="1" applyFont="1" applyNumberFormat="1">
      <alignment horizontal="center" vertical="top"/>
    </xf>
    <xf borderId="69" fillId="0" fontId="101" numFmtId="0" xfId="0" applyAlignment="1" applyBorder="1" applyFont="1">
      <alignment horizontal="right" vertical="top"/>
    </xf>
    <xf borderId="69" fillId="0" fontId="103" numFmtId="193" xfId="0" applyAlignment="1" applyBorder="1" applyFont="1" applyNumberFormat="1">
      <alignment horizontal="center" vertical="top"/>
    </xf>
    <xf borderId="0" fillId="0" fontId="90" numFmtId="0" xfId="0" applyAlignment="1" applyFont="1">
      <alignment readingOrder="0"/>
    </xf>
    <xf borderId="0" fillId="0" fontId="55" numFmtId="0" xfId="0" applyAlignment="1" applyFont="1">
      <alignment horizontal="left" vertical="center"/>
    </xf>
    <xf borderId="34" fillId="0" fontId="37" numFmtId="0" xfId="0" applyAlignment="1" applyBorder="1" applyFont="1">
      <alignment horizontal="center" vertical="bottom"/>
    </xf>
    <xf borderId="5" fillId="0" fontId="5" numFmtId="0" xfId="0" applyAlignment="1" applyBorder="1" applyFont="1">
      <alignment horizontal="center" vertical="center"/>
    </xf>
    <xf borderId="0" fillId="0" fontId="40" numFmtId="0" xfId="0" applyFont="1"/>
    <xf borderId="0" fillId="0" fontId="40" numFmtId="0" xfId="0" applyAlignment="1" applyFont="1">
      <alignment horizontal="center" shrinkToFit="0" wrapText="1"/>
    </xf>
    <xf borderId="0" fillId="0" fontId="40" numFmtId="0" xfId="0" applyAlignment="1" applyFont="1">
      <alignment shrinkToFit="0" wrapText="1"/>
    </xf>
    <xf borderId="0" fillId="0" fontId="40" numFmtId="49" xfId="0" applyAlignment="1" applyFont="1" applyNumberFormat="1">
      <alignment shrinkToFit="0" vertical="center" wrapText="1"/>
    </xf>
    <xf borderId="0" fillId="0" fontId="40" numFmtId="0" xfId="0" applyAlignment="1" applyFont="1">
      <alignment horizontal="center" shrinkToFit="0" vertical="bottom" wrapText="1"/>
    </xf>
    <xf borderId="0" fillId="0" fontId="40" numFmtId="49" xfId="0" applyAlignment="1" applyFont="1" applyNumberFormat="1">
      <alignment shrinkToFit="0" wrapText="1"/>
    </xf>
    <xf borderId="0" fillId="0" fontId="40" numFmtId="0" xfId="0" applyAlignment="1" applyFont="1">
      <alignment horizontal="center" shrinkToFit="0" vertical="center" wrapText="1"/>
    </xf>
    <xf borderId="0" fillId="0" fontId="104" numFmtId="0" xfId="0" applyFont="1"/>
    <xf borderId="2" fillId="0" fontId="40" numFmtId="0" xfId="0" applyAlignment="1" applyBorder="1" applyFont="1">
      <alignment horizontal="center" shrinkToFit="0" wrapText="1"/>
    </xf>
    <xf borderId="5" fillId="0" fontId="105" numFmtId="0" xfId="0" applyAlignment="1" applyBorder="1" applyFont="1">
      <alignment horizontal="center" shrinkToFit="0" vertical="center" wrapText="1"/>
    </xf>
    <xf borderId="0" fillId="0" fontId="40" numFmtId="0" xfId="0" applyAlignment="1" applyFont="1">
      <alignment horizontal="right" shrinkToFit="0" wrapText="1"/>
    </xf>
    <xf borderId="2" fillId="0" fontId="104" numFmtId="0" xfId="0" applyBorder="1" applyFont="1"/>
    <xf borderId="2" fillId="0" fontId="40" numFmtId="0" xfId="0" applyAlignment="1" applyBorder="1" applyFont="1">
      <alignment horizontal="center" shrinkToFit="0" vertical="center" wrapText="1"/>
    </xf>
    <xf borderId="0" fillId="9" fontId="106" numFmtId="0" xfId="0" applyAlignment="1" applyFill="1" applyFont="1">
      <alignment horizontal="center" readingOrder="0" shrinkToFit="0" vertical="center" wrapText="1"/>
    </xf>
    <xf borderId="70" fillId="3" fontId="40" numFmtId="0" xfId="0" applyAlignment="1" applyBorder="1" applyFont="1">
      <alignment horizontal="center" shrinkToFit="0" vertical="center" wrapText="0"/>
    </xf>
    <xf borderId="5" fillId="3" fontId="6" numFmtId="0" xfId="0" applyBorder="1" applyFont="1"/>
    <xf borderId="5" fillId="3" fontId="40" numFmtId="0" xfId="0" applyAlignment="1" applyBorder="1" applyFont="1">
      <alignment horizontal="center" shrinkToFit="0" vertical="center" wrapText="0"/>
    </xf>
    <xf borderId="71" fillId="3" fontId="6" numFmtId="0" xfId="0" applyBorder="1" applyFont="1"/>
    <xf borderId="72" fillId="3" fontId="6" numFmtId="0" xfId="0" applyBorder="1" applyFont="1"/>
    <xf borderId="6" fillId="3" fontId="6" numFmtId="0" xfId="0" applyBorder="1" applyFont="1"/>
    <xf borderId="73" fillId="3" fontId="6" numFmtId="0" xfId="0" applyBorder="1" applyFont="1"/>
    <xf borderId="2" fillId="2" fontId="40" numFmtId="0" xfId="0" applyAlignment="1" applyBorder="1" applyFont="1">
      <alignment horizontal="center" shrinkToFit="0" vertical="center" wrapText="1"/>
    </xf>
    <xf borderId="0" fillId="2" fontId="40" numFmtId="0" xfId="0" applyAlignment="1" applyFont="1">
      <alignment horizontal="center" shrinkToFit="0" vertical="center" wrapText="1"/>
    </xf>
    <xf borderId="0" fillId="2" fontId="38" numFmtId="176" xfId="0" applyAlignment="1" applyFont="1" applyNumberFormat="1">
      <alignment horizontal="center" shrinkToFit="0" vertical="center" wrapText="1"/>
    </xf>
    <xf borderId="3" fillId="2" fontId="6" numFmtId="0" xfId="0" applyBorder="1" applyFont="1"/>
    <xf borderId="2" fillId="3" fontId="40" numFmtId="0" xfId="0" applyAlignment="1" applyBorder="1" applyFont="1">
      <alignment horizontal="center" shrinkToFit="0" vertical="center" wrapText="1"/>
    </xf>
    <xf borderId="0" fillId="3" fontId="40" numFmtId="0" xfId="0" applyAlignment="1" applyFont="1">
      <alignment horizontal="center" shrinkToFit="0" vertical="center" wrapText="1"/>
    </xf>
    <xf borderId="0" fillId="3" fontId="38" numFmtId="176" xfId="0" applyAlignment="1" applyFont="1" applyNumberFormat="1">
      <alignment horizontal="center" shrinkToFit="0" vertical="center" wrapText="1"/>
    </xf>
    <xf borderId="3" fillId="3" fontId="6" numFmtId="0" xfId="0" applyBorder="1" applyFont="1"/>
    <xf borderId="0" fillId="2" fontId="40" numFmtId="0" xfId="0" applyAlignment="1" applyFont="1">
      <alignment horizontal="center" readingOrder="0" shrinkToFit="0" vertical="center" wrapText="1"/>
    </xf>
    <xf borderId="0" fillId="3" fontId="40" numFmtId="0" xfId="0" applyAlignment="1" applyFont="1">
      <alignment horizontal="center" readingOrder="0" shrinkToFit="0" vertical="center" wrapText="1"/>
    </xf>
    <xf borderId="2" fillId="2" fontId="40" numFmtId="0" xfId="0" applyAlignment="1" applyBorder="1" applyFont="1">
      <alignment horizontal="center" readingOrder="0" shrinkToFit="0" vertical="center" wrapText="1"/>
    </xf>
    <xf borderId="0" fillId="2" fontId="38" numFmtId="176" xfId="0" applyAlignment="1" applyFont="1" applyNumberFormat="1">
      <alignment horizontal="center" readingOrder="0" shrinkToFit="0" vertical="center" wrapText="1"/>
    </xf>
    <xf borderId="2" fillId="3" fontId="40" numFmtId="0" xfId="0" applyAlignment="1" applyBorder="1" applyFont="1">
      <alignment horizontal="center" readingOrder="0" shrinkToFit="0" vertical="center" wrapText="1"/>
    </xf>
    <xf borderId="2" fillId="0" fontId="40" numFmtId="0" xfId="0" applyBorder="1" applyFont="1"/>
    <xf borderId="70" fillId="3" fontId="40" numFmtId="0" xfId="0" applyAlignment="1" applyBorder="1" applyFont="1">
      <alignment horizontal="center" shrinkToFit="0" vertical="center" wrapText="1"/>
    </xf>
    <xf borderId="5" fillId="3" fontId="40" numFmtId="0" xfId="0" applyAlignment="1" applyBorder="1" applyFont="1">
      <alignment horizontal="center" shrinkToFit="0" vertical="center" wrapText="1"/>
    </xf>
    <xf borderId="2" fillId="3" fontId="1" numFmtId="0" xfId="0" applyBorder="1" applyFont="1"/>
    <xf borderId="0" fillId="3" fontId="1" numFmtId="0" xfId="0" applyFont="1"/>
    <xf borderId="3" fillId="3" fontId="1" numFmtId="0" xfId="0" applyBorder="1" applyFont="1"/>
    <xf borderId="2" fillId="2" fontId="1" numFmtId="0" xfId="0" applyBorder="1" applyFont="1"/>
    <xf borderId="0" fillId="2" fontId="1" numFmtId="0" xfId="0" applyFont="1"/>
    <xf borderId="3" fillId="2" fontId="1" numFmtId="0" xfId="0" applyBorder="1" applyFont="1"/>
    <xf borderId="2" fillId="0" fontId="40" numFmtId="0" xfId="0" applyAlignment="1" applyBorder="1" applyFont="1">
      <alignment horizontal="center" readingOrder="0" shrinkToFit="0" vertical="center" wrapText="1"/>
    </xf>
    <xf borderId="5" fillId="3" fontId="40" numFmtId="0" xfId="0" applyAlignment="1" applyBorder="1" applyFont="1">
      <alignment horizontal="center" vertical="center"/>
    </xf>
    <xf borderId="5" fillId="3" fontId="40" numFmtId="0" xfId="0" applyAlignment="1" applyBorder="1" applyFont="1">
      <alignment horizontal="center" readingOrder="0" shrinkToFit="0" vertical="center" wrapText="1"/>
    </xf>
    <xf borderId="0" fillId="0" fontId="104" numFmtId="0" xfId="0" applyAlignment="1" applyFont="1">
      <alignment horizontal="center" shrinkToFit="0" vertical="center" wrapText="1"/>
    </xf>
    <xf borderId="5" fillId="2" fontId="40" numFmtId="0" xfId="0" applyAlignment="1" applyBorder="1" applyFont="1">
      <alignment horizontal="center" shrinkToFit="0" wrapText="1"/>
    </xf>
    <xf borderId="5" fillId="2" fontId="6" numFmtId="0" xfId="0" applyBorder="1" applyFont="1"/>
    <xf borderId="0" fillId="3" fontId="40" numFmtId="0" xfId="0" applyAlignment="1" applyFont="1">
      <alignment horizontal="center" shrinkToFit="0" wrapText="1"/>
    </xf>
    <xf borderId="0" fillId="2" fontId="40" numFmtId="0" xfId="0" applyAlignment="1" applyFont="1">
      <alignment horizontal="center" shrinkToFit="0" wrapText="1"/>
    </xf>
    <xf borderId="0" fillId="3" fontId="40" numFmtId="0" xfId="0" applyAlignment="1" applyFont="1">
      <alignment horizontal="center" readingOrder="0" shrinkToFit="0" wrapText="1"/>
    </xf>
    <xf borderId="0" fillId="2" fontId="40" numFmtId="0" xfId="0" applyAlignment="1" applyFont="1">
      <alignment horizontal="center" readingOrder="0" shrinkToFit="0" wrapText="1"/>
    </xf>
    <xf borderId="0" fillId="3" fontId="40" numFmtId="171" xfId="0" applyAlignment="1" applyFont="1" applyNumberFormat="1">
      <alignment horizontal="center" shrinkToFit="0" vertical="center" wrapText="1"/>
    </xf>
    <xf borderId="0" fillId="2" fontId="40" numFmtId="171" xfId="0" applyAlignment="1" applyFont="1" applyNumberFormat="1">
      <alignment horizontal="center" shrinkToFit="0" vertical="center" wrapText="1"/>
    </xf>
    <xf borderId="0" fillId="0" fontId="1" numFmtId="0" xfId="0" applyAlignment="1" applyFont="1">
      <alignment readingOrder="0"/>
    </xf>
  </cellXfs>
  <cellStyles count="1">
    <cellStyle xfId="0" name="Normal" builtinId="0"/>
  </cellStyles>
  <dxfs count="44">
    <dxf>
      <font>
        <color rgb="FFCC0000"/>
      </font>
      <fill>
        <patternFill patternType="none"/>
      </fill>
      <border/>
    </dxf>
    <dxf>
      <font>
        <color rgb="FF990000"/>
      </font>
      <fill>
        <patternFill patternType="none"/>
      </fill>
      <border/>
    </dxf>
    <dxf>
      <font>
        <color rgb="FF660000"/>
      </font>
      <fill>
        <patternFill patternType="none"/>
      </fill>
      <border/>
    </dxf>
    <dxf>
      <font>
        <i/>
        <color rgb="FF980000"/>
      </font>
      <fill>
        <patternFill patternType="solid">
          <fgColor rgb="FFF4C7C3"/>
          <bgColor rgb="FFF4C7C3"/>
        </patternFill>
      </fill>
      <border/>
    </dxf>
    <dxf>
      <font>
        <color rgb="FFE69138"/>
      </font>
      <fill>
        <patternFill patternType="none"/>
      </fill>
      <border/>
    </dxf>
    <dxf>
      <font>
        <color rgb="FFBF9000"/>
      </font>
      <fill>
        <patternFill patternType="none"/>
      </fill>
      <border/>
    </dxf>
    <dxf>
      <font>
        <color rgb="FF38761D"/>
      </font>
      <fill>
        <patternFill patternType="none"/>
      </fill>
      <border/>
    </dxf>
    <dxf>
      <font>
        <color rgb="FF0B959D"/>
      </font>
      <fill>
        <patternFill patternType="none"/>
      </fill>
      <border/>
    </dxf>
    <dxf>
      <font>
        <color rgb="FF1C4587"/>
      </font>
      <fill>
        <patternFill patternType="none"/>
      </fill>
      <border/>
    </dxf>
    <dxf>
      <font>
        <color rgb="FF53149F"/>
      </font>
      <fill>
        <patternFill patternType="none"/>
      </fill>
      <border/>
    </dxf>
    <dxf>
      <font>
        <color rgb="FF9E137F"/>
      </font>
      <fill>
        <patternFill patternType="none"/>
      </fill>
      <border/>
    </dxf>
    <dxf>
      <font>
        <color rgb="FFB45F06"/>
      </font>
      <fill>
        <patternFill patternType="none"/>
      </fill>
      <border/>
    </dxf>
    <dxf>
      <font>
        <color rgb="FF999999"/>
      </font>
      <fill>
        <patternFill patternType="none"/>
      </fill>
      <border/>
    </dxf>
    <dxf>
      <font>
        <color rgb="FFCCCCCC"/>
      </font>
      <fill>
        <patternFill patternType="none"/>
      </fill>
      <border/>
    </dxf>
    <dxf>
      <font>
        <color rgb="FF0B8043"/>
      </font>
      <fill>
        <patternFill patternType="none"/>
      </fill>
      <border/>
    </dxf>
    <dxf>
      <font>
        <b/>
        <color rgb="FF660000"/>
      </font>
      <fill>
        <patternFill patternType="solid">
          <fgColor rgb="FFF4C7C3"/>
          <bgColor rgb="FFF4C7C3"/>
        </patternFill>
      </fill>
      <border/>
    </dxf>
    <dxf>
      <font>
        <color rgb="FFC53929"/>
      </font>
      <fill>
        <patternFill patternType="none"/>
      </fill>
      <border/>
    </dxf>
    <dxf>
      <font>
        <color rgb="FFB28804"/>
      </font>
      <fill>
        <patternFill patternType="none"/>
      </fill>
      <border/>
    </dxf>
    <dxf>
      <font>
        <color rgb="FF274E13"/>
      </font>
      <fill>
        <patternFill patternType="none"/>
      </fill>
      <border/>
    </dxf>
    <dxf>
      <font>
        <u/>
        <color rgb="FF9556E0"/>
      </font>
      <fill>
        <patternFill patternType="none"/>
      </fill>
      <border/>
    </dxf>
    <dxf>
      <font>
        <u/>
        <color rgb="FFD58D41"/>
      </font>
      <fill>
        <patternFill patternType="none"/>
      </fill>
      <border/>
    </dxf>
    <dxf>
      <font>
        <u/>
        <color rgb="FF4A86E8"/>
      </font>
      <fill>
        <patternFill patternType="none"/>
      </fill>
      <border/>
    </dxf>
    <dxf>
      <font>
        <u/>
        <color rgb="FFC136A1"/>
      </font>
      <fill>
        <patternFill patternType="none"/>
      </fill>
      <border/>
    </dxf>
    <dxf>
      <font>
        <color rgb="FF980000"/>
      </font>
      <fill>
        <patternFill patternType="none"/>
      </fill>
      <border/>
    </dxf>
    <dxf>
      <font/>
      <fill>
        <patternFill patternType="solid">
          <fgColor rgb="FF00FF00"/>
          <bgColor rgb="FF00FF00"/>
        </patternFill>
      </fill>
      <border/>
    </dxf>
    <dxf>
      <font/>
      <fill>
        <patternFill patternType="solid">
          <fgColor rgb="FFC9DAF8"/>
          <bgColor rgb="FFC9DAF8"/>
        </patternFill>
      </fill>
      <border/>
    </dxf>
    <dxf>
      <font>
        <color rgb="FF000000"/>
      </font>
      <fill>
        <patternFill patternType="solid">
          <fgColor rgb="FFFFF2CC"/>
          <bgColor rgb="FFFFF2CC"/>
        </patternFill>
      </fill>
      <border/>
    </dxf>
    <dxf>
      <font/>
      <fill>
        <patternFill patternType="solid">
          <fgColor rgb="FFFFF2CC"/>
          <bgColor rgb="FFFFF2CC"/>
        </patternFill>
      </fill>
      <border/>
    </dxf>
    <dxf>
      <font/>
      <fill>
        <patternFill patternType="solid">
          <fgColor rgb="FFF3F3F3"/>
          <bgColor rgb="FFF3F3F3"/>
        </patternFill>
      </fill>
      <border/>
    </dxf>
    <dxf>
      <font>
        <color rgb="FFF1C232"/>
      </font>
      <fill>
        <patternFill patternType="none"/>
      </fill>
      <border/>
    </dxf>
    <dxf>
      <font>
        <color rgb="FF6AA84F"/>
      </font>
      <fill>
        <patternFill patternType="none"/>
      </fill>
      <border/>
    </dxf>
    <dxf>
      <font>
        <color rgb="FF29B3BB"/>
      </font>
      <fill>
        <patternFill patternType="none"/>
      </fill>
      <border/>
    </dxf>
    <dxf>
      <font>
        <color rgb="FF3C78D8"/>
      </font>
      <fill>
        <patternFill patternType="none"/>
      </fill>
      <border/>
    </dxf>
    <dxf>
      <font>
        <color rgb="FF7636C2"/>
      </font>
      <fill>
        <patternFill patternType="none"/>
      </fill>
      <border/>
    </dxf>
    <dxf>
      <font>
        <color rgb="FFC136A1"/>
      </font>
      <fill>
        <patternFill patternType="none"/>
      </fill>
      <border/>
    </dxf>
    <dxf>
      <font>
        <color rgb="FFFFFFFF"/>
      </font>
      <fill>
        <patternFill patternType="none"/>
      </fill>
      <border/>
    </dxf>
    <dxf>
      <font>
        <color rgb="FFCC4125"/>
      </font>
      <fill>
        <patternFill patternType="none"/>
      </fill>
      <border/>
    </dxf>
    <dxf>
      <font>
        <color rgb="FF6FA8DC"/>
      </font>
      <fill>
        <patternFill patternType="none"/>
      </fill>
      <border/>
    </dxf>
    <dxf>
      <font>
        <color rgb="FF3D85C6"/>
      </font>
      <fill>
        <patternFill patternType="none"/>
      </fill>
      <border/>
    </dxf>
    <dxf>
      <font>
        <color rgb="FFD9D9D9"/>
      </font>
      <fill>
        <patternFill patternType="none"/>
      </fill>
      <border/>
    </dxf>
    <dxf>
      <font>
        <color rgb="FFB7B7B7"/>
      </font>
      <fill>
        <patternFill patternType="none"/>
      </fill>
      <border/>
    </dxf>
    <dxf>
      <font>
        <color rgb="FF666666"/>
      </font>
      <fill>
        <patternFill patternType="none"/>
      </fill>
      <border/>
    </dxf>
    <dxf>
      <font/>
      <fill>
        <patternFill patternType="none"/>
      </fill>
      <border/>
    </dxf>
    <dxf>
      <font>
        <color rgb="FFC53929"/>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30</xdr:col>
      <xdr:colOff>38100</xdr:colOff>
      <xdr:row>102</xdr:row>
      <xdr:rowOff>142875</xdr:rowOff>
    </xdr:from>
    <xdr:ext cx="285750" cy="285750"/>
    <xdr:sp>
      <xdr:nvSpPr>
        <xdr:cNvPr id="3" name="Shape 3"/>
        <xdr:cNvSpPr/>
      </xdr:nvSpPr>
      <xdr:spPr>
        <a:xfrm>
          <a:off x="0" y="164450"/>
          <a:ext cx="974400" cy="974400"/>
        </a:xfrm>
        <a:prstGeom prst="star4">
          <a:avLst>
            <a:gd fmla="val 12500" name="adj"/>
          </a:avLst>
        </a:prstGeom>
        <a:solidFill>
          <a:srgbClr val="CCCCCC"/>
        </a:solidFill>
        <a:ln cap="flat" cmpd="sng" w="9525">
          <a:solidFill>
            <a:srgbClr val="43434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152400</xdr:colOff>
      <xdr:row>108</xdr:row>
      <xdr:rowOff>123825</xdr:rowOff>
    </xdr:from>
    <xdr:ext cx="428625" cy="285750"/>
    <xdr:sp>
      <xdr:nvSpPr>
        <xdr:cNvPr id="4" name="Shape 4"/>
        <xdr:cNvSpPr/>
      </xdr:nvSpPr>
      <xdr:spPr>
        <a:xfrm>
          <a:off x="432875" y="371525"/>
          <a:ext cx="981600" cy="981600"/>
        </a:xfrm>
        <a:prstGeom prst="star4">
          <a:avLst>
            <a:gd fmla="val 12500" name="adj"/>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38100</xdr:colOff>
      <xdr:row>89</xdr:row>
      <xdr:rowOff>180975</xdr:rowOff>
    </xdr:from>
    <xdr:ext cx="542925" cy="285750"/>
    <xdr:sp>
      <xdr:nvSpPr>
        <xdr:cNvPr id="5" name="Shape 5"/>
        <xdr:cNvSpPr/>
      </xdr:nvSpPr>
      <xdr:spPr>
        <a:xfrm>
          <a:off x="550400" y="230175"/>
          <a:ext cx="1251000" cy="640500"/>
        </a:xfrm>
        <a:prstGeom prst="roundRect">
          <a:avLst>
            <a:gd fmla="val 16667" name="adj"/>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31</xdr:col>
      <xdr:colOff>123825</xdr:colOff>
      <xdr:row>114</xdr:row>
      <xdr:rowOff>95250</xdr:rowOff>
    </xdr:from>
    <xdr:ext cx="428625" cy="438150"/>
    <xdr:sp>
      <xdr:nvSpPr>
        <xdr:cNvPr id="6" name="Shape 6"/>
        <xdr:cNvSpPr/>
      </xdr:nvSpPr>
      <xdr:spPr>
        <a:xfrm>
          <a:off x="27950" y="216150"/>
          <a:ext cx="1045500" cy="1045500"/>
        </a:xfrm>
        <a:prstGeom prst="star4">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imgur.com/iDgWYL1.png" TargetMode="External"/><Relationship Id="rId20" Type="http://schemas.openxmlformats.org/officeDocument/2006/relationships/hyperlink" Target="https://i.imgur.com/UI4mejB.png" TargetMode="External"/><Relationship Id="rId42" Type="http://schemas.openxmlformats.org/officeDocument/2006/relationships/drawing" Target="../drawings/drawing1.xml"/><Relationship Id="rId41" Type="http://schemas.openxmlformats.org/officeDocument/2006/relationships/hyperlink" Target="https://i.imgur.com/G8kk6zf.png" TargetMode="External"/><Relationship Id="rId22" Type="http://schemas.openxmlformats.org/officeDocument/2006/relationships/hyperlink" Target="https://i.imgur.com/lqUQ6YL.png" TargetMode="External"/><Relationship Id="rId21" Type="http://schemas.openxmlformats.org/officeDocument/2006/relationships/hyperlink" Target="https://i.imgur.com/G8kk6zf.png" TargetMode="External"/><Relationship Id="rId43" Type="http://schemas.openxmlformats.org/officeDocument/2006/relationships/vmlDrawing" Target="../drawings/vmlDrawing1.vml"/><Relationship Id="rId24" Type="http://schemas.openxmlformats.org/officeDocument/2006/relationships/hyperlink" Target="https://i.imgur.com/uSFG6vd.png" TargetMode="External"/><Relationship Id="rId23" Type="http://schemas.openxmlformats.org/officeDocument/2006/relationships/hyperlink" Target="https://i.imgur.com/G8kk6zf.png" TargetMode="External"/><Relationship Id="rId1" Type="http://schemas.openxmlformats.org/officeDocument/2006/relationships/comments" Target="../comments1.xml"/><Relationship Id="rId2" Type="http://schemas.openxmlformats.org/officeDocument/2006/relationships/hyperlink" Target="http://i.imgur.com/3GVZzam.png" TargetMode="External"/><Relationship Id="rId3" Type="http://schemas.openxmlformats.org/officeDocument/2006/relationships/hyperlink" Target="http://i.imgur.com/miU7se3.png" TargetMode="External"/><Relationship Id="rId4" Type="http://schemas.openxmlformats.org/officeDocument/2006/relationships/hyperlink" Target="http://i.imgur.com/Yw2rhH6.png" TargetMode="External"/><Relationship Id="rId9" Type="http://schemas.openxmlformats.org/officeDocument/2006/relationships/hyperlink" Target="https://i.imgur.com/G8kk6zf.png" TargetMode="External"/><Relationship Id="rId26" Type="http://schemas.openxmlformats.org/officeDocument/2006/relationships/hyperlink" Target="https://i.imgur.com/x6BHYTe.png" TargetMode="External"/><Relationship Id="rId25" Type="http://schemas.openxmlformats.org/officeDocument/2006/relationships/hyperlink" Target="https://i.imgur.com/G8kk6zf.png" TargetMode="External"/><Relationship Id="rId28" Type="http://schemas.openxmlformats.org/officeDocument/2006/relationships/hyperlink" Target="https://i.imgur.com/3llLqBB.png" TargetMode="External"/><Relationship Id="rId27" Type="http://schemas.openxmlformats.org/officeDocument/2006/relationships/hyperlink" Target="https://i.imgur.com/G8kk6zf.png" TargetMode="External"/><Relationship Id="rId5" Type="http://schemas.openxmlformats.org/officeDocument/2006/relationships/hyperlink" Target="https://i.imgur.com/G8kk6zf.png" TargetMode="External"/><Relationship Id="rId6" Type="http://schemas.openxmlformats.org/officeDocument/2006/relationships/hyperlink" Target="http://i.imgur.com/Pnzh0Lq.png" TargetMode="External"/><Relationship Id="rId29" Type="http://schemas.openxmlformats.org/officeDocument/2006/relationships/hyperlink" Target="https://i.imgur.com/G8kk6zf.png" TargetMode="External"/><Relationship Id="rId7" Type="http://schemas.openxmlformats.org/officeDocument/2006/relationships/hyperlink" Target="https://i.imgur.com/G8kk6zf.png" TargetMode="External"/><Relationship Id="rId8" Type="http://schemas.openxmlformats.org/officeDocument/2006/relationships/hyperlink" Target="http://i.imgur.com/4GdhXW2.png" TargetMode="External"/><Relationship Id="rId31" Type="http://schemas.openxmlformats.org/officeDocument/2006/relationships/hyperlink" Target="https://i.imgur.com/G8kk6zf.png" TargetMode="External"/><Relationship Id="rId30" Type="http://schemas.openxmlformats.org/officeDocument/2006/relationships/hyperlink" Target="https://i.imgur.com/ssrZYbl.png" TargetMode="External"/><Relationship Id="rId11" Type="http://schemas.openxmlformats.org/officeDocument/2006/relationships/hyperlink" Target="https://i.imgur.com/G8kk6zf.png" TargetMode="External"/><Relationship Id="rId33" Type="http://schemas.openxmlformats.org/officeDocument/2006/relationships/hyperlink" Target="https://i.imgur.com/G8kk6zf.png" TargetMode="External"/><Relationship Id="rId10" Type="http://schemas.openxmlformats.org/officeDocument/2006/relationships/hyperlink" Target="https://i.imgur.com/tVDSt3v.png" TargetMode="External"/><Relationship Id="rId32" Type="http://schemas.openxmlformats.org/officeDocument/2006/relationships/hyperlink" Target="https://i.imgur.com/QBhqRiG.png" TargetMode="External"/><Relationship Id="rId13" Type="http://schemas.openxmlformats.org/officeDocument/2006/relationships/hyperlink" Target="https://i.imgur.com/G8kk6zf.png" TargetMode="External"/><Relationship Id="rId35" Type="http://schemas.openxmlformats.org/officeDocument/2006/relationships/hyperlink" Target="https://i.imgur.com/G8kk6zf.png" TargetMode="External"/><Relationship Id="rId12" Type="http://schemas.openxmlformats.org/officeDocument/2006/relationships/hyperlink" Target="https://i.imgur.com/gjtfTEm.png" TargetMode="External"/><Relationship Id="rId34" Type="http://schemas.openxmlformats.org/officeDocument/2006/relationships/hyperlink" Target="https://i.imgur.com/EOiSGxi.png" TargetMode="External"/><Relationship Id="rId15" Type="http://schemas.openxmlformats.org/officeDocument/2006/relationships/hyperlink" Target="https://i.imgur.com/G8kk6zf.png" TargetMode="External"/><Relationship Id="rId37" Type="http://schemas.openxmlformats.org/officeDocument/2006/relationships/hyperlink" Target="https://i.imgur.com/G8kk6zf.png" TargetMode="External"/><Relationship Id="rId14" Type="http://schemas.openxmlformats.org/officeDocument/2006/relationships/hyperlink" Target="https://i.imgur.com/5HYYXoz.png" TargetMode="External"/><Relationship Id="rId36" Type="http://schemas.openxmlformats.org/officeDocument/2006/relationships/hyperlink" Target="https://i.imgur.com/VyFvlcw.png" TargetMode="External"/><Relationship Id="rId17" Type="http://schemas.openxmlformats.org/officeDocument/2006/relationships/hyperlink" Target="https://i.imgur.com/G8kk6zf.png" TargetMode="External"/><Relationship Id="rId39" Type="http://schemas.openxmlformats.org/officeDocument/2006/relationships/hyperlink" Target="https://i.imgur.com/G8kk6zf.png" TargetMode="External"/><Relationship Id="rId16" Type="http://schemas.openxmlformats.org/officeDocument/2006/relationships/hyperlink" Target="https://i.imgur.com/hOgeNi7.png" TargetMode="External"/><Relationship Id="rId38" Type="http://schemas.openxmlformats.org/officeDocument/2006/relationships/hyperlink" Target="https://i.imgur.com/Nh6zWQZ.png" TargetMode="External"/><Relationship Id="rId19" Type="http://schemas.openxmlformats.org/officeDocument/2006/relationships/hyperlink" Target="https://i.imgur.com/G8kk6zf.png" TargetMode="External"/><Relationship Id="rId18" Type="http://schemas.openxmlformats.org/officeDocument/2006/relationships/hyperlink" Target="https://i.imgur.com/5ZZQ7Jh.p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min="43" max="43" width="49.29"/>
    <col customWidth="1" min="44" max="44" width="19.14"/>
    <col customWidth="1" min="45" max="54" width="3.0"/>
    <col customWidth="1" min="55" max="55" width="7.86"/>
  </cols>
  <sheetData>
    <row r="1" ht="1.5" customHeight="1">
      <c r="A1" s="1" t="s">
        <v>0</v>
      </c>
      <c r="AQ1" s="2"/>
      <c r="AS1" s="3"/>
      <c r="AT1" s="3"/>
      <c r="AU1" s="3"/>
      <c r="AV1" s="3"/>
      <c r="AW1" s="3"/>
      <c r="AX1" s="3"/>
      <c r="AY1" s="3"/>
      <c r="AZ1" s="3"/>
      <c r="BA1" s="3"/>
      <c r="BB1" s="3"/>
      <c r="BC1" s="3"/>
    </row>
    <row r="2" ht="15.75" customHeight="1">
      <c r="A2" s="4" t="str">
        <f>if(C174="",if(isnumber(find("Zim",C6)),image("https://i.imgur.com/T5OD9a5.png",2),if(and(AV16&lt;&gt;"",countif(AQ155:AQ180,AV16)),image(vlookup(AV16,AQ155:AS180,2,false),2),image("http://i.imgur.com/3GVZzam.png",2))),image(vlookup(C174,AQ155:AS180,2,false),2))</f>
        <v/>
      </c>
      <c r="S2" s="5"/>
      <c r="T2" s="6" t="str">
        <f>if(and(name="",classAndLevel="",race="",level="",C16=0,C21=0,C26=0,C31=0,C36=0,C41=0),"Click [File] then [Make a copy...] to use the sheet for yourself.",if(and(sum(AT6:AT15)&lt;&gt;level,classAndLevel&lt;&gt;""),"Total class levels must equal character level",""))</f>
        <v/>
      </c>
      <c r="AN2" s="5"/>
      <c r="AO2" s="5"/>
      <c r="AP2" s="5"/>
      <c r="AQ2" s="7" t="s">
        <v>1</v>
      </c>
      <c r="AR2" s="8"/>
      <c r="AS2" s="8"/>
      <c r="AT2" s="8"/>
      <c r="AU2" s="8"/>
      <c r="AV2" s="8"/>
      <c r="AW2" s="8"/>
      <c r="AX2" s="3"/>
      <c r="AY2" s="3"/>
      <c r="AZ2" s="3"/>
      <c r="BA2" s="3"/>
      <c r="BB2" s="3"/>
      <c r="BC2" s="3"/>
    </row>
    <row r="3" ht="15.75" customHeight="1">
      <c r="S3" s="5" t="str">
        <f>if(C174="Magic",IMAGE("http://i.imgur.com/2jwsXWa.png",2),"")</f>
        <v/>
      </c>
      <c r="T3" s="9" t="str">
        <f>if(and(name="",classAndLevel="",race="",level="",C16=0,C21=0,C26=0,C31=0,C36=0,C41=0),"Check [?] for help.  And read all the notes!",if(and(sum(AT6:AT15)&lt;&gt;level,classAndLevel&lt;&gt;""),"If you are using a homebrew class, enter its details on the Class Info page.",""))</f>
        <v/>
      </c>
      <c r="AN3" s="5"/>
      <c r="AO3" s="5"/>
      <c r="AP3" s="5"/>
      <c r="AQ3" s="3"/>
      <c r="AR3" s="3"/>
      <c r="AS3" s="3"/>
      <c r="AT3" s="3"/>
      <c r="AU3" s="3"/>
      <c r="AV3" s="3"/>
      <c r="AW3" s="3"/>
      <c r="AX3" s="3"/>
      <c r="AY3" s="3"/>
      <c r="AZ3" s="3"/>
      <c r="BA3" s="3"/>
      <c r="BB3" s="3"/>
      <c r="BC3" s="3"/>
    </row>
    <row r="4" ht="15.75" customHeight="1">
      <c r="S4" s="10" t="str">
        <f>IMAGE("https://i.imgur.com/OlUFGxq.png",2)</f>
        <v/>
      </c>
      <c r="AN4" s="11"/>
      <c r="AO4" s="12" t="str">
        <f>IMAGE("http://i.imgur.com/nWCUyCa.png",2)</f>
        <v/>
      </c>
      <c r="AP4" s="12"/>
      <c r="AQ4" s="13" t="s">
        <v>2</v>
      </c>
      <c r="AR4" s="3"/>
      <c r="AS4" s="3"/>
      <c r="AT4" s="3"/>
      <c r="AU4" s="3"/>
      <c r="AV4" s="3"/>
      <c r="AW4" s="3"/>
      <c r="AX4" s="3"/>
      <c r="AY4" s="3"/>
      <c r="AZ4" s="3"/>
      <c r="BA4" s="3"/>
      <c r="BB4" s="3"/>
      <c r="BC4" s="3"/>
    </row>
    <row r="5" ht="15.75" customHeight="1">
      <c r="S5" s="14"/>
      <c r="T5" s="15" t="s">
        <v>3</v>
      </c>
      <c r="U5" s="16"/>
      <c r="V5" s="16"/>
      <c r="W5" s="16"/>
      <c r="X5" s="16"/>
      <c r="Y5" s="16"/>
      <c r="Z5" s="16"/>
      <c r="AA5" s="16"/>
      <c r="AB5" s="16"/>
      <c r="AC5" s="16"/>
      <c r="AD5" s="16"/>
      <c r="AE5" s="17"/>
      <c r="AF5" s="16"/>
      <c r="AG5" s="16"/>
      <c r="AH5" s="16"/>
      <c r="AI5" s="16"/>
      <c r="AJ5" s="16"/>
      <c r="AK5" s="4" t="str">
        <f>if(AL6&lt;5,IMAGE("http://i.imgur.com/zDHOU0r.png",2),if(AL6&lt;11,IMAGE("http://i.imgur.com/0jIT5AA.png",2),if(AL6&lt;17,IMAGE("http://i.imgur.com/qN7jDhM.png",2),IMAGE("http://i.imgur.com/brqhftZ.png",2))))</f>
        <v/>
      </c>
      <c r="AL5" s="18" t="s">
        <v>4</v>
      </c>
      <c r="AN5" s="19" t="str">
        <f>if(AL6&lt;5,IMAGE("http://i.imgur.com/stPe4fo.png",2),if(AL6&lt;11,IMAGE("http://i.imgur.com/PVGeU3d.png",2),if(AL6&lt;17,IMAGE("http://i.imgur.com/mnwcuFl.png",2),IMAGE("http://i.imgur.com/TfiOReG.png",2))))</f>
        <v/>
      </c>
      <c r="AP5" s="12"/>
      <c r="AQ5" s="3" t="str">
        <f>IFERROR(__xludf.DUMMYFUNCTION("iferror(array_constrain(split(textjoin(""~"",True,filter('Race Info'!$B$7:$AN1180,'Race Info'!$B$7:$B1180&lt;&gt;"""",lower('Race Info'!$B$7:$B1180=$T$7))),""~""),1,11),"""")"),"Custom Helf")</f>
        <v>Custom Helf</v>
      </c>
      <c r="AR5" s="3" t="str">
        <f>IFERROR(__xludf.DUMMYFUNCTION("""COMPUTED_VALUE"""),"int +2, con +1")</f>
        <v>int +2, con +1</v>
      </c>
      <c r="AS5" s="3" t="str">
        <f>IFERROR(__xludf.DUMMYFUNCTION("""COMPUTED_VALUE"""),"-")</f>
        <v>-</v>
      </c>
      <c r="AT5" s="3">
        <f>IFERROR(__xludf.DUMMYFUNCTION("""COMPUTED_VALUE"""),30.0)</f>
        <v>30</v>
      </c>
      <c r="AU5" s="3" t="str">
        <f>IFERROR(__xludf.DUMMYFUNCTION("""COMPUTED_VALUE"""),"-")</f>
        <v>-</v>
      </c>
      <c r="AV5" s="3" t="str">
        <f>IFERROR(__xludf.DUMMYFUNCTION("""COMPUTED_VALUE"""),"-")</f>
        <v>-</v>
      </c>
      <c r="AW5" s="3" t="str">
        <f>IFERROR(__xludf.DUMMYFUNCTION("""COMPUTED_VALUE"""),"Common, Elvish, 3 extra")</f>
        <v>Common, Elvish, 3 extra</v>
      </c>
      <c r="AX5" s="3" t="str">
        <f>IFERROR(__xludf.DUMMYFUNCTION("""COMPUTED_VALUE"""),"-")</f>
        <v>-</v>
      </c>
      <c r="AY5" s="3" t="str">
        <f>IFERROR(__xludf.DUMMYFUNCTION("""COMPUTED_VALUE"""),"Longsword, Shortsword, Shortbow, Longbow")</f>
        <v>Longsword, Shortsword, Shortbow, Longbow</v>
      </c>
      <c r="AZ5" s="3" t="str">
        <f>IFERROR(__xludf.DUMMYFUNCTION("""COMPUTED_VALUE"""),"Keen Senses
You gain proficiency in the Perception skill.")</f>
        <v>Keen Senses
You gain proficiency in the Perception skill.</v>
      </c>
      <c r="BA5" s="3"/>
      <c r="BB5" s="3"/>
      <c r="BC5" s="3" t="str">
        <f>IFERROR(__xludf.DUMMYFUNCTION("if($T$5&lt;&gt;"""",array_constrain(iferror(filter(BA6:BA15,BA6:BA15&lt;&gt;"""",isnumber(find(""10"",BA6:BA15))),""10+dex""),1,1),"""")"),"10+dex")</f>
        <v>10+dex</v>
      </c>
    </row>
    <row r="6" ht="15.75" customHeight="1">
      <c r="B6" s="20"/>
      <c r="C6" s="21" t="s">
        <v>5</v>
      </c>
      <c r="R6" s="11"/>
      <c r="S6" s="22"/>
      <c r="T6" s="23" t="s">
        <v>6</v>
      </c>
      <c r="AE6" s="23" t="s">
        <v>7</v>
      </c>
      <c r="AL6" s="24">
        <f>if(AE7&lt;&gt;"",if(AE7&lt;300,1,if(AE7&lt;900,2,if(AE7&lt;2700,3,if(AE7&lt;6500,4,if(AE7&lt;14000,5,if(AE7&lt;23000,6,if(AE7&lt;34000,7,if(AE7&lt;48000,8,if(AE7&lt;64000,9,if(AE7&lt;85000,10,if(AE7&lt;100000,11,if(AE7&lt;120000,12,if(AE7&lt;140000,13,if(AE7&lt;165000,14,if(AE7&lt;195000,15,if(AE7&lt;225000,16,if(AE7&lt;265000,17,if(AE7&lt;305000,18,if(AE7&lt;355000,19,20))))))))))))))))))),"")</f>
        <v>8</v>
      </c>
      <c r="AM6" s="25"/>
      <c r="AN6" s="11"/>
      <c r="AP6" s="12"/>
      <c r="AQ6" s="3" t="str">
        <f t="array" ref="AQ6:AQ15">iferror(vlookup(AR6:AR15,'Class Info'!B7:K1180,10,false),"")</f>
        <v>d6</v>
      </c>
      <c r="AR6" s="2" t="str">
        <f>IFERROR(__xludf.DUMMYFUNCTION("iferror(transpose(unique(filter(split(proper($T$5),"" ""),iserror(find(split(proper($T$5),"" "")&amp;"" 0"",proper($T$5))),isnumber(find(proper(split($T$5,"" ""))&amp;""-"",proper(textjoin(""-"",True,'Class Info'!$B$7:$B1180,""-""))))))),"""")"),"Wizard")</f>
        <v>Wizard</v>
      </c>
      <c r="AS6" s="7" t="str">
        <f>IFERROR(__xludf.DUMMYFUNCTION("if($AR6&lt;&gt;"""",iferror(array_constrain(filter('Class Info'!$E$7:$E1180,'Class Info'!$B$7:$B1180=$AR6,'Class Info'!$E$7:$E1180&lt;&gt;"""",isnumber(find(proper('Class Info'!$E$7:$E1180),proper($T$5)))),1,1),""-""),"""")"),"-")</f>
        <v>-</v>
      </c>
      <c r="AT6" s="3">
        <f>IFERROR(__xludf.DUMMYFUNCTION("if(and(AR6&lt;&gt;"""",isnumber(find(lower(AR6),lower($T$5)))),int(substitute(if(regexmatch(proper($T$5),proper(AR6)&amp;"" [0-9]+""),regexextract(proper($T$5),proper(AR6)&amp;"" [0-9]+""),level),proper(AR6)&amp;"" "","""")),"""")"),8.0)</f>
        <v>8</v>
      </c>
      <c r="AU6" s="3">
        <f>IFERROR(__xludf.DUMMYFUNCTION("arrayformula(if(AT6:AT15,AT6:AT15*(int(regexextract(AQ6:AQ15,""[0-9]+""))/2+1
+if(vlookup(AR6:AR15,'Class Info'!B7:O1180,14,false)&lt;&gt;""-"",vlookup(AR6:AR15,'Class Info'!B7:O1180,14,false),0)
+if(vlookup(AS6:AS15,'Class Info'!E7:O1180,11,false)&lt;&gt;""-"",vlook"&amp;"up(AS6:AS15,'Class Info'!E7:O1180,11,false),0))
+if(AV6:AV15&lt;&gt;"""",(int(regexextract(AQ6:AQ15,""[0-9]+""))/2-1),0),""""))"),34.0)</f>
        <v>34</v>
      </c>
      <c r="AV6" s="3" t="str">
        <f>if(AR6&lt;&gt;"",
    vlookup(AR6,'Class Info'!B7:Q1180,16,false)
    &amp;if(vlookup(AR6,'Class Info'!B7:X1180,23,false)&lt;&gt;"-",", "&amp;vlookup(AR6,'Class Info'!B7:X1180,23,false),""),
    ""
 )</f>
        <v>Intelligence, Wisdom, Choose 2, Arcana, History, Insight, Investigation, Medicine, Religion, Dagger, Dart, Sling, Quarterstaff, Light Crossbow</v>
      </c>
      <c r="AW6" s="3" t="str">
        <f t="array" ref="AW6:AW15">iferror(vlookup(AR6:AR15,'Class Info'!B7:AB1180,27,false)
&amp;if(vlookup(AS6:AS15,'Class Info'!E7:AB1180,24,false)&lt;&gt;"-",if(AS6:AS15&lt;&gt;"-",", "&amp;vlookup(AS6:AS15,'Class Info'!E7:AB1180,24,false),""),""),"")</f>
        <v>-</v>
      </c>
      <c r="AX6" s="3" t="str">
        <f t="array" ref="AX6:AX15">iferror(if(vlookup(AR6:AR15,'Class Info'!B7:AG1180,32,false)&lt;&gt;"-",vlookup(AR6:AR15,'Class Info'!B7:AG1180,32,false),"")
&amp;if(vlookup(AS6:AS15,'Class Info'!E7:AG1180,29,false)&lt;&gt;"-",if(AS6:AS15&lt;&gt;"-",vlookup(AS6:AS15,'Class Info'!E7:AG1180,29,false),""),""),"")</f>
        <v>Full Caster</v>
      </c>
      <c r="AY6" s="3" t="str">
        <f t="array" ref="AY6:AY15">iferror(if(vlookup(AR6:AR15,'Class Info'!B7:AJ1180,35,false)&lt;&gt;"-",vlookup(AR6:AR15,'Class Info'!B7:AJ1180,35,false),"")
&amp;if(AS6:AS15&lt;&gt;"-",if(vlookup(AS6:AS15,'Class Info'!E7:AJ1180,32,false)&lt;&gt;"-",vlookup(AS6:AS15,'Class Info'!E7:AJ1180,32,false),""),""),"")</f>
        <v>Intelligence</v>
      </c>
      <c r="AZ6" s="3">
        <f t="array" ref="AZ6:AZ15">if(AR6:AR15&lt;&gt;"",int(iferror(if(vlookup(AR6:AR15,'Class Info'!B7:AM1180,38,false)&lt;&gt;"-",vlookup(AR6:AR15,'Class Info'!B7:AM1180,38,false),"")
&amp;if(vlookup(AS6:AS15,'Class Info'!E7:AM1180,35,false)&lt;&gt;"-",vlookup(AS6:AS15,'Class Info'!E7:AM1180,35,false),""),"")),"")</f>
        <v>0</v>
      </c>
      <c r="BA6" s="3" t="str">
        <f t="array" ref="BA6:BA15">iferror(if(vlookup(AR6:AR15,'Class Info'!B7:I1180,8,false)&lt;&gt;"-",if(vlookup(AR6:AR15,'Class Info'!B7:I1180,8,false)&lt;&gt;"10+dex",vlookup(AR6:AR15,'Class Info'!B7:I1180,8,false),""),"")
&amp;if(AS6:AS15&lt;&gt;"-",if(vlookup(AS6:AS15,'Class Info'!E7:I1180,5,false)&lt;&gt;"-",vlookup(AS6:AS15,'Class Info'!E7:I1180,5,false),""),""),"")</f>
        <v/>
      </c>
      <c r="BB6" s="3" t="str">
        <f t="array" ref="BB6:BB15">if(AR6:AR15&lt;&gt;"",if(vlookup(AR6:AR15,'Class Info'!B7:M1180,12,false)&lt;&gt;"-",vlookup(AR6:AR15,'Class Info'!B7:M1180,12,false),"")
&amp;if(vlookup(AS6:AS15,'Class Info'!E7:M1180,9,false)&lt;&gt;"-",vlookup(AS6:AS15,'Class Info'!E7:M1180,9,false),""),"")</f>
        <v/>
      </c>
      <c r="BC6" s="26"/>
    </row>
    <row r="7" ht="15.75" customHeight="1">
      <c r="B7" s="27"/>
      <c r="C7" s="27"/>
      <c r="R7" s="11"/>
      <c r="S7" s="22"/>
      <c r="T7" s="28" t="s">
        <v>8</v>
      </c>
      <c r="U7" s="16"/>
      <c r="V7" s="16"/>
      <c r="W7" s="16"/>
      <c r="X7" s="16"/>
      <c r="Y7" s="16"/>
      <c r="Z7" s="16"/>
      <c r="AA7" s="16"/>
      <c r="AB7" s="16"/>
      <c r="AC7" s="16"/>
      <c r="AD7" s="16"/>
      <c r="AE7" s="29">
        <v>40000.0</v>
      </c>
      <c r="AF7" s="16"/>
      <c r="AG7" s="16"/>
      <c r="AH7" s="30">
        <f>if(AE7&lt;&gt;"",choose(AL6,300,900,2700,6500,14000,23000,34000,48000,64000,85000,100000,120000,140000,165000,195000,225000,265000,305000,355000,0),"")</f>
        <v>48000</v>
      </c>
      <c r="AI7" s="16"/>
      <c r="AJ7" s="16"/>
      <c r="AL7" s="31"/>
      <c r="AM7" s="31"/>
      <c r="AN7" s="11"/>
      <c r="AP7" s="12"/>
      <c r="AQ7" s="3" t="s">
        <v>9</v>
      </c>
      <c r="AR7" s="2"/>
      <c r="AS7" s="7" t="str">
        <f>IFERROR(__xludf.DUMMYFUNCTION("if($AR7&lt;&gt;"""",iferror(array_constrain(filter('Class Info'!$E$7:$E180,'Class Info'!$B$7:$B180=$AR7,'Class Info'!$E$7:$E180&lt;&gt;"""",isnumber(find(proper('Class Info'!$E$7:$E180),proper($T$5)))),1,1),""-""),"""")"),"")</f>
        <v/>
      </c>
      <c r="AT7" s="3" t="str">
        <f>IFERROR(__xludf.DUMMYFUNCTION("if(and(AR7&lt;&gt;"""",isnumber(find(lower(AR7),lower($T$5)))),int(substitute(if(regexmatch(proper($T$5),proper(AR7)&amp;"" [0-9]+""),regexextract(proper($T$5),proper(AR7)&amp;"" [0-9]+""),level),proper(AR7)&amp;"" "","""")),"""")"),"")</f>
        <v/>
      </c>
      <c r="AU7" s="3" t="str">
        <f>IFERROR(__xludf.DUMMYFUNCTION("""COMPUTED_VALUE"""),"")</f>
        <v/>
      </c>
      <c r="AV7" s="3"/>
      <c r="AW7" s="3" t="s">
        <v>9</v>
      </c>
      <c r="AX7" s="3" t="s">
        <v>9</v>
      </c>
      <c r="AY7" s="3" t="s">
        <v>9</v>
      </c>
      <c r="AZ7" s="3" t="s">
        <v>9</v>
      </c>
      <c r="BA7" s="3" t="s">
        <v>9</v>
      </c>
      <c r="BB7" s="3" t="s">
        <v>9</v>
      </c>
      <c r="BC7" s="3"/>
    </row>
    <row r="8" ht="15.75" customHeight="1">
      <c r="A8" s="4" t="str">
        <f>if(C174="",if(isnumber(find("Zim",C6)),image("https://i.imgur.com/G8kk6zf.png",2),if( and(AV16&lt;&gt;"",countif(AQ155:AQ180,AV16)),image("https://i.imgur.com/G8kk6zf.png",2),image("http://i.imgur.com/miU7se3.png",2))),image(vlookup(C174,AQ155:AS180,3,false),2))</f>
        <v/>
      </c>
      <c r="S8" s="14"/>
      <c r="T8" s="23" t="str">
        <f>if(and(T7&lt;&gt;"",AQ5=""),"To use a custom race, add it on the 'Race Info' tab.","RACE")</f>
        <v>RACE</v>
      </c>
      <c r="AE8" s="23" t="s">
        <v>10</v>
      </c>
      <c r="AH8" s="23" t="s">
        <v>11</v>
      </c>
      <c r="AL8" s="32"/>
      <c r="AN8" s="11"/>
      <c r="AP8" s="12"/>
      <c r="AQ8" s="3" t="s">
        <v>9</v>
      </c>
      <c r="AR8" s="2"/>
      <c r="AS8" s="7" t="str">
        <f>IFERROR(__xludf.DUMMYFUNCTION("if($AR8&lt;&gt;"""",iferror(array_constrain(filter('Class Info'!$E$7:$E180,'Class Info'!$B$7:$B180=$AR8,'Class Info'!$E$7:$E180&lt;&gt;"""",isnumber(find(proper('Class Info'!$E$7:$E180),proper($T$5)))),1,1),""-""),"""")"),"")</f>
        <v/>
      </c>
      <c r="AT8" s="3" t="str">
        <f>IFERROR(__xludf.DUMMYFUNCTION("if(and(AR8&lt;&gt;"""",isnumber(find(lower(AR8),lower($T$5)))),int(substitute(if(regexmatch(proper($T$5),proper(AR8)&amp;"" [0-9]+""),regexextract(proper($T$5),proper(AR8)&amp;"" [0-9]+""),level),proper(AR8)&amp;"" "","""")),"""")"),"")</f>
        <v/>
      </c>
      <c r="AU8" s="3" t="str">
        <f>IFERROR(__xludf.DUMMYFUNCTION("""COMPUTED_VALUE"""),"")</f>
        <v/>
      </c>
      <c r="AV8" s="3"/>
      <c r="AW8" s="3" t="s">
        <v>9</v>
      </c>
      <c r="AX8" s="3" t="s">
        <v>9</v>
      </c>
      <c r="AY8" s="3" t="s">
        <v>9</v>
      </c>
      <c r="AZ8" s="3" t="s">
        <v>9</v>
      </c>
      <c r="BA8" s="3" t="s">
        <v>9</v>
      </c>
      <c r="BB8" s="3" t="s">
        <v>9</v>
      </c>
      <c r="BC8" s="3"/>
    </row>
    <row r="9" ht="15.75" customHeight="1">
      <c r="S9" s="10" t="str">
        <f>IMAGE("https://i.imgur.com/6avJSbK.png",2)</f>
        <v/>
      </c>
      <c r="AN9" s="11"/>
      <c r="AO9" s="12"/>
      <c r="AP9" s="12"/>
      <c r="AQ9" s="3" t="s">
        <v>9</v>
      </c>
      <c r="AR9" s="2"/>
      <c r="AS9" s="7" t="str">
        <f>IFERROR(__xludf.DUMMYFUNCTION("if($AR9&lt;&gt;"""",iferror(array_constrain(filter('Class Info'!$E$7:$E180,'Class Info'!$B$7:$B180=$AR9,'Class Info'!$E$7:$E180&lt;&gt;"""",isnumber(find(proper('Class Info'!$E$7:$E180),proper($T$5)))),1,1),""-""),"""")"),"")</f>
        <v/>
      </c>
      <c r="AT9" s="3" t="str">
        <f>IFERROR(__xludf.DUMMYFUNCTION("if(and(AR9&lt;&gt;"""",isnumber(find(lower(AR9),lower($T$5)))),int(substitute(if(regexmatch(proper($T$5),proper(AR9)&amp;"" [0-9]+""),regexextract(proper($T$5),proper(AR9)&amp;"" [0-9]+""),level),proper(AR9)&amp;"" "","""")),"""")"),"")</f>
        <v/>
      </c>
      <c r="AU9" s="3" t="str">
        <f>IFERROR(__xludf.DUMMYFUNCTION("""COMPUTED_VALUE"""),"")</f>
        <v/>
      </c>
      <c r="AV9" s="3"/>
      <c r="AW9" s="3" t="s">
        <v>9</v>
      </c>
      <c r="AX9" s="3" t="s">
        <v>9</v>
      </c>
      <c r="AY9" s="3" t="s">
        <v>9</v>
      </c>
      <c r="AZ9" s="3" t="s">
        <v>9</v>
      </c>
      <c r="BA9" s="3" t="s">
        <v>9</v>
      </c>
      <c r="BB9" s="3" t="s">
        <v>9</v>
      </c>
      <c r="BC9" s="3"/>
    </row>
    <row r="10" ht="15.75" customHeight="1">
      <c r="A10" s="33"/>
      <c r="B10" s="34" t="str">
        <f>IMAGE("https://i.imgur.com/u3YeDks.png",2)</f>
        <v/>
      </c>
      <c r="C10" s="35"/>
      <c r="D10" s="35"/>
      <c r="E10" s="36"/>
      <c r="G10" s="4" t="str">
        <f>IMAGE("https://i.imgur.com/0VlrXCA.png",4, 731, 20)</f>
        <v/>
      </c>
      <c r="O10" s="4" t="str">
        <f>IMAGE("https://i.imgur.com/GFrq6pf.png",4, 793, 20)</f>
        <v/>
      </c>
      <c r="Q10" s="37" t="str">
        <f>IMAGE("https://i.imgur.com/sMN3tei.png",2)</f>
        <v/>
      </c>
      <c r="R10" s="38"/>
      <c r="S10" s="38"/>
      <c r="T10" s="38"/>
      <c r="U10" s="38"/>
      <c r="V10" s="38"/>
      <c r="W10" s="38"/>
      <c r="X10" s="38"/>
      <c r="Y10" s="38"/>
      <c r="Z10" s="38"/>
      <c r="AA10" s="38"/>
      <c r="AB10" s="39"/>
      <c r="AC10" s="40" t="s">
        <v>12</v>
      </c>
      <c r="AD10" s="41" t="str">
        <f>IMAGE("https://i.imgur.com/sMN3tei.png",2)</f>
        <v/>
      </c>
      <c r="AE10" s="42"/>
      <c r="AF10" s="42"/>
      <c r="AG10" s="42"/>
      <c r="AH10" s="42"/>
      <c r="AI10" s="42"/>
      <c r="AJ10" s="42"/>
      <c r="AK10" s="42"/>
      <c r="AL10" s="42"/>
      <c r="AM10" s="42"/>
      <c r="AN10" s="42"/>
      <c r="AO10" s="43"/>
      <c r="AP10" s="12"/>
      <c r="AQ10" s="3" t="s">
        <v>9</v>
      </c>
      <c r="AR10" s="2"/>
      <c r="AS10" s="7" t="str">
        <f>IFERROR(__xludf.DUMMYFUNCTION("if($AR10&lt;&gt;"""",iferror(array_constrain(filter('Class Info'!$E$7:$E180,'Class Info'!$B$7:$B180=$AR10,'Class Info'!$E$7:$E180&lt;&gt;"""",isnumber(find(proper('Class Info'!$E$7:$E180),proper($T$5)))),1,1),""-""),"""")"),"")</f>
        <v/>
      </c>
      <c r="AT10" s="3" t="str">
        <f>IFERROR(__xludf.DUMMYFUNCTION("if(and(AR10&lt;&gt;"""",isnumber(find(lower(AR10),lower($T$5)))),int(substitute(if(regexmatch(proper($T$5),proper(AR10)&amp;"" [0-9]+""),regexextract(proper($T$5),proper(AR10)&amp;"" [0-9]+""),level),proper(AR10)&amp;"" "","""")),"""")"),"")</f>
        <v/>
      </c>
      <c r="AU10" s="3" t="str">
        <f>IFERROR(__xludf.DUMMYFUNCTION("""COMPUTED_VALUE"""),"")</f>
        <v/>
      </c>
      <c r="AV10" s="3"/>
      <c r="AW10" s="3" t="s">
        <v>9</v>
      </c>
      <c r="AX10" s="3" t="s">
        <v>9</v>
      </c>
      <c r="AY10" s="3" t="s">
        <v>9</v>
      </c>
      <c r="AZ10" s="3" t="s">
        <v>9</v>
      </c>
      <c r="BA10" s="3" t="s">
        <v>9</v>
      </c>
      <c r="BB10" s="3" t="s">
        <v>9</v>
      </c>
      <c r="BC10" s="3"/>
    </row>
    <row r="11" ht="15.75" customHeight="1">
      <c r="A11" s="33"/>
      <c r="B11" s="44" t="str">
        <f>IMAGE("https://i.imgur.com/VUGDDJt.png",4, 647, 20)</f>
        <v/>
      </c>
      <c r="C11" s="45"/>
      <c r="D11" s="45"/>
      <c r="E11" s="46" t="str">
        <f>IMAGE("https://i.imgur.com/u9a6TBA.png",4, 647, 20)</f>
        <v/>
      </c>
      <c r="H11" s="47">
        <v>1.0</v>
      </c>
      <c r="I11" s="25"/>
      <c r="J11" s="48" t="str">
        <f>image("https://i.imgur.com/kI66z3t.png",2)</f>
        <v/>
      </c>
      <c r="K11" s="49" t="s">
        <v>13</v>
      </c>
      <c r="L11" s="25"/>
      <c r="M11" s="25"/>
      <c r="N11" s="25"/>
      <c r="Q11" s="50" t="str">
        <f>IMAGE("https://i.imgur.com/r6YjQVe.png",4, 380, 20)</f>
        <v/>
      </c>
      <c r="R11" s="51"/>
      <c r="T11" s="52" t="str">
        <f>IMAGE("https://i.imgur.com/k6zj6md.png",2)</f>
        <v/>
      </c>
      <c r="U11" s="4" t="str">
        <f>IMAGE("http://i.imgur.com/C5Lv5CM.png",2)</f>
        <v/>
      </c>
      <c r="V11" s="53" t="str">
        <f>IFERROR(__xludf.DUMMYFUNCTION("if(V15&lt;&gt;"""",V15,
 if(regexmatch(substitute(substitute(Additional!AR79,""("",""""),"")"",""""),""advantage on[a-z. ]+?initiative""),
 if(regexmatch(substitute(substitute(Additional!AR79,""("",""""),"")"",""""),""sadvantage on[.a-z ]+?initiative""),
 ""dis"&amp;""",""adv""),if(countif(BC6:BC15,""adv"")&gt;0,""adv"","""")))")," ")</f>
        <v/>
      </c>
      <c r="X11" s="52" t="str">
        <f>IMAGE("https://i.imgur.com/k6zj6md.png",2)</f>
        <v/>
      </c>
      <c r="Y11" s="54" t="str">
        <f>IMAGE("http://i.imgur.com/C5Lv5CM.png",2)</f>
        <v/>
      </c>
      <c r="Z11" s="51"/>
      <c r="AB11" s="55" t="str">
        <f>IMAGE("http://i.imgur.com/pJkkaty.png",4, 380, 20)</f>
        <v/>
      </c>
      <c r="AC11" s="56"/>
      <c r="AD11" s="57" t="str">
        <f>IMAGE("http://i.imgur.com/yqyqC2t.png",4, 377, 20)</f>
        <v/>
      </c>
      <c r="AE11" s="58" t="s">
        <v>14</v>
      </c>
      <c r="AJ11" s="59"/>
      <c r="AO11" s="60" t="str">
        <f>IMAGE("http://i.imgur.com/40rhpIU.png",4, 375, 20)</f>
        <v/>
      </c>
      <c r="AQ11" s="3" t="s">
        <v>9</v>
      </c>
      <c r="AR11" s="2"/>
      <c r="AS11" s="7" t="str">
        <f>IFERROR(__xludf.DUMMYFUNCTION("if($AR11&lt;&gt;"""",iferror(array_constrain(filter('Class Info'!$E$7:$E180,'Class Info'!$B$7:$B180=$AR11,'Class Info'!$E$7:$E180&lt;&gt;"""",isnumber(find(proper('Class Info'!$E$7:$E180),proper($T$5)))),1,1),""-""),"""")"),"")</f>
        <v/>
      </c>
      <c r="AT11" s="3" t="str">
        <f>IFERROR(__xludf.DUMMYFUNCTION("if(and(AR11&lt;&gt;"""",isnumber(find(lower(AR11),lower($T$5)))),int(substitute(if(regexmatch(proper($T$5),proper(AR11)&amp;"" [0-9]+""),regexextract(proper($T$5),proper(AR11)&amp;"" [0-9]+""),level),proper(AR11)&amp;"" "","""")),"""")"),"")</f>
        <v/>
      </c>
      <c r="AU11" s="3" t="str">
        <f>IFERROR(__xludf.DUMMYFUNCTION("""COMPUTED_VALUE"""),"")</f>
        <v/>
      </c>
      <c r="AV11" s="3"/>
      <c r="AW11" s="3" t="s">
        <v>9</v>
      </c>
      <c r="AX11" s="3" t="s">
        <v>9</v>
      </c>
      <c r="AY11" s="3" t="s">
        <v>9</v>
      </c>
      <c r="AZ11" s="3" t="s">
        <v>9</v>
      </c>
      <c r="BA11" s="3" t="s">
        <v>9</v>
      </c>
      <c r="BB11" s="3" t="s">
        <v>9</v>
      </c>
      <c r="BC11" s="3"/>
    </row>
    <row r="12" ht="15.75" customHeight="1">
      <c r="A12" s="33"/>
      <c r="B12" s="61"/>
      <c r="C12" s="62" t="s">
        <v>15</v>
      </c>
      <c r="E12" s="63"/>
      <c r="H12" s="31"/>
      <c r="I12" s="31"/>
      <c r="J12" s="31"/>
      <c r="K12" s="31"/>
      <c r="L12" s="31"/>
      <c r="M12" s="31"/>
      <c r="N12" s="31"/>
      <c r="Q12" s="61"/>
      <c r="R12" s="64">
        <f>if(
    or(dexMod="-",level=""),
    "-",
    max(armoredAC,unarmoredAC,naturalArmorAC,altClassBasedAC)
    +dualWielder
 )</f>
        <v>12</v>
      </c>
      <c r="S12" s="25"/>
      <c r="T12" s="65"/>
      <c r="V12" s="66"/>
      <c r="W12" s="25"/>
      <c r="X12" s="65"/>
      <c r="Y12" s="67"/>
      <c r="Z12" s="68">
        <f>IFERROR(__xludf.DUMMYFUNCTION("if(AQ5="""",""-"",iferror(int(regexextract(text(racialSpeed,0),""[0-9]+"")),30)+speedBonus)"),30.0)</f>
        <v>30</v>
      </c>
      <c r="AA12" s="25"/>
      <c r="AB12" s="63"/>
      <c r="AC12" s="56"/>
      <c r="AD12" s="61"/>
      <c r="AE12" s="69" t="s">
        <v>16</v>
      </c>
      <c r="AF12" s="70"/>
      <c r="AG12" s="70"/>
      <c r="AH12" s="70"/>
      <c r="AI12" s="70"/>
      <c r="AJ12" s="70"/>
      <c r="AK12" s="70"/>
      <c r="AL12" s="70"/>
      <c r="AM12" s="70"/>
      <c r="AN12" s="70"/>
      <c r="AO12" s="63"/>
      <c r="AQ12" s="3" t="s">
        <v>9</v>
      </c>
      <c r="AR12" s="3"/>
      <c r="AS12" s="7" t="str">
        <f>IFERROR(__xludf.DUMMYFUNCTION("if($AR12&lt;&gt;"""",iferror(array_constrain(filter('Class Info'!$E$7:$E180,'Class Info'!$B$7:$B180=$AR12,'Class Info'!$E$7:$E180&lt;&gt;"""",isnumber(find(proper('Class Info'!$E$7:$E180),proper($T$5)))),1,1),""-""),"""")"),"")</f>
        <v/>
      </c>
      <c r="AT12" s="3" t="str">
        <f>IFERROR(__xludf.DUMMYFUNCTION("if(and(AR12&lt;&gt;"""",isnumber(find(lower(AR12),lower($T$5)))),int(substitute(if(regexmatch(proper($T$5),proper(AR12)&amp;"" [0-9]+""),regexextract(proper($T$5),proper(AR12)&amp;"" [0-9]+""),level),proper(AR12)&amp;"" "","""")),"""")"),"")</f>
        <v/>
      </c>
      <c r="AU12" s="3" t="str">
        <f>IFERROR(__xludf.DUMMYFUNCTION("""COMPUTED_VALUE"""),"")</f>
        <v/>
      </c>
      <c r="AV12" s="3"/>
      <c r="AW12" s="3" t="s">
        <v>9</v>
      </c>
      <c r="AX12" s="3" t="s">
        <v>9</v>
      </c>
      <c r="AY12" s="3" t="s">
        <v>9</v>
      </c>
      <c r="AZ12" s="3" t="s">
        <v>9</v>
      </c>
      <c r="BA12" s="3" t="s">
        <v>9</v>
      </c>
      <c r="BB12" s="3" t="s">
        <v>9</v>
      </c>
      <c r="BC12" s="3"/>
    </row>
    <row r="13" ht="15.75" customHeight="1">
      <c r="A13" s="33"/>
      <c r="B13" s="61"/>
      <c r="C13" s="71">
        <f>if(C15="-","-",INT((C15-10)/2))</f>
        <v>-1</v>
      </c>
      <c r="E13" s="63"/>
      <c r="J13" s="72"/>
      <c r="K13" s="5"/>
      <c r="L13" s="5"/>
      <c r="M13" s="5"/>
      <c r="N13" s="5"/>
      <c r="Q13" s="61"/>
      <c r="T13" s="65"/>
      <c r="X13" s="65"/>
      <c r="Y13" s="67"/>
      <c r="AB13" s="63"/>
      <c r="AC13" s="56"/>
      <c r="AD13" s="61"/>
      <c r="AE13" s="73">
        <v>5.0</v>
      </c>
      <c r="AF13" s="74"/>
      <c r="AG13" s="74"/>
      <c r="AH13" s="74"/>
      <c r="AI13" s="74"/>
      <c r="AJ13" s="74"/>
      <c r="AK13" s="74"/>
      <c r="AL13" s="74"/>
      <c r="AM13" s="74"/>
      <c r="AN13" s="74"/>
      <c r="AO13" s="63"/>
      <c r="AQ13" s="3" t="s">
        <v>9</v>
      </c>
      <c r="AR13" s="2"/>
      <c r="AS13" s="7" t="str">
        <f>IFERROR(__xludf.DUMMYFUNCTION("if($AR13&lt;&gt;"""",iferror(array_constrain(filter('Class Info'!$E$7:$E180,'Class Info'!$B$7:$B180=$AR13,'Class Info'!$E$7:$E180&lt;&gt;"""",isnumber(find(proper('Class Info'!$E$7:$E180),proper($T$5)))),1,1),""-""),"""")"),"")</f>
        <v/>
      </c>
      <c r="AT13" s="3" t="str">
        <f>IFERROR(__xludf.DUMMYFUNCTION("if(and(AR13&lt;&gt;"""",isnumber(find(lower(AR13),lower($T$5)))),int(substitute(if(regexmatch(proper($T$5),proper(AR13)&amp;"" [0-9]+""),regexextract(proper($T$5),proper(AR13)&amp;"" [0-9]+""),level),proper(AR13)&amp;"" "","""")),"""")"),"")</f>
        <v/>
      </c>
      <c r="AU13" s="3" t="str">
        <f>IFERROR(__xludf.DUMMYFUNCTION("""COMPUTED_VALUE"""),"")</f>
        <v/>
      </c>
      <c r="AV13" s="3"/>
      <c r="AW13" s="3" t="s">
        <v>9</v>
      </c>
      <c r="AX13" s="3" t="s">
        <v>9</v>
      </c>
      <c r="AY13" s="3" t="s">
        <v>9</v>
      </c>
      <c r="AZ13" s="3" t="s">
        <v>9</v>
      </c>
      <c r="BA13" s="3" t="s">
        <v>9</v>
      </c>
      <c r="BB13" s="3" t="s">
        <v>9</v>
      </c>
      <c r="BC13" s="3"/>
    </row>
    <row r="14" ht="15.75" customHeight="1">
      <c r="A14" s="33"/>
      <c r="B14" s="61"/>
      <c r="E14" s="63"/>
      <c r="H14" s="75">
        <f>IFERROR(__xludf.DUMMYFUNCTION("if(level="""","""",floor((level+7)/4)+iferror(sum(split(textjoin(""-"",True,AX45:AX49,AX50:AX56),""-"")),0))"),3.0)</f>
        <v>3</v>
      </c>
      <c r="I14" s="25"/>
      <c r="J14" s="76" t="str">
        <f>image("https://i.imgur.com/v92a6gB.png",2)</f>
        <v/>
      </c>
      <c r="K14" s="77" t="s">
        <v>17</v>
      </c>
      <c r="L14" s="25"/>
      <c r="M14" s="25"/>
      <c r="N14" s="25"/>
      <c r="Q14" s="61"/>
      <c r="R14" s="78" t="s">
        <v>18</v>
      </c>
      <c r="S14" s="31"/>
      <c r="T14" s="65"/>
      <c r="V14" s="78" t="s">
        <v>19</v>
      </c>
      <c r="W14" s="31"/>
      <c r="X14" s="65"/>
      <c r="Y14" s="67"/>
      <c r="Z14" s="78" t="s">
        <v>20</v>
      </c>
      <c r="AA14" s="31"/>
      <c r="AB14" s="63"/>
      <c r="AC14" s="56"/>
      <c r="AD14" s="61"/>
      <c r="AE14" s="79"/>
      <c r="AF14" s="74"/>
      <c r="AG14" s="74"/>
      <c r="AH14" s="74"/>
      <c r="AI14" s="74"/>
      <c r="AJ14" s="74"/>
      <c r="AK14" s="74"/>
      <c r="AL14" s="74"/>
      <c r="AM14" s="74"/>
      <c r="AN14" s="74"/>
      <c r="AO14" s="63"/>
      <c r="AQ14" s="3" t="s">
        <v>9</v>
      </c>
      <c r="AR14" s="2"/>
      <c r="AS14" s="7" t="str">
        <f>IFERROR(__xludf.DUMMYFUNCTION("if($AR14&lt;&gt;"""",iferror(array_constrain(filter('Class Info'!$E$7:$E180,'Class Info'!$B$7:$B180=$AR14,'Class Info'!$E$7:$E180&lt;&gt;"""",isnumber(find(proper('Class Info'!$E$7:$E180),proper($T$5)))),1,1),""-""),"""")"),"")</f>
        <v/>
      </c>
      <c r="AT14" s="3" t="str">
        <f>IFERROR(__xludf.DUMMYFUNCTION("if(and(AR14&lt;&gt;"""",isnumber(find(lower(AR14),lower($T$5)))),int(substitute(if(regexmatch(proper($T$5),proper(AR14)&amp;"" [0-9]+""),regexextract(proper($T$5),proper(AR14)&amp;"" [0-9]+""),level),proper(AR14)&amp;"" "","""")),"""")"),"")</f>
        <v/>
      </c>
      <c r="AU14" s="3" t="str">
        <f>IFERROR(__xludf.DUMMYFUNCTION("""COMPUTED_VALUE"""),"")</f>
        <v/>
      </c>
      <c r="AV14" s="3"/>
      <c r="AW14" s="3" t="s">
        <v>9</v>
      </c>
      <c r="AX14" s="3" t="s">
        <v>9</v>
      </c>
      <c r="AY14" s="3" t="s">
        <v>9</v>
      </c>
      <c r="AZ14" s="3" t="s">
        <v>9</v>
      </c>
      <c r="BA14" s="3" t="s">
        <v>9</v>
      </c>
      <c r="BB14" s="3" t="s">
        <v>9</v>
      </c>
      <c r="BC14" s="3"/>
    </row>
    <row r="15" ht="15.75" customHeight="1">
      <c r="A15" s="33"/>
      <c r="B15" s="61"/>
      <c r="C15" s="80">
        <f>IFERROR(__xludf.DUMMYFUNCTION("if(C16,min(30,max(
iferror(int(trim(right(regexextract(Additional!$AR$79,lower(C12)&amp;""[a-z]+? score is [0-9]+""),2))),0),
iferror(int(trim(right(regexextract(Additional!$AR$79,lower(C12)&amp;""[a-z]+? score changes to [0-9]+""),2))),0),
min(iferror(int(trim(r"&amp;"ight(regexextract(Additional!$AR$79,lower(C12)&amp;""[a-z]+? [a-z ]+maximum of [0-9]+?""),2))),20+if(BarbarianLevel=20,4,0)),
C16+if(BarbarianLevel=20,4,0)+
iferror(if(find(regexextract($AR$5,lower(C12)&amp;"" \+[0-9]""),$AR$5)&lt;iferror(find(""choose"",lower($AR$5"&amp;")),len($AR$5)),int(right(regexextract($AR$5,lower(C12)&amp;"" \+[0-9]""),1)),0),0)-
iferror(if(find(regexextract($AR$5,lower(C12)&amp;"" \-[0-9]""),$AR$5)&lt;iferror(find(""choose"",lower($AR$5)),len($AR$5)),int(right(regexextract($AR$5,lower(C12)&amp;"" \-[0-9]""),1)),"&amp;"0),0)
+D16))
+sum(arrayformula(int(iferror(trim(right(regexextract(lower(filter({BA$32:BA$56;Additional!$BA$3:$BA$24},regexmatch(lower({BA$32:BA$56;Additional!$BA$3:$BA$24}),lower(C12)&amp;""[a-z]+? score increases by [0-9]+""))),lower(C12)&amp;""[a-z]+? score in"&amp;"creases by [0-9]+""),2)),0))))),""-"")"),8.0)</f>
        <v>8</v>
      </c>
      <c r="D15" s="81"/>
      <c r="E15" s="63"/>
      <c r="F15" s="82"/>
      <c r="H15" s="31"/>
      <c r="I15" s="31"/>
      <c r="J15" s="31"/>
      <c r="K15" s="31"/>
      <c r="L15" s="31"/>
      <c r="M15" s="31"/>
      <c r="N15" s="31"/>
      <c r="Q15" s="61"/>
      <c r="R15" s="51"/>
      <c r="T15" s="65"/>
      <c r="V15" s="83"/>
      <c r="X15" s="65"/>
      <c r="Y15" s="67"/>
      <c r="Z15" s="51"/>
      <c r="AB15" s="63"/>
      <c r="AC15" s="56"/>
      <c r="AD15" s="61"/>
      <c r="AE15" s="84" t="s">
        <v>21</v>
      </c>
      <c r="AF15" s="85"/>
      <c r="AG15" s="85"/>
      <c r="AH15" s="85"/>
      <c r="AI15" s="85"/>
      <c r="AJ15" s="85"/>
      <c r="AK15" s="85"/>
      <c r="AL15" s="85"/>
      <c r="AM15" s="85"/>
      <c r="AN15" s="85"/>
      <c r="AO15" s="63"/>
      <c r="AQ15" s="3" t="s">
        <v>9</v>
      </c>
      <c r="AR15" s="2"/>
      <c r="AS15" s="7" t="str">
        <f>IFERROR(__xludf.DUMMYFUNCTION("if($AR15&lt;&gt;"""",iferror(array_constrain(filter('Class Info'!$E$7:$E180,'Class Info'!$B$7:$B180=$AR15,'Class Info'!$E$7:$E180&lt;&gt;"""",isnumber(find(proper('Class Info'!$E$7:$E180),proper($T$5)))),1,1),""-""),"""")"),"")</f>
        <v/>
      </c>
      <c r="AT15" s="3" t="str">
        <f>IFERROR(__xludf.DUMMYFUNCTION("if(and(AR15&lt;&gt;"""",isnumber(find(lower(AR15),lower($T$5)))),int(substitute(if(regexmatch(proper($T$5),proper(AR15)&amp;"" [0-9]+""),regexextract(proper($T$5),proper(AR15)&amp;"" [0-9]+""),level),proper(AR15)&amp;"" "","""")),"""")"),"")</f>
        <v/>
      </c>
      <c r="AU15" s="3" t="str">
        <f>IFERROR(__xludf.DUMMYFUNCTION("""COMPUTED_VALUE"""),"")</f>
        <v/>
      </c>
      <c r="AV15" s="3"/>
      <c r="AW15" s="3" t="s">
        <v>9</v>
      </c>
      <c r="AX15" s="3" t="s">
        <v>9</v>
      </c>
      <c r="AY15" s="3" t="s">
        <v>9</v>
      </c>
      <c r="AZ15" s="3" t="s">
        <v>9</v>
      </c>
      <c r="BA15" s="3" t="s">
        <v>9</v>
      </c>
      <c r="BB15" s="3" t="s">
        <v>9</v>
      </c>
      <c r="BC15" s="3"/>
    </row>
    <row r="16" ht="15.75" customHeight="1">
      <c r="A16" s="33"/>
      <c r="B16" s="61"/>
      <c r="C16" s="86">
        <v>8.0</v>
      </c>
      <c r="D16" s="87"/>
      <c r="E16" s="63"/>
      <c r="F16" s="88" t="b">
        <f>IFERROR(__xludf.DUMMYFUNCTION("arrayformula(if(P16:P23&lt;&gt;"""",P16:P23,
 if($AC$57&lt;&gt;""EQUIPPED ITEMS"",if(J16:J23&lt;&gt;"""",if(isnumber(find(J16:J23,""StrengthDexterity"")),""dis"",
 if(regexmatch(Additional!$AR$79,""advantage on all[a-z ]+?""&amp;lower(J16:J23)&amp;""[a-z ]+? sav saving throws""),
"&amp;" if(regexmatch(Additional!$AR$79,""sadvantage on all[a-z ]+""&amp;lower(J16:J23)&amp;""[a-z ]+? saving throws""),
 ""dis"",""adv""),
 if(regexmatch(substitute(lower($BA$5),"","",""""),""advantage on all[a-z ]+?""&amp;lower(J16:J23)&amp;""[a-z ]+?saving throws""),
 if(reg"&amp;"exmatch(substitute(lower($BA$5),"","",""""),""sadvantage on all[a-z ]+?""&amp;lower(J16:J23)&amp;""[a-z ]+?saving throws""),
 ""dis"",""adv""),""""))),""""))))"),FALSE)</f>
        <v>0</v>
      </c>
      <c r="I16" s="89"/>
      <c r="K16" s="5" t="str">
        <f>if(sum(H17:H23)=0,"Saving throws auto-populate.","")</f>
        <v/>
      </c>
      <c r="L16" s="5"/>
      <c r="M16" s="5"/>
      <c r="N16" s="5"/>
      <c r="Q16" s="61"/>
      <c r="R16" s="90" t="s">
        <v>22</v>
      </c>
      <c r="S16" s="25"/>
      <c r="T16" s="25"/>
      <c r="U16" s="91">
        <f>if(and(level&lt;&gt;"",conMod&lt;&gt;"-"),level*C23+if(sum(rolledHitPoints)&gt;0,sum(rolledHitPoints),averageHitPoints)
 +if(ISNUMBER(AU5),max(0,floor(AU5*level,1)),0)
 +if(isnumber(find("tough",feats)),level*2,0),"-")</f>
        <v>50</v>
      </c>
      <c r="V16" s="70"/>
      <c r="W16" s="70"/>
      <c r="X16" s="70"/>
      <c r="Y16" s="70"/>
      <c r="Z16" s="70"/>
      <c r="AA16" s="70"/>
      <c r="AB16" s="63"/>
      <c r="AC16" s="56"/>
      <c r="AD16" s="61"/>
      <c r="AE16" s="92"/>
      <c r="AF16" s="70"/>
      <c r="AG16" s="70"/>
      <c r="AH16" s="70"/>
      <c r="AI16" s="70"/>
      <c r="AJ16" s="70"/>
      <c r="AK16" s="70"/>
      <c r="AL16" s="70"/>
      <c r="AM16" s="70"/>
      <c r="AN16" s="70"/>
      <c r="AO16" s="63"/>
      <c r="AQ16" s="3" t="str">
        <f>if(level&lt;&gt;"",iferror(vlookup(AJ11,AX69:AY180,2,false),""),"")</f>
        <v/>
      </c>
      <c r="AR16" s="7" t="str">
        <f>IFERROR(__xludf.DUMMYFUNCTION("textjoin("", "",True,iferror(filter(J25:J42,isnumber(find(lower(J25:J42),mid(lower($AZ$5),iferror(find(""proficien"",$AZ$5),1),len($AZ$5))))),""""))"),"Perception")</f>
        <v>Perception</v>
      </c>
      <c r="AS16" s="3">
        <f>if(level&lt;&gt;"",sum(AS17:AS20),"")</f>
        <v>3</v>
      </c>
      <c r="AT16" s="3">
        <f>IFERROR(__xludf.DUMMYFUNCTION("if(AR6&lt;&gt;"""",if(
    and(iferror(filter(v2.1!AX6:AX15,v2.1!AT6:AT15=index(AL6))=""Half Caster""),AL6=1),0,
        if(
           countif(AX6:AX15,""Half Caster"")+countif(AX6:AX15,""Artificer Casting"")+countif(AX6:AX15,""Full Caster"")+countif(AX6:AX15,"&amp;"""Third Caster"")&lt;2,
           sum(iferror(filter(v2.1!AT6:AT15,v2.1!AX6:AX15=""Full Caster""),0))
           +ceiling(if(sum(iferror(filter(v2.1!AT6:AT15,v2.1!AX6:AX15=""Half Caster""),0))&gt;1,sum(iferror(filter(v2.1!AT6:AT15,v2.1!AX6:AX15=""Half Caster"""&amp;"),0)),0)/2)
           +ceiling(sum(iferror(filter(v2.1!AT6:AT15,v2.1!AX6:AX15=""Artificer Casting""),0))/2)
           +ceiling(if(sum(iferror(filter(v2.1!AT6:AT15,v2.1!AX6:AX15=""Third Caster""),0))&gt;2,sum(iferror(filter(v2.1!AT6:AT15,v2.1!AX6:AX15=""Thi"&amp;"rd Caster""),0)),0)/3),
           sum(iferror(filter(v2.1!AT6:AT15,v2.1!AX6:AX15=""Full Caster""),0))
           +floor(sum(iferror(filter(v2.1!AT6:AT15,v2.1!AX6:AX15=""Half Caster""),0))/2)
           +ceiling(sum(iferror(filter(v2.1!AT6:AT15,v2.1!AX6:A"&amp;"X15=""Artificer Casting""),0))/2)
           +floor(sum(iferror(filter(v2.1!AT6:AT15,v2.1!AX6:AX15=""Third Caster""),0))/3)
        )
 ),"""")"),8.0)</f>
        <v>8</v>
      </c>
      <c r="AU16" s="8">
        <f>if(AR6&lt;&gt;"",sum(AU6:AU15),"")</f>
        <v>34</v>
      </c>
      <c r="AV16" s="3" t="str">
        <f>AR6</f>
        <v>Wizard</v>
      </c>
      <c r="AW16" s="7" t="str">
        <f>textjoin(", ",true,AV6:AW15,AY5)</f>
        <v>Intelligence, Wisdom, Choose 2, Arcana, History, Insight, Investigation, Medicine, Religion, Dagger, Dart, Sling, Quarterstaff, Light Crossbow, -, Longsword, Shortsword, Shortbow, Longbow</v>
      </c>
      <c r="AX16" s="3"/>
      <c r="AY16" s="3"/>
      <c r="AZ16" s="3"/>
      <c r="BA16" s="3" t="str">
        <f>IFERROR(__xludf.DUMMYFUNCTION("if($T$5&lt;&gt;"""",array_constrain(iferror(filter(BA6:BA15,BA6:BA15&lt;&gt;"""",iserror(find(""10"",BA6:BA15))),""10+dex""),1,1),"""")"),"10+dex")</f>
        <v>10+dex</v>
      </c>
      <c r="BB16" s="3"/>
      <c r="BC16" s="3"/>
    </row>
    <row r="17" ht="15.75" customHeight="1">
      <c r="A17" s="12"/>
      <c r="B17" s="61"/>
      <c r="C17" s="62" t="s">
        <v>23</v>
      </c>
      <c r="E17" s="63"/>
      <c r="F17" s="93" t="b">
        <f>IFERROR(__xludf.DUMMYFUNCTION("""COMPUTED_VALUE"""),FALSE)</f>
        <v>0</v>
      </c>
      <c r="H17" s="94">
        <f>IFERROR(__xludf.DUMMYFUNCTION("if(or(regexmatch($AQ$63,lower(J17)),regexmatch($AW$16,J17)),1,0)"),0.0)</f>
        <v>0</v>
      </c>
      <c r="I17" s="95">
        <f>IFERROR(__xludf.DUMMYFUNCTION("if(and(proficiencyBonus,indirect(left(lower($J17),3)&amp;""Mod"")&lt;&gt;""-""),
    if($H17&lt;&gt;0,proficiencyBonus,0)
    +indirect(left(lower($J17),3)&amp;""Mod"")
    +$AS$58
    +sum(arrayformula(int(iferror(substitute(regexextract(lower(filter({BA$32:BA$56;Additional"&amp;"!$BA$3:$BA$24},regexmatch(lower({BA$32:BA$56;Additional!$BA$3:$BA$24}),""[0-9]+ bonus to ""&amp;lower($J17)&amp;"" sav""))),""[0-9]+ bonus to ""&amp;lower($J17)&amp;"" sav""),"" bonus to ""&amp;lower($J17)&amp;"" sav"",""""),0)))),""-"")"),-1.0)</f>
        <v>-1</v>
      </c>
      <c r="J17" s="96" t="s">
        <v>24</v>
      </c>
      <c r="K17" s="25"/>
      <c r="L17" s="25"/>
      <c r="M17" s="25"/>
      <c r="N17" s="25"/>
      <c r="P17" s="97"/>
      <c r="Q17" s="61"/>
      <c r="R17" s="98" t="s">
        <v>25</v>
      </c>
      <c r="AB17" s="63"/>
      <c r="AC17" s="56"/>
      <c r="AD17" s="61"/>
      <c r="AE17" s="79"/>
      <c r="AF17" s="74"/>
      <c r="AG17" s="74"/>
      <c r="AH17" s="74"/>
      <c r="AI17" s="74"/>
      <c r="AJ17" s="74"/>
      <c r="AK17" s="74"/>
      <c r="AL17" s="74"/>
      <c r="AM17" s="74"/>
      <c r="AN17" s="74"/>
      <c r="AO17" s="63"/>
      <c r="AQ17" s="3">
        <f>if(level&lt;&gt;"",if($AJ$11&lt;&gt;"",2,0)+$AS$16-countif($H$25:$H$42,"&lt;&gt;0"),"")</f>
        <v>-2</v>
      </c>
      <c r="AR17" s="2" t="str">
        <f>IFERROR(__xludf.DUMMYFUNCTION("iferror(regexextract(textjoin("", "",True,filter($J$25:$J$42,$H$25:$H$42&lt;&gt;0,isnumber(find($J25:$J$42,$AR$16)))),""[a-zA-Z ]+.[a-zA-Z ]+""),"""")"),"Perception")</f>
        <v>Perception</v>
      </c>
      <c r="AS17" s="7" t="str">
        <f>IFERROR(__xludf.DUMMYFUNCTION("if(regexmatch(lower(AZ5),""gain proficiency [a-z ]+ choice""),
  if(isnumber(find("" one "",lower(AZ5))),1,if(isnumber(find("" two "",lower(AZ5))),2,if(isnumber(find("" three "",lower(AZ5))),3,if(isnumber(find("" four "",lower(AZ5))),4,0)))),"""")"),"")</f>
        <v/>
      </c>
      <c r="AT17" s="3"/>
      <c r="AU17" s="3"/>
      <c r="AV17" s="3"/>
      <c r="AW17" s="3" t="str">
        <f>IFERROR(__xludf.DUMMYFUNCTION("iferror(textjoin("", "",True,
 filter($J25:J42,
  isnumber(find(proper($J$25:$J$42),proper($AW$16)))+
  isnumber(find(proper($J$25:$J$42),proper($AW$18))),
  iserror(find(proper($J$25:$J$42),proper($AQ$16))),
  if($AS$18&gt;0,
     iserror(find(proper($J$25:"&amp;"$J$42),proper($AR$16))),
     iserror(find(proper($J$25:$J$42),proper($AR$17)))
  )
 )
),"""")"),"Arcana, History, Insight, Investigation, Medicine, Religion")</f>
        <v>Arcana, History, Insight, Investigation, Medicine, Religion</v>
      </c>
      <c r="AX17" s="3"/>
      <c r="AY17" s="3"/>
      <c r="AZ17" s="3"/>
      <c r="BA17" s="3"/>
      <c r="BB17" s="3"/>
      <c r="BC17" s="3"/>
    </row>
    <row r="18" ht="15.75" customHeight="1">
      <c r="A18" s="12"/>
      <c r="B18" s="61"/>
      <c r="C18" s="71">
        <f>if(C20="-","-",INT((C20-10)/2))</f>
        <v>2</v>
      </c>
      <c r="E18" s="63"/>
      <c r="F18" s="99" t="b">
        <f>IFERROR(__xludf.DUMMYFUNCTION("""COMPUTED_VALUE"""),FALSE)</f>
        <v>0</v>
      </c>
      <c r="H18" s="100">
        <f>IFERROR(__xludf.DUMMYFUNCTION("if(or(regexmatch($AQ$63,lower(J18)),regexmatch($AW$16,J18)),1,0)"),0.0)</f>
        <v>0</v>
      </c>
      <c r="I18" s="95">
        <f>IFERROR(__xludf.DUMMYFUNCTION("if(and(proficiencyBonus,indirect(left(lower($J18),3)&amp;""Mod"")&lt;&gt;""-""),
    if($H18&lt;&gt;0,proficiencyBonus,0)
    +indirect(left(lower($J18),3)&amp;""Mod"")
    +$AS$58
    +sum(arrayformula(int(iferror(substitute(regexextract(lower(filter({BA$32:BA$56;Additional"&amp;"!$BA$3:$BA$24},regexmatch(lower({BA$32:BA$56;Additional!$BA$3:$BA$24}),""[0-9]+ bonus to ""&amp;lower($J18)&amp;"" sav""))),""[0-9]+ bonus to ""&amp;lower($J18)&amp;"" sav""),"" bonus to ""&amp;lower($J18)&amp;"" sav"",""""),0)))),""-"")"),2.0)</f>
        <v>2</v>
      </c>
      <c r="J18" s="101" t="s">
        <v>26</v>
      </c>
      <c r="P18" s="97"/>
      <c r="Q18" s="61"/>
      <c r="AB18" s="63"/>
      <c r="AC18" s="56"/>
      <c r="AD18" s="61"/>
      <c r="AE18" s="79"/>
      <c r="AF18" s="74"/>
      <c r="AG18" s="74"/>
      <c r="AH18" s="74"/>
      <c r="AI18" s="74"/>
      <c r="AJ18" s="74"/>
      <c r="AK18" s="74"/>
      <c r="AL18" s="74"/>
      <c r="AM18" s="74"/>
      <c r="AN18" s="74"/>
      <c r="AO18" s="63"/>
      <c r="AQ18" s="3">
        <f>IFERROR(__xludf.DUMMYFUNCTION("if(race&lt;&gt;"""",if(C15&lt;if(AU24&lt;&gt;""-"",AU24,0),-10,0)+if(isnumber(find(""mobile"",feats)),10,0)+sum(AZ6:AZ15)+sum(arrayformula(int(iferror(trim(left(regexextract(lower(filter({BA$32:BA$56;Additional!$BA$3:$BA$24},regexmatch(lower({BA$32:BA$56;Additional!$BA$"&amp;"3:$BA$24}),""walking speed increases by [0-9]+ feet""))),""[0-9]+ feet""),2)),0)))),"""")"),0.0)</f>
        <v>0</v>
      </c>
      <c r="AR18" s="2"/>
      <c r="AS18" s="7">
        <f>IFERROR(__xludf.DUMMYFUNCTION("if(race&lt;&gt;"""",counta(iferror(filter(J25:J42,regexmatch(lower(AZ5),""gain proficiency [a-z ]+""&amp;lower(J25:J42)&amp;""[a-z ]+skill"")))),"""")"),1.0)</f>
        <v>1</v>
      </c>
      <c r="AT18" s="3"/>
      <c r="AU18" s="3"/>
      <c r="AV18" s="3"/>
      <c r="AW18" s="3" t="str">
        <f>IFERROR(__xludf.DUMMYFUNCTION("textjoin("", "",True,arrayformula(if(regexmatch(lower($AW$7:$AW$15),""[0-9] skill""),vlookup($AR$7:$AR$15,'Class Info'!B7:T180,19,False),"""")))"),"")</f>
        <v/>
      </c>
      <c r="AX18" s="3"/>
      <c r="AY18" s="3"/>
      <c r="AZ18" s="3"/>
      <c r="BA18" s="3"/>
      <c r="BB18" s="3"/>
      <c r="BC18" s="3"/>
    </row>
    <row r="19" ht="15.75" customHeight="1">
      <c r="A19" s="12"/>
      <c r="B19" s="61"/>
      <c r="E19" s="63"/>
      <c r="F19" s="99" t="b">
        <f>IFERROR(__xludf.DUMMYFUNCTION("""COMPUTED_VALUE"""),FALSE)</f>
        <v>0</v>
      </c>
      <c r="H19" s="100">
        <f>IFERROR(__xludf.DUMMYFUNCTION("if(or(regexmatch($AQ$63,lower(J19)),regexmatch($AW$16,J19)),1,0)"),0.0)</f>
        <v>0</v>
      </c>
      <c r="I19" s="95">
        <f>IFERROR(__xludf.DUMMYFUNCTION("if(and(proficiencyBonus,indirect(left(lower($J19),3)&amp;""Mod"")&lt;&gt;""-""),
    if($H19&lt;&gt;0,proficiencyBonus,0)
    +indirect(left(lower($J19),3)&amp;""Mod"")
    +$AS$58
    +sum(arrayformula(int(iferror(substitute(regexextract(lower(filter({BA$32:BA$56;Additional"&amp;"!$BA$3:$BA$24},regexmatch(lower({BA$32:BA$56;Additional!$BA$3:$BA$24}),""[0-9]+ bonus to ""&amp;lower($J19)&amp;"" sav""))),""[0-9]+ bonus to ""&amp;lower($J19)&amp;"" sav""),"" bonus to ""&amp;lower($J19)&amp;"" sav"",""""),0)))),""-"")"),2.0)</f>
        <v>2</v>
      </c>
      <c r="J19" s="101" t="s">
        <v>27</v>
      </c>
      <c r="P19" s="97"/>
      <c r="Q19" s="61"/>
      <c r="R19" s="102" t="s">
        <v>28</v>
      </c>
      <c r="AB19" s="63"/>
      <c r="AC19" s="56"/>
      <c r="AD19" s="61"/>
      <c r="AE19" s="84" t="s">
        <v>29</v>
      </c>
      <c r="AF19" s="85"/>
      <c r="AG19" s="85"/>
      <c r="AH19" s="85"/>
      <c r="AI19" s="85"/>
      <c r="AJ19" s="85"/>
      <c r="AK19" s="85"/>
      <c r="AL19" s="85"/>
      <c r="AM19" s="85"/>
      <c r="AN19" s="85"/>
      <c r="AO19" s="63"/>
      <c r="AQ19" s="3"/>
      <c r="AR19" s="2"/>
      <c r="AS19" s="7">
        <f>IFERROR(__xludf.DUMMYFUNCTION("if(level&lt;&gt;"""",int(iferror(right(regexextract(lower($AW$16),""choose [0-9]""),1),""2""))+sum(arrayformula(iferror(int(regexextract(iferror(regexextract($AW$6:$AW$15,""[0-9] Skill""),""0""),""[0-9]"")),0)),0)+int(iferror(right(regexextract(lower($AW$6),""c"&amp;"hoose [0-9]""),1),""0"")),"""")"),2.0)</f>
        <v>2</v>
      </c>
      <c r="AT19" s="3"/>
      <c r="AU19" s="3"/>
      <c r="AV19" s="3"/>
      <c r="AW19" s="3"/>
      <c r="AX19" s="3"/>
      <c r="AY19" s="3"/>
      <c r="AZ19" s="3"/>
      <c r="BA19" s="3"/>
      <c r="BB19" s="3"/>
      <c r="BC19" s="3"/>
    </row>
    <row r="20" ht="15.75" customHeight="1">
      <c r="A20" s="12"/>
      <c r="B20" s="61"/>
      <c r="C20" s="80">
        <f>IFERROR(__xludf.DUMMYFUNCTION("if(C21,min(30,max(
iferror(int(trim(right(regexextract(Additional!$AR$79,lower(C17)&amp;""[a-z]+? score is [0-9]+""),2))),0),
iferror(int(trim(right(regexextract(Additional!$AR$79,lower(C17)&amp;""[a-z]+? score changes to [0-9]+""),2))),0),
min(iferror(int(trim(r"&amp;"ight(regexextract(Additional!$AR$79,lower(C17)&amp;""[a-z]+? [a-z ]+maximum of [0-9]+?""),2))),20),
C21+
iferror(if(find(regexextract($AR$5,lower(C17)&amp;"" \+[0-9]""),$AR$5)&lt;iferror(find(""choose"",lower($AR$5)),len($AR$5)),int(right(regexextract($AR$5,lower(C1"&amp;"7)&amp;"" \+[0-9]""),1)),0),0)-
iferror(if(find(regexextract($AR$5,lower(C17)&amp;"" \-[0-9]""),$AR$5)&lt;iferror(find(""choose"",lower($AR$5)),len($AR$5)),int(right(regexextract($AR$5,lower(C17)&amp;"" \-[0-9]""),1)),0),0)
+D21))
+sum(arrayformula(int(iferror(trim(righ"&amp;"t(regexextract(lower(filter({BA$32:BA$56;Additional!$BA$3:$BA$24},regexmatch(lower({BA$32:BA$56;Additional!$BA$3:$BA$24}),lower(C17)&amp;""[a-z]+? score increases by [0-9]+""))),lower(C17)&amp;""[a-z]+? score increases by [0-9]+""),2)),0))))),""-"")"),14.0)</f>
        <v>14</v>
      </c>
      <c r="D20" s="81"/>
      <c r="E20" s="63"/>
      <c r="F20" s="99" t="b">
        <f>IFERROR(__xludf.DUMMYFUNCTION("""COMPUTED_VALUE"""),FALSE)</f>
        <v>0</v>
      </c>
      <c r="H20" s="100">
        <f>IFERROR(__xludf.DUMMYFUNCTION("if(or(regexmatch($AQ$63,lower(J20)),regexmatch($AW$16,J20)),1,0)"),1.0)</f>
        <v>1</v>
      </c>
      <c r="I20" s="95">
        <f>IFERROR(__xludf.DUMMYFUNCTION("if(and(proficiencyBonus,indirect(left(lower($J20),3)&amp;""Mod"")&lt;&gt;""-""),
    if($H20&lt;&gt;0,proficiencyBonus,0)
    +indirect(left(lower($J20),3)&amp;""Mod"")
    +$AS$58
    +sum(arrayformula(int(iferror(substitute(regexextract(lower(filter({BA$32:BA$56;Additional"&amp;"!$BA$3:$BA$24},regexmatch(lower({BA$32:BA$56;Additional!$BA$3:$BA$24}),""[0-9]+ bonus to ""&amp;lower($J20)&amp;"" sav""))),""[0-9]+ bonus to ""&amp;lower($J20)&amp;"" sav""),"" bonus to ""&amp;lower($J20)&amp;"" sav"",""""),0)))),""-"")"),8.0)</f>
        <v>8</v>
      </c>
      <c r="J20" s="101" t="s">
        <v>30</v>
      </c>
      <c r="P20" s="97"/>
      <c r="Q20" s="61"/>
      <c r="R20" s="90" t="s">
        <v>31</v>
      </c>
      <c r="S20" s="25"/>
      <c r="T20" s="25"/>
      <c r="U20" s="103" t="s">
        <v>32</v>
      </c>
      <c r="V20" s="70"/>
      <c r="W20" s="70"/>
      <c r="X20" s="70"/>
      <c r="Y20" s="70"/>
      <c r="Z20" s="70"/>
      <c r="AA20" s="70"/>
      <c r="AB20" s="63"/>
      <c r="AC20" s="56"/>
      <c r="AD20" s="61"/>
      <c r="AE20" s="92"/>
      <c r="AF20" s="70"/>
      <c r="AG20" s="70"/>
      <c r="AH20" s="70"/>
      <c r="AI20" s="70"/>
      <c r="AJ20" s="70"/>
      <c r="AK20" s="70"/>
      <c r="AL20" s="70"/>
      <c r="AM20" s="70"/>
      <c r="AN20" s="70"/>
      <c r="AO20" s="63"/>
      <c r="AQ20" s="3"/>
      <c r="AR20" s="2"/>
      <c r="AS20" s="7" t="str">
        <f>IFERROR(__xludf.DUMMYFUNCTION("if(counta(iferror(filter(J25:J42,isnumber(find(lower(J25:J42),AQ63)))))=0,"""",counta(iferror(filter(J25:J42,isnumber(find(lower(J25:J42),AQ63))))))"),"")</f>
        <v/>
      </c>
      <c r="AT20" s="3"/>
      <c r="AU20" s="3"/>
      <c r="AV20" s="3"/>
      <c r="AW20" s="3"/>
      <c r="AX20" s="3"/>
      <c r="AY20" s="3"/>
      <c r="AZ20" s="3"/>
      <c r="BA20" s="3"/>
      <c r="BB20" s="3"/>
      <c r="BC20" s="3"/>
    </row>
    <row r="21" ht="15.75" customHeight="1">
      <c r="A21" s="12"/>
      <c r="B21" s="61"/>
      <c r="C21" s="86">
        <v>14.0</v>
      </c>
      <c r="D21" s="87"/>
      <c r="E21" s="63"/>
      <c r="F21" s="99" t="b">
        <f>IFERROR(__xludf.DUMMYFUNCTION("""COMPUTED_VALUE"""),FALSE)</f>
        <v>0</v>
      </c>
      <c r="H21" s="100">
        <f>IFERROR(__xludf.DUMMYFUNCTION("if(or(regexmatch($AQ$63,lower(J21)),regexmatch($AW$16,J21)),1,0)"),1.0)</f>
        <v>1</v>
      </c>
      <c r="I21" s="95">
        <f>IFERROR(__xludf.DUMMYFUNCTION("if(and(proficiencyBonus,indirect(left(lower($J21),3)&amp;""Mod"")&lt;&gt;""-""),
    if($H21&lt;&gt;0,proficiencyBonus,0)
    +indirect(left(lower($J21),3)&amp;""Mod"")
    +$AS$58
    +sum(arrayformula(int(iferror(substitute(regexextract(lower(filter({BA$32:BA$56;Additional"&amp;"!$BA$3:$BA$24},regexmatch(lower({BA$32:BA$56;Additional!$BA$3:$BA$24}),""[0-9]+ bonus to ""&amp;lower($J21)&amp;"" sav""))),""[0-9]+ bonus to ""&amp;lower($J21)&amp;"" sav""),"" bonus to ""&amp;lower($J21)&amp;"" sav"",""""),0)))),""-"")"),4.0)</f>
        <v>4</v>
      </c>
      <c r="J21" s="101" t="s">
        <v>33</v>
      </c>
      <c r="P21" s="97"/>
      <c r="Q21" s="61"/>
      <c r="R21" s="104"/>
      <c r="AB21" s="63"/>
      <c r="AC21" s="56"/>
      <c r="AD21" s="61"/>
      <c r="AE21" s="79"/>
      <c r="AF21" s="74"/>
      <c r="AG21" s="74"/>
      <c r="AH21" s="74"/>
      <c r="AI21" s="74"/>
      <c r="AJ21" s="74"/>
      <c r="AK21" s="74"/>
      <c r="AL21" s="74"/>
      <c r="AM21" s="74"/>
      <c r="AN21" s="74"/>
      <c r="AO21" s="63"/>
      <c r="AQ21" s="3"/>
      <c r="AR21" s="2"/>
      <c r="AS21" s="7"/>
      <c r="AT21" s="3"/>
      <c r="AU21" s="3"/>
      <c r="AV21" s="8"/>
      <c r="AW21" s="3"/>
      <c r="AX21" s="3"/>
      <c r="AY21" s="3"/>
      <c r="AZ21" s="3"/>
      <c r="BA21" s="3"/>
      <c r="BB21" s="3"/>
      <c r="BC21" s="3"/>
    </row>
    <row r="22" ht="15.75" customHeight="1">
      <c r="A22" s="12"/>
      <c r="B22" s="61"/>
      <c r="C22" s="62" t="s">
        <v>34</v>
      </c>
      <c r="E22" s="63"/>
      <c r="F22" s="99" t="b">
        <f>IFERROR(__xludf.DUMMYFUNCTION("""COMPUTED_VALUE"""),FALSE)</f>
        <v>0</v>
      </c>
      <c r="H22" s="100">
        <f>IFERROR(__xludf.DUMMYFUNCTION("if(or(regexmatch($AQ$63,lower(J22)),regexmatch($AW$16,J22)),1,0)"),0.0)</f>
        <v>0</v>
      </c>
      <c r="I22" s="95">
        <f>IFERROR(__xludf.DUMMYFUNCTION("if(and(proficiencyBonus,indirect(left(lower($J22),3)&amp;""Mod"")&lt;&gt;""-""),
    if($H22&lt;&gt;0,proficiencyBonus,0)
    +indirect(left(lower($J22),3)&amp;""Mod"")
    +$AS$58
    +sum(arrayformula(int(iferror(substitute(regexextract(lower(filter({BA$32:BA$56;Additional"&amp;"!$BA$3:$BA$24},regexmatch(lower({BA$32:BA$56;Additional!$BA$3:$BA$24}),""[0-9]+ bonus to ""&amp;lower($J22)&amp;"" sav""))),""[0-9]+ bonus to ""&amp;lower($J22)&amp;"" sav""),"" bonus to ""&amp;lower($J22)&amp;"" sav"",""""),0)))),""-"")"),-1.0)</f>
        <v>-1</v>
      </c>
      <c r="J22" s="101" t="s">
        <v>35</v>
      </c>
      <c r="P22" s="97"/>
      <c r="Q22" s="61"/>
      <c r="AB22" s="63"/>
      <c r="AC22" s="56"/>
      <c r="AD22" s="61"/>
      <c r="AE22" s="79"/>
      <c r="AF22" s="74"/>
      <c r="AG22" s="74"/>
      <c r="AH22" s="74"/>
      <c r="AI22" s="74"/>
      <c r="AJ22" s="74"/>
      <c r="AK22" s="74"/>
      <c r="AL22" s="74"/>
      <c r="AM22" s="74"/>
      <c r="AN22" s="74"/>
      <c r="AO22" s="63"/>
      <c r="AQ22" s="3"/>
      <c r="AR22" s="2"/>
      <c r="AS22" s="7"/>
      <c r="AT22" s="3"/>
      <c r="AU22" s="3"/>
      <c r="AV22" s="3"/>
      <c r="AW22" s="3"/>
      <c r="AX22" s="3"/>
      <c r="AY22" s="3"/>
      <c r="AZ22" s="3"/>
      <c r="BA22" s="3"/>
      <c r="BB22" s="3"/>
      <c r="BC22" s="3"/>
    </row>
    <row r="23" ht="15.75" customHeight="1">
      <c r="A23" s="12"/>
      <c r="B23" s="61"/>
      <c r="C23" s="71">
        <f>if(C25="-","-",INT((C25-10)/2))</f>
        <v>2</v>
      </c>
      <c r="E23" s="63"/>
      <c r="F23" s="99" t="b">
        <f>IFERROR(__xludf.DUMMYFUNCTION("""COMPUTED_VALUE"""),FALSE)</f>
        <v>0</v>
      </c>
      <c r="H23" s="105" t="s">
        <v>36</v>
      </c>
      <c r="I23" s="31"/>
      <c r="J23" s="31"/>
      <c r="K23" s="31"/>
      <c r="L23" s="31"/>
      <c r="M23" s="31"/>
      <c r="N23" s="31"/>
      <c r="P23" s="97"/>
      <c r="Q23" s="61"/>
      <c r="R23" s="106" t="s">
        <v>37</v>
      </c>
      <c r="S23" s="31"/>
      <c r="T23" s="31"/>
      <c r="U23" s="31"/>
      <c r="V23" s="31"/>
      <c r="W23" s="31"/>
      <c r="X23" s="31"/>
      <c r="Y23" s="31"/>
      <c r="Z23" s="31"/>
      <c r="AA23" s="31"/>
      <c r="AB23" s="63"/>
      <c r="AC23" s="56"/>
      <c r="AD23" s="61"/>
      <c r="AE23" s="84" t="s">
        <v>38</v>
      </c>
      <c r="AF23" s="85"/>
      <c r="AG23" s="85"/>
      <c r="AH23" s="85"/>
      <c r="AI23" s="85"/>
      <c r="AJ23" s="85"/>
      <c r="AK23" s="85"/>
      <c r="AL23" s="85"/>
      <c r="AM23" s="85"/>
      <c r="AN23" s="85"/>
      <c r="AO23" s="63"/>
      <c r="AQ23" s="3"/>
      <c r="AR23" s="3"/>
      <c r="AS23" s="3"/>
      <c r="AT23" s="3"/>
      <c r="AU23" s="3"/>
      <c r="AV23" s="3"/>
      <c r="AW23" s="3"/>
      <c r="AX23" s="3"/>
      <c r="AY23" s="3"/>
      <c r="AZ23" s="3"/>
      <c r="BA23" s="3"/>
      <c r="BB23" s="3"/>
      <c r="BC23" s="3"/>
    </row>
    <row r="24" ht="15.75" customHeight="1">
      <c r="A24" s="12"/>
      <c r="B24" s="61"/>
      <c r="E24" s="63"/>
      <c r="F24" s="99" t="str">
        <f>IFERROR(__xludf.DUMMYFUNCTION("arrayformula(if(P24:P42&lt;&gt;"""",P24:P42,
 if($AC$57&lt;&gt;""EQUIPPED ITEMS"",if(J24:J42&lt;&gt;"""",if(isnumber(find(J24:J42,""AcrobaticsAthleticsSleight of HandStealth"")),""dis"",
 if(regexmatch(Additional!$AR$79,""advantage on [a-z]+? .""&amp;lower(J24:J42)&amp;"". checks"&amp;"""),
 if(not(regexmatch(Additional!$AR$79,""advantage on [a-z]+? .""&amp;lower(J24:J42)&amp;"". checks when"")),
 if(regexmatch(Additional!$AR$79,""sadvantage on [a-z]+ .""&amp;lower(J24:J42)&amp;"". checks""),
 ""dis"",""adv""),""""),
 if(J24:J42=""Stealth"",if(lower($A"&amp;"V$24)=""disadvantage"",""dis"",if(lower($AV$24)=""advantage"",""adv"","""")),""""))),""""),"""")))"),"")</f>
        <v/>
      </c>
      <c r="H24" s="107"/>
      <c r="I24" s="107"/>
      <c r="J24" s="107"/>
      <c r="K24" s="107" t="str">
        <f>if(countif(H25:H42,"0")=18,"Fill skill bubbles with '1' (one).",
    if(and(or(RogueLevel&gt;0,BardLevel&gt;2),countif(H25:H42,"e")&lt;1),"Use 'e' for expertise!","")
 )</f>
        <v/>
      </c>
      <c r="L24" s="107"/>
      <c r="M24" s="107"/>
      <c r="N24" s="107"/>
      <c r="P24" s="97"/>
      <c r="Q24" s="61"/>
      <c r="R24" s="51"/>
      <c r="V24" s="52" t="str">
        <f>IMAGE("https://i.imgur.com/k6zj6md.png",2)</f>
        <v/>
      </c>
      <c r="W24" s="54" t="str">
        <f>IMAGE("http://i.imgur.com/C5Lv5CM.png",2)</f>
        <v/>
      </c>
      <c r="X24" s="51"/>
      <c r="AB24" s="63"/>
      <c r="AC24" s="56"/>
      <c r="AD24" s="61"/>
      <c r="AE24" s="92"/>
      <c r="AF24" s="70"/>
      <c r="AG24" s="70"/>
      <c r="AH24" s="70"/>
      <c r="AI24" s="70"/>
      <c r="AJ24" s="70"/>
      <c r="AK24" s="70"/>
      <c r="AL24" s="70"/>
      <c r="AM24" s="70"/>
      <c r="AN24" s="70"/>
      <c r="AO24" s="63"/>
      <c r="AQ24" s="3" t="str">
        <f>IFERROR(__xludf.DUMMYFUNCTION("iferror(array_constrain(split(textjoin(""~"",True,filter(AQ45:BC56,AQ45:AQ56&lt;&gt;"""",isnumber(find(""armor"",lower(AT45:AT56))))),""~""),1,11),"""")"),"")</f>
        <v/>
      </c>
      <c r="AR24" s="3"/>
      <c r="AS24" s="3"/>
      <c r="AT24" s="3"/>
      <c r="AU24" s="3"/>
      <c r="AV24" s="3"/>
      <c r="AW24" s="3"/>
      <c r="AX24" s="3"/>
      <c r="AY24" s="3"/>
      <c r="AZ24" s="3"/>
      <c r="BA24" s="3"/>
      <c r="BB24" s="3"/>
      <c r="BC24" s="3"/>
    </row>
    <row r="25" ht="15.75" customHeight="1">
      <c r="A25" s="108"/>
      <c r="B25" s="61"/>
      <c r="C25" s="80">
        <f>IFERROR(__xludf.DUMMYFUNCTION("if(C26,min(30,max(
iferror(int(trim(right(regexextract(Additional!$AR$79,lower(C22)&amp;""[a-z]+? score is [0-9]+""),2))),0),
iferror(int(trim(right(regexextract(Additional!$AR$79,lower(C22)&amp;""[a-z]+? score changes to [0-9]+""),2))),0),
min(iferror(int(trim(r"&amp;"ight(regexextract(Additional!$AR$79,lower(C22)&amp;""[a-z]+? [a-z ]+maximum of [0-9]+?""),2))),20+if(BarbarianLevel=20,4,0)),
C26+if(BarbarianLevel=20,4,0)+
iferror(if(find(regexextract($AR$5,lower(C22)&amp;"" \+[0-9]""),$AR$5)&lt;iferror(find(""choose"",lower($AR$5"&amp;")),len($AR$5)),int(right(regexextract($AR$5,lower(C22)&amp;"" \+[0-9]""),1)),0),0)-
iferror(if(find(regexextract($AR$5,lower(C22)&amp;"" \-[0-9]""),$AR$5)&lt;iferror(find(""choose"",lower($AR$5)),len($AR$5)),int(right(regexextract($AR$5,lower(C22)&amp;"" \-[0-9]""),1)),"&amp;"0),0)
+D26))
+sum(arrayformula(int(iferror(trim(right(regexextract(lower(filter({BA$32:BA$56;Additional!$BA$3:$BA$24},regexmatch(lower({BA$32:BA$56;Additional!$BA$3:$BA$24}),lower(C22)&amp;""[a-z]+? score increases by [0-9]+""))),lower(C22)&amp;""[a-z]+? score in"&amp;"creases by [0-9]+""),2)),0))))),""-"")"),15.0)</f>
        <v>15</v>
      </c>
      <c r="D25" s="81"/>
      <c r="E25" s="63"/>
      <c r="F25" s="109" t="str">
        <f>IFERROR(__xludf.DUMMYFUNCTION("""COMPUTED_VALUE"""),"")</f>
        <v/>
      </c>
      <c r="H25" s="110">
        <v>0.0</v>
      </c>
      <c r="I25" s="111">
        <f>IFERROR(__xludf.DUMMYFUNCTION("if(and(proficiencyBonus,indirect(regexextract(lower(concatenate(K25:N25)),""[a-z]{3}"")&amp;""Mod"")&lt;&gt;""-""),
    if(H25&lt;&gt;0,proficiencyBonus*if(H25=""e"",2,1),max(jackOfAllTrades,iferror(if(and(vlookup(""Fighter"",$AR$6:$AS$15,2,false)=""Champion"",FighterLev"&amp;"el&gt;=7),CEILING(proficiencyBonus/2),0),0)))
    +indirect(regexextract(lower(concatenate(K25:N25)),""[a-z]{3}"")&amp;""Mod"")
    +$AR$58
    +sum(arrayformula(int(iferror(trim(left(regexextract(lower(filter({BA$32:BA$56;Additional!$BA$3:$BA$24},regexmatch(low"&amp;"er({BA$32:BA$56;Additional!$BA$3:$BA$24}),""[0-9]+ bonus to ""&amp;regexextract(lower(concatenate(K25:N25)),""[a-z]{3}"")&amp;""[a-z]+? .""&amp;lower(J25)))),""[0-9]+ bonus to ""&amp;regexextract(lower(concatenate(K25:N25)),""[a-z]{3}"")&amp;""[a-z]+? .""&amp;lower(J25)),2)),0))"&amp;")),""-"")"),2.0)</f>
        <v>2</v>
      </c>
      <c r="J25" s="112" t="s">
        <v>39</v>
      </c>
      <c r="K25" s="113"/>
      <c r="L25" s="113"/>
      <c r="M25" s="114" t="s">
        <v>40</v>
      </c>
      <c r="N25" s="115"/>
      <c r="P25" s="116"/>
      <c r="Q25" s="61"/>
      <c r="R25" s="117" t="str">
        <f>IFERROR(__xludf.DUMMYFUNCTION("iferror(textjoin("" "",true,arrayformula(sumif($AQ$6:$AQ$15,arrayformula(""d""&amp;sort(unique(filter(int(regexextract(AQ6:AQ15,""[0-9]+"")),AQ6:AQ15&lt;&gt;"""")),1,True)),AT6:AT15)&amp;arrayformula(""d""&amp;sort(unique(filter(int(regexextract(AQ6:AQ15,""[0-9]+"")),AQ6:A"&amp;"Q15&lt;&gt;"""")),1,True)))),""-"")"),"8d6")</f>
        <v>8d6</v>
      </c>
      <c r="S25" s="25"/>
      <c r="T25" s="25"/>
      <c r="U25" s="25"/>
      <c r="V25" s="65"/>
      <c r="W25" s="67"/>
      <c r="X25" s="118" t="s">
        <v>41</v>
      </c>
      <c r="Y25" s="119">
        <v>0.0</v>
      </c>
      <c r="Z25" s="120">
        <v>0.0</v>
      </c>
      <c r="AA25" s="121">
        <v>0.0</v>
      </c>
      <c r="AB25" s="63"/>
      <c r="AC25" s="122"/>
      <c r="AD25" s="61"/>
      <c r="AE25" s="79"/>
      <c r="AF25" s="74"/>
      <c r="AG25" s="74"/>
      <c r="AH25" s="74"/>
      <c r="AI25" s="74"/>
      <c r="AJ25" s="74"/>
      <c r="AK25" s="74"/>
      <c r="AL25" s="74"/>
      <c r="AM25" s="74"/>
      <c r="AN25" s="74"/>
      <c r="AO25" s="63"/>
      <c r="AQ25" s="7" t="str">
        <f>IFERROR(__xludf.DUMMYFUNCTION("iferror(array_constrain(split(textjoin(""~"",True,filter(AQ45:BC56,AQ45:AQ56&lt;&gt;"""",isnumber(find(""shield"",lower(AT45:AT56))))),""~""),1,11),"""")"),"")</f>
        <v/>
      </c>
      <c r="AR25" s="3"/>
      <c r="AS25" s="3"/>
      <c r="AT25" s="3"/>
      <c r="AU25" s="3"/>
      <c r="AV25" s="3"/>
      <c r="AW25" s="3"/>
      <c r="AX25" s="3"/>
      <c r="AY25" s="3"/>
      <c r="AZ25" s="3"/>
      <c r="BA25" s="3"/>
      <c r="BB25" s="3"/>
      <c r="BC25" s="3"/>
    </row>
    <row r="26" ht="15.75" customHeight="1">
      <c r="A26" s="108"/>
      <c r="B26" s="61"/>
      <c r="C26" s="86">
        <v>14.0</v>
      </c>
      <c r="D26" s="123"/>
      <c r="E26" s="63"/>
      <c r="F26" s="109" t="str">
        <f>IFERROR(__xludf.DUMMYFUNCTION("""COMPUTED_VALUE"""),"")</f>
        <v/>
      </c>
      <c r="H26" s="124">
        <v>0.0</v>
      </c>
      <c r="I26" s="125">
        <f>IFERROR(__xludf.DUMMYFUNCTION("if(and(proficiencyBonus,indirect(regexextract(lower(concatenate(K26:N26)),""[a-z]{3}"")&amp;""Mod"")&lt;&gt;""-""),
    if(H26&lt;&gt;0,proficiencyBonus*if(H26=""e"",2,1),jackOfAllTrades)
    +indirect(regexextract(lower(concatenate(K26:N26)),""[a-z]{3}"")&amp;""Mod"")
    +"&amp;"$AR$58
    +sum(arrayformula(int(iferror(trim(left(regexextract(lower(filter({BA$32:BA$56;Additional!$BA$3:$BA$24},regexmatch(lower({BA$32:BA$56;Additional!$BA$3:$BA$24}),""[0-9]+ bonus to ""&amp;regexextract(lower(concatenate(K26:N26)),""[a-z]{3}"")&amp;""[a-z]+"&amp;"? .""&amp;lower(J26)))),""[0-9]+ bonus to ""&amp;regexextract(lower(concatenate(K26:N26)),""[a-z]{3}"")&amp;""[a-z]+? .""&amp;lower(J26)),2)),0)))),""-"")"),1.0)</f>
        <v>1</v>
      </c>
      <c r="J26" s="126" t="s">
        <v>42</v>
      </c>
      <c r="K26" s="127"/>
      <c r="L26" s="128"/>
      <c r="M26" s="115"/>
      <c r="N26" s="115" t="s">
        <v>43</v>
      </c>
      <c r="P26" s="116"/>
      <c r="Q26" s="61"/>
      <c r="V26" s="65"/>
      <c r="W26" s="67"/>
      <c r="X26" s="129" t="s">
        <v>44</v>
      </c>
      <c r="Y26" s="130">
        <v>0.0</v>
      </c>
      <c r="Z26" s="131">
        <v>0.0</v>
      </c>
      <c r="AA26" s="132">
        <v>0.0</v>
      </c>
      <c r="AB26" s="63"/>
      <c r="AC26" s="56"/>
      <c r="AD26" s="61"/>
      <c r="AE26" s="79"/>
      <c r="AF26" s="74"/>
      <c r="AG26" s="74"/>
      <c r="AH26" s="74"/>
      <c r="AI26" s="74"/>
      <c r="AJ26" s="74"/>
      <c r="AK26" s="74"/>
      <c r="AL26" s="74"/>
      <c r="AM26" s="74"/>
      <c r="AN26" s="74"/>
      <c r="AO26" s="63"/>
      <c r="AQ26" s="133">
        <f>IFERROR(__xludf.DUMMYFUNCTION("if(level="""","""",
    if(isnumber($AS$5),$AS$5,10+AR24+if(AW24&lt;&gt;""-"",AW24,0)+defense+mariner+min(if(AS24=""-"",dexMod,AS24),max(if(AS24&lt;&gt;0,dexMod,AS24),dexMod))
    +if(regexmatch($AS$5,""\+[0-9]""),
    if(isnumber(find(""Heavy"",$AS$5)),
       if(is"&amp;"number(find(""NoHeavy"",$AS$5)),
          if(isnumber(find(""heavy"",lower($AT$24))),0,int(regexextract($AS$5,""\+[0-9]""))),
          if(iserror(find(""heavy"",lower($AT$24))),0,int(regexextract($AS$5,""\+[0-9]"")))),int(regexextract($AS$5,""\+[0-9]"")"&amp;")),0)
    +if(regexmatch($BC$5,""\+[0-9]""),
    if(isnumber(find(""Heavy"",$BC$5)),
       if(isnumber(find(""NoHeavy"",$BC$5)),
          if(isnumber(find(""heavy"",lower($AT$24))),0,int(regexextract($BC$5,""\+[0-9]""))),
          if(iserror(find(""hea"&amp;"vy"",lower($AT$24))),0,int(regexextract($BC$5,""\+[0-9]"")))),int(regexextract($BC$5,""\+[0-9]""))),0)
    +AR25+if(AW25&lt;&gt;""-"",AW25,0)
    +sum(filter(AR45:AR56,iserror(find(""no armor"",BA45:BA56)),AT45:AT56&lt;&gt;""Shield"",not(isnumber(find(""armor"",lower"&amp;"(AT45:AT56))))))
    +iferror(sum(arrayformula(vlookup(filter((split($BC$5,""+"")),isnumber(find(split($BC$5,""+""),""halfDexhalfConhalfInthalfWishalfChahalfStr""))),{""halfDex"",max(floor(dexMod/2),1);""halfCon"",max(floor(conMod/2),1);""halfInt"",max(fl"&amp;"oor(intMod/2),1);""halfWis"",max(floor(wisMod/2),1);""halfCha"",max(floor(chaMod/2),1);""halfStr"",max(floor(strMod/2),1)},2,false))))
 ))"),12.0)</f>
        <v>12</v>
      </c>
      <c r="AR26" s="133">
        <f>IFERROR(__xludf.DUMMYFUNCTION("if(or(level="""",race="""",dexMod=""-""),"""",
    if(iserror(find(""+"",$BC$5)),$BC$5+if(and(AQ24="""",isnumber(find(""armor of shadows"",lower(AQ61)))),3,0),
    if($BC$5&lt;&gt;""10+dex"",
       int(regexextract($BC$5,""[0-9]+""))
    +sum(arrayformula(vloo"&amp;"kup(filter((split($BC$5,""+"")),isnumber(find(lower(split($BC$5,""+"")),""halfdexhalfconhalfinthalfwishalfchahalfstr""))),{""dex"",dexMod;""con"",conMod;""int"",intMod;""wis"",wisMod;""cha"",chaMod;""str"",strMod;""halfDex"",max(floor(dexMod/2),1);""halfC"&amp;"on"",max(floor(conMod/2),1);""halfInt"",max(floor(intMod/2),1);""halfWis"",max(floor(wisMod/2),1);""halfCha"",max(floor(chaMod/2),1);""halfStr"",max(floor(strMod/2),1)},2,false)))
       +if(not(isnumber($AS$5)),if(regexmatch($AS$5,""\+[0-9]""),
         "&amp;"  if(isnumber(find(""Heavy"",$AS$5)),
              if(isnumber(find(""NoHeavy"",$AS$5)),
              if(isnumber(find(""heavy"",lower($AT$24))),0,int(regexextract($AS$5,""\+[0-9]""))),
              if(iserror(find(""heavy"",lower($AT$24))),0,int(regex"&amp;"extract($AS$5,""\+[0-9]"")))),int(regexextract($AS$5,""\+[0-9]""))),0),0)
       +if(regexmatch($BC$5,""\+[0-9]""),
           if(isnumber(find(""Heavy"",$BC$5)),
              if(isnumber(find(""NoHeavy"",$BC$5)),
              if(isnumber(find(""heavy"""&amp;",lower($AT$24))),0,int(regexextract($BC$5,""\+[0-9]""))),
              if(iserror(find(""heavy"",lower($AT$24))),0,int(regexextract($BC$5,""\+[0-9]"")))),int(regexextract($BC$5,""\+[0-9]""))),0),
    10+dexMod+if(and(AQ24="""",isnumber(find(""armor of sh"&amp;"adows"",lower(AQ61)))),3,0)))
 +sum(filter(AR45:AR56,lower(AT45:AT56)&lt;&gt;""shield"",if(isnumber(find(""no armor"",lower(BA45:BA56))),AQ24="""",1),if(isnumber(find(""no shield"",lower(BA45:BA56))),AQ25="""",1),not(isnumber(find(""armor"",lower(AT45:AT56)))))"&amp;")
 +AR25+if(AW25&lt;&gt;""-"",AW25,0))"),12.0)</f>
        <v>12</v>
      </c>
      <c r="AS26" s="133">
        <f>IFERROR(__xludf.DUMMYFUNCTION("if(or(level="""",race="""",dexMod=""-""),"""",
    if(isnumber($AS$5),$AS$5,if($AS$5&lt;&gt;""-"",
    int(regexextract($AS$5,""[0-9]+""))
    +sum(arrayformula(vlookup(filter((split($AS$5,""+"")),isnumber(find(split($AS$5,""+""),""dexconintwischastr""))),{""de"&amp;"x"",dexMod;""con"",conMod;""int"",intMod;""wis"",wisMod;""cha"",chaMod;""str"",strMod},2,false)))
    +iferror(sum(arrayformula(vlookup(filter((split($BC$5,""+"")),isnumber(find(split($BC$5,""+""),""halfDexhalfConhalfInthalfWishalfChahalfStr""))),{""halfD"&amp;"ex"",max(floor(dexMod/2),1);""halfCon"",max(floor(conMod/2),1);""halfInt"",max(floor(intMod/2),1);""halfWis"",max(floor(wisMod/2),1);""halfCha"",max(floor(chaMod/2),1);""halfStr"",max(floor(strMod/2),1)},2,false))),0)
    +if(regexmatch($AS$5,""\+[0-9]"")"&amp;",
    if(isnumber(find(""Heavy"",$AS$5)),
       if(isnumber(find(""NoHeavy"",$AS$5)),
          if(isnumber(find(""heavy"",lower($AT$24))),0,int(regexextract($AS$5,""\+[0-9]""))),
          if(iserror(find(""heavy"",lower($AT$24))),0,int(regexextract($AS"&amp;"$5,""\+[0-9]"")))),int(regexextract($AS$5,""\+[0-9]""))),0),
    10+dexMod
 ))
 +sum(filter(AR45:AR56,lower(AT45:AT56)&lt;&gt;""shield"",if(isnumber(find(""no armor"",lower(BA45:BA56))),AQ24="""",1),if(isnumber(find(""no shield"",lower(BA45:BA56))),AQ25="""",1)"&amp;",not(isnumber(find(""armor"",lower(AT45:AT56))))))
 +AR25+if(AW25&lt;&gt;""-"",AW25,0))"),12.0)</f>
        <v>12</v>
      </c>
      <c r="AT26" s="133">
        <f>IFERROR(__xludf.DUMMYFUNCTION("if(or(level="""",race="""",dexMod=""-""),"""",
    if(isnumber($BA$16),$BA$16,if($BA$16&lt;&gt;""-"",
    int(regexextract($BA$16,""[0-9]+""))
    +sum(arrayformula(vlookup(filter((split($BA$16,""+"")),isnumber(find(split($BA$16,""+""),""dexconintwischastr"")))"&amp;",{""dex"",dexMod;""con"",conMod;""int"",intMod;""wis"",wisMod;""cha"",chaMod;""str"",strMod},2,false)))
    +iferror(sum(arrayformula(vlookup(filter((split($BC$5,""+"")),isnumber(find(split($BC$5,""+""),""halfDexhalfConhalfInthalfWishalfChahalfStr""))),{"&amp;"""halfDex"",max(floor(dexMod/2),1);""halfCon"",max(floor(conMod/2),1);""halfInt"",max(floor(intMod/2),1);""halfWis"",max(floor(wisMod/2),1);""halfCha"",max(floor(chaMod/2),1);""halfStr"",max(floor(strMod/2),1)},2,false))),0)
    +if(regexmatch($BA$16,""\+"&amp;"[0-9]""),
    if(isnumber(find(""Heavy"",$BA$16)),
       if(isnumber(find(""NoHeavy"",$BA$16)),
          if(isnumber(find(""heavy"",lower($AT$24))),0,int(regexextract($BA$16,""\+[0-9]""))),
          if(iserror(find(""heavy"",lower($AT$24))),0,int(regex"&amp;"extract($BA$16,""\+[0-9]"")))),int(regexextract($BA$16,""\+[0-9]""))),0),
    10+dexMod
 ))
 +sum(filter(AR45:AR56,lower(AT45:AT56)&lt;&gt;""shield"",if(isnumber(find(""no armor"",lower(BA45:BA56))),AQ24="""",1),if(isnumber(find(""no shield"",lower(BA45:BA56)))"&amp;",AQ25="""",1),not(isnumber(find(""armor"",lower(AT45:AT56))))))
 +AR25+if(AW25&lt;&gt;""-"",AW25,0))"),12.0)</f>
        <v>12</v>
      </c>
      <c r="AU26" s="3"/>
      <c r="AV26" s="3"/>
      <c r="AW26" s="3"/>
      <c r="AX26" s="3"/>
      <c r="AY26" s="3" t="str">
        <f>IFERROR(__xludf.DUMMYFUNCTION("iferror(sum(arrayformula(int(substitute(regexextract(lower(filter(unique({BA32:BA36;Additional!BA3:BA24}),regexmatch(lower(unique({BA32:BA36;Additional!BA3:BA24})),""[0-9]+ bonus to ability checks""))),""[0-9]+ bonus to ability checks""),"" bonus to abili"&amp;"ty checks"","""")))),"""")"),"")</f>
        <v/>
      </c>
      <c r="AZ26" s="3" t="str">
        <f>IFERROR(__xludf.DUMMYFUNCTION("iferror(sum(arrayformula(int(substitute(regexextract(lower(filter(unique({BA32:BA36;Additional!BA3:BA24}),regexmatch(lower(unique({BA32:BA36;Additional!BA3:BA24})),""[0-9]+ bonus to saving throws""))),""[0-9]+ bonus to saving throws""),"" bonus to saving "&amp;"throws"","""")))),"""")"),"")</f>
        <v/>
      </c>
      <c r="BA26" s="3"/>
      <c r="BB26" s="3"/>
      <c r="BC26" s="3"/>
    </row>
    <row r="27" ht="15.75" customHeight="1">
      <c r="A27" s="108"/>
      <c r="B27" s="61"/>
      <c r="C27" s="62" t="s">
        <v>45</v>
      </c>
      <c r="E27" s="63"/>
      <c r="F27" s="109" t="str">
        <f>IFERROR(__xludf.DUMMYFUNCTION("""COMPUTED_VALUE"""),"")</f>
        <v/>
      </c>
      <c r="H27" s="134">
        <v>1.0</v>
      </c>
      <c r="I27" s="125">
        <f>IFERROR(__xludf.DUMMYFUNCTION("if(and(proficiencyBonus,indirect(regexextract(lower(concatenate(K27:N27)),""[a-z]{3}"")&amp;""Mod"")&lt;&gt;""-""),
    if(H27&lt;&gt;0,proficiencyBonus*if(H27=""e"",2,1),jackOfAllTrades)
    +indirect(regexextract(lower(concatenate(K27:N27)),""[a-z]{3}"")&amp;""Mod"")
    +"&amp;"$AR$58
    +sum(arrayformula(int(iferror(trim(left(regexextract(lower(filter({BA$32:BA$56;Additional!$BA$3:$BA$24},regexmatch(lower({BA$32:BA$56;Additional!$BA$3:$BA$24}),""[0-9]+ bonus to ""&amp;regexextract(lower(concatenate(K27:N27)),""[a-z]{3}"")&amp;""[a-z]+"&amp;"? .""&amp;lower(J27)))),""[0-9]+ bonus to ""&amp;regexextract(lower(concatenate(K27:N27)),""[a-z]{3}"")&amp;""[a-z]+? .""&amp;lower(J27)),2)),0)))),""-"")"),8.0)</f>
        <v>8</v>
      </c>
      <c r="J27" s="126" t="s">
        <v>46</v>
      </c>
      <c r="K27" s="128"/>
      <c r="L27" s="115" t="s">
        <v>47</v>
      </c>
      <c r="M27" s="115"/>
      <c r="N27" s="115"/>
      <c r="P27" s="116"/>
      <c r="Q27" s="61"/>
      <c r="R27" s="135" t="s">
        <v>48</v>
      </c>
      <c r="S27" s="31"/>
      <c r="T27" s="31"/>
      <c r="U27" s="31"/>
      <c r="V27" s="65"/>
      <c r="W27" s="67"/>
      <c r="X27" s="135" t="str">
        <f>if(AND(Y26&lt;&gt;0,Z26&lt;&gt;0,AA26&lt;&gt;0),"DEAD",if(AND(Y25&lt;&gt;0,Z25&lt;&gt;0,AA25&lt;&gt;0),"STABLE","DEATH SAVES"))</f>
        <v>DEATH SAVES</v>
      </c>
      <c r="Y27" s="31"/>
      <c r="Z27" s="31"/>
      <c r="AA27" s="31"/>
      <c r="AB27" s="63"/>
      <c r="AC27" s="56"/>
      <c r="AD27" s="61"/>
      <c r="AE27" s="136" t="s">
        <v>49</v>
      </c>
      <c r="AF27" s="85"/>
      <c r="AG27" s="85"/>
      <c r="AH27" s="85"/>
      <c r="AI27" s="85"/>
      <c r="AJ27" s="85"/>
      <c r="AK27" s="85"/>
      <c r="AL27" s="85"/>
      <c r="AM27" s="85"/>
      <c r="AN27" s="85"/>
      <c r="AO27" s="63"/>
      <c r="AP27" s="12"/>
      <c r="AQ27" s="3"/>
      <c r="AR27" s="3"/>
      <c r="AS27" s="3"/>
      <c r="AT27" s="3"/>
      <c r="AU27" s="3"/>
      <c r="AV27" s="3"/>
      <c r="AW27" s="3"/>
      <c r="AX27" s="3"/>
      <c r="AY27" s="3"/>
      <c r="AZ27" s="3"/>
      <c r="BA27" s="3"/>
      <c r="BB27" s="3"/>
      <c r="BC27" s="3"/>
    </row>
    <row r="28" ht="15.75" customHeight="1">
      <c r="A28" s="108"/>
      <c r="B28" s="61"/>
      <c r="C28" s="71">
        <f>if(C30="-","-",INT((C30-10)/2))</f>
        <v>5</v>
      </c>
      <c r="E28" s="63"/>
      <c r="F28" s="109" t="str">
        <f>IFERROR(__xludf.DUMMYFUNCTION("""COMPUTED_VALUE"""),"")</f>
        <v/>
      </c>
      <c r="H28" s="124">
        <v>0.0</v>
      </c>
      <c r="I28" s="125">
        <f>IFERROR(__xludf.DUMMYFUNCTION("if(and(proficiencyBonus,indirect(regexextract(lower(concatenate(K28:N28)),""[a-z]{3}"")&amp;""Mod"")&lt;&gt;""-""),
    if(H28&lt;&gt;0,proficiencyBonus*if(H28=""e"",2,1),max(jackOfAllTrades,iferror(if(and(vlookup(""Fighter"",$AR$6:$AS$15,2,false)=""Champion"",FighterLev"&amp;"el&gt;=7),CEILING(proficiencyBonus/2),0),0)))
    +indirect(regexextract(lower(concatenate(K28:N28)),""[a-z]{3}"")&amp;""Mod"")
    +$AR$58
    +sum(arrayformula(int(iferror(trim(left(regexextract(lower(filter({BA$32:BA$56;Additional!$BA$3:$BA$24},regexmatch(low"&amp;"er({BA$32:BA$56;Additional!$BA$3:$BA$24}),""[0-9]+ bonus to ""&amp;regexextract(lower(concatenate(K28:N28)),""[a-z]{3}"")&amp;""[a-z]+? .""&amp;lower(J28)))),""[0-9]+ bonus to ""&amp;regexextract(lower(concatenate(K28:N28)),""[a-z]{3}"")&amp;""[a-z]+? .""&amp;lower(J28)),2)),0))"&amp;")),""-"")"),-1.0)</f>
        <v>-1</v>
      </c>
      <c r="J28" s="137" t="s">
        <v>50</v>
      </c>
      <c r="K28" s="138"/>
      <c r="L28" s="139"/>
      <c r="M28" s="115" t="s">
        <v>51</v>
      </c>
      <c r="N28" s="115"/>
      <c r="P28" s="116"/>
      <c r="Q28" s="61"/>
      <c r="R28" s="140"/>
      <c r="S28" s="42"/>
      <c r="T28" s="42"/>
      <c r="U28" s="42"/>
      <c r="V28" s="65"/>
      <c r="W28" s="67"/>
      <c r="X28" s="140"/>
      <c r="Y28" s="42"/>
      <c r="Z28" s="42"/>
      <c r="AA28" s="42"/>
      <c r="AB28" s="63"/>
      <c r="AC28" s="56"/>
      <c r="AD28" s="141"/>
      <c r="AE28" s="58" t="s">
        <v>52</v>
      </c>
      <c r="AJ28" s="142"/>
      <c r="AO28" s="43"/>
      <c r="AP28" s="12"/>
      <c r="AQ28" s="3"/>
      <c r="AR28" s="3"/>
      <c r="AS28" s="3"/>
      <c r="AT28" s="3"/>
      <c r="AU28" s="3"/>
      <c r="AV28" s="3"/>
      <c r="AW28" s="3"/>
      <c r="AX28" s="3"/>
      <c r="AY28" s="3"/>
      <c r="AZ28" s="3"/>
      <c r="BA28" s="3"/>
      <c r="BB28" s="3"/>
      <c r="BC28" s="3"/>
    </row>
    <row r="29" ht="15.75" customHeight="1">
      <c r="A29" s="108"/>
      <c r="B29" s="61"/>
      <c r="E29" s="63"/>
      <c r="F29" s="109" t="str">
        <f>IFERROR(__xludf.DUMMYFUNCTION("""COMPUTED_VALUE"""),"")</f>
        <v/>
      </c>
      <c r="H29" s="124">
        <v>0.0</v>
      </c>
      <c r="I29" s="125">
        <f>IFERROR(__xludf.DUMMYFUNCTION("if(and(proficiencyBonus,indirect(regexextract(lower(concatenate(K29:N29)),""[a-z]{3}"")&amp;""Mod"")&lt;&gt;""-""),
    if(H29&lt;&gt;0,proficiencyBonus*if(H29=""e"",2,1),jackOfAllTrades)
    +indirect(regexextract(lower(concatenate(K29:N29)),""[a-z]{3}"")&amp;""Mod"")
    +"&amp;"$AR$58
    +sum(arrayformula(int(iferror(trim(left(regexextract(lower(filter({BA$32:BA$56;Additional!$BA$3:$BA$24},regexmatch(lower({BA$32:BA$56;Additional!$BA$3:$BA$24}),""[0-9]+ bonus to ""&amp;regexextract(lower(concatenate(K29:N29)),""[a-z]{3}"")&amp;""[a-z]+"&amp;"? .""&amp;lower(J29)))),""[0-9]+ bonus to ""&amp;regexextract(lower(concatenate(K29:N29)),""[a-z]{3}"")&amp;""[a-z]+? .""&amp;lower(J29)),2)),0)))),""-"")"),-1.0)</f>
        <v>-1</v>
      </c>
      <c r="J29" s="126" t="s">
        <v>53</v>
      </c>
      <c r="K29" s="138"/>
      <c r="L29" s="138"/>
      <c r="M29" s="115" t="s">
        <v>54</v>
      </c>
      <c r="N29" s="115"/>
      <c r="P29" s="116"/>
      <c r="Q29" s="143" t="str">
        <f>IMAGE("https://i.imgur.com/pxrdqMy.png",2)</f>
        <v/>
      </c>
      <c r="R29" s="144"/>
      <c r="S29" s="144"/>
      <c r="T29" s="144"/>
      <c r="U29" s="144"/>
      <c r="V29" s="144"/>
      <c r="W29" s="144"/>
      <c r="X29" s="144"/>
      <c r="Y29" s="144"/>
      <c r="Z29" s="144"/>
      <c r="AA29" s="144"/>
      <c r="AB29" s="145"/>
      <c r="AC29" s="56"/>
      <c r="AD29" s="146" t="str">
        <f>IMAGE("https://i.imgur.com/pxrdqMy.png",2)</f>
        <v/>
      </c>
      <c r="AO29" s="63"/>
      <c r="AP29" s="12"/>
      <c r="AQ29" s="3"/>
      <c r="AR29" s="3"/>
      <c r="AS29" s="3"/>
      <c r="AT29" s="3"/>
      <c r="AU29" s="3"/>
      <c r="AV29" s="3"/>
      <c r="AW29" s="3"/>
      <c r="AX29" s="3"/>
      <c r="AY29" s="3"/>
      <c r="AZ29" s="3"/>
      <c r="BA29" s="3"/>
      <c r="BB29" s="3"/>
      <c r="BC29" s="3"/>
    </row>
    <row r="30" ht="15.75" customHeight="1">
      <c r="A30" s="108"/>
      <c r="B30" s="61"/>
      <c r="C30" s="80">
        <f>IFERROR(__xludf.DUMMYFUNCTION("if(C31,min(30,max(
iferror(int(trim(right(regexextract(Additional!$AR$79,lower(C27)&amp;""[a-z]+? score is [0-9]+""),2))),0),
iferror(int(trim(right(regexextract(Additional!$AR$79,lower(C27)&amp;""[a-z]+? score changes to [0-9]+""),2))),0),
min(iferror(int(trim(r"&amp;"ight(regexextract(Additional!$AR$79,lower(C27)&amp;""[a-z]+? [a-z ]+maximum of [0-9]+?""),2))),20),
C31+
iferror(if(find(regexextract($AR$5,lower(C27)&amp;"" \+[0-9]""),$AR$5)&lt;iferror(find(""choose"",lower($AR$5)),len($AR$5)),int(right(regexextract($AR$5,lower(C2"&amp;"7)&amp;"" \+[0-9]""),1)),0),0)-
iferror(if(find(regexextract($AR$5,lower(C27)&amp;"" \-[0-9]""),$AR$5)&lt;iferror(find(""choose"",lower($AR$5)),len($AR$5)),int(right(regexextract($AR$5,lower(C27)&amp;"" \-[0-9]""),1)),0),0)
+D31))
+sum(arrayformula(int(iferror(trim(righ"&amp;"t(regexextract(lower(filter({BA$32:BA$56;Additional!$BA$3:$BA$24},regexmatch(lower({BA$32:BA$56;Additional!$BA$3:$BA$24}),lower(C27)&amp;""[a-z]+? score increases by [0-9]+""))),lower(C27)&amp;""[a-z]+? score increases by [0-9]+""),2)),0))))),""-"")"),20.0)</f>
        <v>20</v>
      </c>
      <c r="D30" s="81"/>
      <c r="E30" s="63"/>
      <c r="F30" s="109" t="str">
        <f>IFERROR(__xludf.DUMMYFUNCTION("""COMPUTED_VALUE"""),"")</f>
        <v/>
      </c>
      <c r="H30" s="134">
        <v>1.0</v>
      </c>
      <c r="I30" s="125">
        <f>IFERROR(__xludf.DUMMYFUNCTION("if(and(proficiencyBonus,indirect(regexextract(lower(concatenate(K30:N30)),""[a-z]{3}"")&amp;""Mod"")&lt;&gt;""-""),
    if(H30&lt;&gt;0,proficiencyBonus*if(H30=""e"",2,1),jackOfAllTrades)
    +indirect(regexextract(lower(concatenate(K30:N30)),""[a-z]{3}"")&amp;""Mod"")
    +"&amp;"$AR$58
    +sum(arrayformula(int(iferror(trim(left(regexextract(lower(filter({BA$32:BA$56;Additional!$BA$3:$BA$24},regexmatch(lower({BA$32:BA$56;Additional!$BA$3:$BA$24}),""[0-9]+ bonus to ""&amp;regexextract(lower(concatenate(K30:N30)),""[a-z]{3}"")&amp;""[a-z]+"&amp;"? .""&amp;lower(J30)))),""[0-9]+ bonus to ""&amp;regexextract(lower(concatenate(K30:N30)),""[a-z]{3}"")&amp;""[a-z]+? .""&amp;lower(J30)),2)),0)))),""-"")"),8.0)</f>
        <v>8</v>
      </c>
      <c r="J30" s="126" t="s">
        <v>55</v>
      </c>
      <c r="K30" s="138"/>
      <c r="L30" s="139" t="s">
        <v>56</v>
      </c>
      <c r="M30" s="115"/>
      <c r="N30" s="115"/>
      <c r="P30" s="147"/>
      <c r="Q30" s="148" t="str">
        <f>IMAGE("https://i.imgur.com/AaGmGAX.png",4, 608, 20)</f>
        <v/>
      </c>
      <c r="R30" s="149"/>
      <c r="S30" s="149"/>
      <c r="T30" s="150"/>
      <c r="U30" s="149"/>
      <c r="V30" s="149"/>
      <c r="W30" s="149"/>
      <c r="X30" s="149"/>
      <c r="Y30" s="149"/>
      <c r="Z30" s="149"/>
      <c r="AA30" s="149"/>
      <c r="AB30" s="149"/>
      <c r="AC30" s="56"/>
      <c r="AD30" s="5"/>
      <c r="AE30" s="5"/>
      <c r="AF30" s="5"/>
      <c r="AG30" s="148"/>
      <c r="AH30" s="148"/>
      <c r="AI30" s="5"/>
      <c r="AJ30" s="5"/>
      <c r="AK30" s="5"/>
      <c r="AL30" s="5"/>
      <c r="AM30" s="5"/>
      <c r="AN30" s="5"/>
      <c r="AO30" s="151" t="str">
        <f>image("https://i.imgur.com/H6Xrt2L.png",4, 1191, 20)</f>
        <v/>
      </c>
      <c r="AP30" s="12"/>
      <c r="AQ30" s="3"/>
      <c r="AR30" s="3"/>
      <c r="AS30" s="3"/>
      <c r="AT30" s="3"/>
      <c r="AU30" s="3"/>
      <c r="AV30" s="3"/>
      <c r="AW30" s="3"/>
      <c r="AX30" s="3"/>
      <c r="AY30" s="3"/>
      <c r="AZ30" s="3"/>
      <c r="BA30" s="3"/>
      <c r="BB30" s="3"/>
      <c r="BC30" s="3"/>
    </row>
    <row r="31" ht="15.75" customHeight="1">
      <c r="A31" s="108"/>
      <c r="B31" s="61"/>
      <c r="C31" s="86">
        <v>15.0</v>
      </c>
      <c r="D31" s="123">
        <v>3.0</v>
      </c>
      <c r="E31" s="63"/>
      <c r="F31" s="109" t="str">
        <f>IFERROR(__xludf.DUMMYFUNCTION("""COMPUTED_VALUE"""),"")</f>
        <v/>
      </c>
      <c r="H31" s="124">
        <v>0.0</v>
      </c>
      <c r="I31" s="125">
        <f>IFERROR(__xludf.DUMMYFUNCTION("if(and(proficiencyBonus,indirect(regexextract(lower(concatenate(K31:N31)),""[a-z]{3}"")&amp;""Mod"")&lt;&gt;""-""),
    if(H31&lt;&gt;0,proficiencyBonus*if(H31=""e"",2,1),jackOfAllTrades)
    +indirect(regexextract(lower(concatenate(K31:N31)),""[a-z]{3}"")&amp;""Mod"")
    +"&amp;"$AR$58
    +sum(arrayformula(int(iferror(trim(left(regexextract(lower(filter({BA$32:BA$56;Additional!$BA$3:$BA$24},regexmatch(lower({BA$32:BA$56;Additional!$BA$3:$BA$24}),""[0-9]+ bonus to ""&amp;regexextract(lower(concatenate(K31:N31)),""[a-z]{3}"")&amp;""[a-z]+"&amp;"? .""&amp;lower(J31)))),""[0-9]+ bonus to ""&amp;regexextract(lower(concatenate(K31:N31)),""[a-z]{3}"")&amp;""[a-z]+? .""&amp;lower(J31)),2)),0)))),""-"")"),1.0)</f>
        <v>1</v>
      </c>
      <c r="J31" s="126" t="s">
        <v>57</v>
      </c>
      <c r="K31" s="138"/>
      <c r="L31" s="115" t="s">
        <v>58</v>
      </c>
      <c r="M31" s="115"/>
      <c r="N31" s="115"/>
      <c r="P31" s="116"/>
      <c r="R31" s="152" t="s">
        <v>59</v>
      </c>
      <c r="S31" s="25"/>
      <c r="T31" s="25"/>
      <c r="U31" s="25"/>
      <c r="V31" s="25"/>
      <c r="W31" s="25"/>
      <c r="X31" s="153"/>
      <c r="Y31" s="152" t="s">
        <v>60</v>
      </c>
      <c r="Z31" s="25"/>
      <c r="AA31" s="25"/>
      <c r="AB31" s="154"/>
      <c r="AC31" s="152" t="s">
        <v>61</v>
      </c>
      <c r="AD31" s="25"/>
      <c r="AE31" s="25"/>
      <c r="AF31" s="25"/>
      <c r="AG31" s="25"/>
      <c r="AH31" s="25"/>
      <c r="AI31" s="25"/>
      <c r="AJ31" s="25"/>
      <c r="AK31" s="25"/>
      <c r="AL31" s="25"/>
      <c r="AM31" s="25"/>
      <c r="AN31" s="25"/>
      <c r="AP31" s="12"/>
      <c r="AQ31" s="3"/>
      <c r="AR31" s="3"/>
      <c r="AS31" s="3"/>
      <c r="AT31" s="3"/>
      <c r="AU31" s="3"/>
      <c r="AV31" s="3"/>
      <c r="AW31" s="3"/>
      <c r="AX31" s="3"/>
      <c r="AY31" s="3"/>
      <c r="AZ31" s="3"/>
      <c r="BA31" s="3"/>
      <c r="BB31" s="3"/>
      <c r="BC31" s="3"/>
    </row>
    <row r="32" ht="15.75" customHeight="1">
      <c r="A32" s="108"/>
      <c r="B32" s="61"/>
      <c r="C32" s="62" t="s">
        <v>62</v>
      </c>
      <c r="E32" s="63"/>
      <c r="F32" s="109" t="str">
        <f>IFERROR(__xludf.DUMMYFUNCTION("""COMPUTED_VALUE"""),"")</f>
        <v/>
      </c>
      <c r="H32" s="124">
        <v>0.0</v>
      </c>
      <c r="I32" s="125">
        <f>IFERROR(__xludf.DUMMYFUNCTION("if(and(proficiencyBonus,indirect(regexextract(lower(concatenate(K32:N32)),""[a-z]{3}"")&amp;""Mod"")&lt;&gt;""-""),
    if(H32&lt;&gt;0,proficiencyBonus*if(H32=""e"",2,1),jackOfAllTrades)
    +indirect(regexextract(lower(concatenate(K32:N32)),""[a-z]{3}"")&amp;""Mod"")
    +"&amp;"$AR$58
    +sum(arrayformula(int(iferror(trim(left(regexextract(lower(filter({BA$32:BA$56;Additional!$BA$3:$BA$24},regexmatch(lower({BA$32:BA$56;Additional!$BA$3:$BA$24}),""[0-9]+ bonus to ""&amp;regexextract(lower(concatenate(K32:N32)),""[a-z]{3}"")&amp;""[a-z]+"&amp;"? .""&amp;lower(J32)))),""[0-9]+ bonus to ""&amp;regexextract(lower(concatenate(K32:N32)),""[a-z]{3}"")&amp;""[a-z]+? .""&amp;lower(J32)),2)),0)))),""-"")"),-1.0)</f>
        <v>-1</v>
      </c>
      <c r="J32" s="126" t="s">
        <v>63</v>
      </c>
      <c r="K32" s="138"/>
      <c r="L32" s="138"/>
      <c r="M32" s="139" t="s">
        <v>64</v>
      </c>
      <c r="N32" s="115"/>
      <c r="P32" s="116"/>
      <c r="R32" s="155" t="s">
        <v>65</v>
      </c>
      <c r="S32" s="156"/>
      <c r="T32" s="156"/>
      <c r="U32" s="156"/>
      <c r="V32" s="156"/>
      <c r="W32" s="156"/>
      <c r="X32" s="157" t="str">
        <f t="shared" ref="X32:X36" si="1">IMAGE("http://i.imgur.com/qlVxTyw.png",3)</f>
        <v/>
      </c>
      <c r="Y32" s="158">
        <f>IFERROR(__xludf.DUMMYFUNCTION("if(and(proficiencyBonus,$AQ32&lt;&gt;"""",$BC32&lt;&gt;""-""),
        if(or(
              isnumber(find(""unarmed"",lower($AT32))),
              isnumber(find(""natural"",lower($AT32))),
              isnumber(find(""spell"",lower($AT32))),
              and(isnum"&amp;"ber(find(""improvised"",lower($AQ32))),isnumber(find(""brawler"",feats))),
              isnumber(find(lower($AT32),lower(weaponProficiencies))),
              not(isna(filter(arrayformula(trim(split(lower(weaponProficiencies),"",""))),isnumber(find(array"&amp;"formula(trim(split(lower(weaponProficiencies),"",""))),lower($AQ32))))))
           ),
           proficiencyBonus,
           0
        )
        +if(lower($AU32)=""ranged"",archery+closeQuarters,0)
        +if(isnumber(find(""spell"",lower($AT32))),v2.1"&amp;"!$AR$91,0)
        +$BC32,
        ""-""
    )"),5.0)</f>
        <v>5</v>
      </c>
      <c r="Z32" s="156"/>
      <c r="AA32" s="156"/>
      <c r="AB32" s="157" t="str">
        <f t="shared" ref="AB32:AB36" si="2">IMAGE("http://i.imgur.com/qlVxTyw.png",3)</f>
        <v/>
      </c>
      <c r="AC32" s="159" t="str">
        <f>IFERROR(__xludf.DUMMYFUNCTION("substitute(if(and($AQ32&lt;&gt;"""",proficiencyBonus&lt;&gt;""""),
 $AR32&amp;if(and(""melee""=lower($AU32),lower($AT32)&lt;&gt;""unarmed"",isnumber(find(""two-handed"",lower($R32&amp;$BA32)))),greatWeaponFighting,"""")
&amp;if($AR32&lt;&gt;0,""+""
&amp;if($BB32&lt;&gt;""〇"",$BC32,if($AW32&lt;&gt;""-"",$AW"&amp;"32,0))
+int(iferror(regexextract(regexextract(Additional!$AR$79,""proficiency with[a-z ]+""&amp;lower(array_constrain(filter('Attack Info'!$B$7:$B1180,'Attack Info'!$B$7:$B1180&lt;&gt;"""",isnumber(find(lower('Attack Info'!$B$7:$B1180),lower($AQ32)))),1,1))&amp;""[a-z,"&amp;" ]+\+[0-9]+ bonus to damage[a-z ]+with such weapons""),""[0-9]+?""),0))
+int(iferror(regexextract(regexextract(Additional!$AR$79,""\+[0-9] bonus to damage[a-z ]+""&amp;lower(array_constrain(filter('Attack Info'!$B$7:$B1180,'Attack Info'!$B$7:$B1180&lt;&gt;"""",isnu"&amp;"mber(find(lower('Attack Info'!$B$7:$B1180),lower($AQ32)))),1,1))),""[0-9]+?""),0))
+if(and(isnumber(find(""melee"",lower($AU32))),iserror(find(""unarmed"",lower($AT32))),iserror(find(""natural"",lower($AT32))),iserror(find(""two-handed"",lower($R32&amp;$BA32)"&amp;"))),dueling,0)
+if(isnumber(find(""thrown"",lower($BA32))),thrown,0)
&amp;""[""&amp;$AS32&amp;""]"","""")
&amp;if(and(PaladinLevel&gt;=11,isnumber(find(""melee"",lower($AU32))),isnumber(find(lower($AT32),""simplemartial""))),""+1d8[radiant]"","""")
&amp;if($AX32&lt;&gt;""-"",""+""&amp;$A"&amp;"X32&amp;""[""&amp;$AY32&amp;""]"","""")
&amp;if(and(isnumber(find(""pact"",lower($AQ32))),isnumber(find(""lifedrinker"",lower(invocations)))),""+""&amp;chaMod&amp;""[necrotic]"","""")
&amp;""|***""&amp;textjoin("" "",True,if(and($AT32&lt;&gt;""-"",$AT32&lt;&gt;""Spell""),$AT32,""""),if($AU32&lt;&gt;""-"""&amp;",$AU32,""""),if($AT32=""Spell"",$AT32,if(and($AT32&lt;&gt;""Unarmed"",$AT32&lt;&gt;""Natural""),""Weapon"","""")))&amp;"" Attack.***""
&amp;if($BA32&lt;&gt;""-"",""
""&amp;$BA32,"""")
&amp;if(and(isnumber(find(""melee"",lower($AU32))),iserror(find(""unarmed"",lower($AT32))),iserror(find("&amp;"""natural"",lower($AT32))),iserror(find(""two-handed"",lower($R32&amp;$AV32)))),""
""&amp;duelingText,"""")
&amp;if(and(or(lower($AT32)=""unarmed"",lower($AT32)=""natural""),unarmedFighting),""
""&amp;unarmedText,"""")
&amp;if(and(""melee""=lower($AU32),lower($AT32)&lt;&gt;""unarm"&amp;"ed"",isnumber(find(""two-handed"",lower($R32&amp;$BA32)))),""
""&amp;gwfText,"""")
&amp;if(and(isnumber(find(""offhand"",lower($R32))),twoWeaponFighting),""
""&amp;twfText,"""")
&amp;if(and(lower($AU32)=""ranged"",lower($AT32)&lt;&gt;""spell""),if(archeryText&lt;&gt;"""",""
""&amp;archeryTe"&amp;"xt,"""")&amp;if(closeQuartersText&lt;&gt;"""",""
""&amp;closeQuartersText,""""),"""")
&amp;if(isnumber(find(""thrown"",lower($BA32))),""
""&amp;thrownText,""""),""                 -""),""+0"","""")"),"1d4+2[piercing]|***Simple Melee or Ranged Weapon Attack.***
Finesse, Light, Thrown (range 20/60)
")</f>
        <v>1d4+2[piercing]|***Simple Melee or Ranged Weapon Attack.***
Finesse, Light, Thrown (range 20/60)
</v>
      </c>
      <c r="AD32" s="160"/>
      <c r="AE32" s="160"/>
      <c r="AF32" s="160"/>
      <c r="AG32" s="160"/>
      <c r="AH32" s="160"/>
      <c r="AI32" s="160"/>
      <c r="AJ32" s="160"/>
      <c r="AK32" s="160"/>
      <c r="AL32" s="160"/>
      <c r="AM32" s="160"/>
      <c r="AN32" s="160"/>
      <c r="AP32" s="12"/>
      <c r="AQ32" s="3" t="str">
        <f>IFERROR(__xludf.DUMMYFUNCTION("iferror(array_constrain(split(textjoin(""~"",True,filter('Attack Info'!$B$7:$AN1180,'Attack Info'!$B$7:$B1180&lt;&gt;"""",lower('Attack Info'!$B$7:$B1180)=lower(R32))),""~""),1,12),"""")"),"Dagger")</f>
        <v>Dagger</v>
      </c>
      <c r="AR32" s="3" t="str">
        <f>IFERROR(__xludf.DUMMYFUNCTION("""COMPUTED_VALUE"""),"1d4")</f>
        <v>1d4</v>
      </c>
      <c r="AS32" s="3" t="str">
        <f>IFERROR(__xludf.DUMMYFUNCTION("""COMPUTED_VALUE"""),"piercing")</f>
        <v>piercing</v>
      </c>
      <c r="AT32" s="3" t="str">
        <f>IFERROR(__xludf.DUMMYFUNCTION("""COMPUTED_VALUE"""),"Simple")</f>
        <v>Simple</v>
      </c>
      <c r="AU32" s="161" t="str">
        <f>IFERROR(__xludf.DUMMYFUNCTION("""COMPUTED_VALUE"""),"Melee or Ranged")</f>
        <v>Melee or Ranged</v>
      </c>
      <c r="AV32" s="3" t="str">
        <f>IFERROR(__xludf.DUMMYFUNCTION("""COMPUTED_VALUE"""),"◉")</f>
        <v>◉</v>
      </c>
      <c r="AW32" s="3" t="str">
        <f>IFERROR(__xludf.DUMMYFUNCTION("""COMPUTED_VALUE"""),"-")</f>
        <v>-</v>
      </c>
      <c r="AX32" s="3" t="str">
        <f>IFERROR(__xludf.DUMMYFUNCTION("""COMPUTED_VALUE"""),"-")</f>
        <v>-</v>
      </c>
      <c r="AY32" s="3" t="str">
        <f>IFERROR(__xludf.DUMMYFUNCTION("""COMPUTED_VALUE"""),"-")</f>
        <v>-</v>
      </c>
      <c r="AZ32" s="3" t="str">
        <f>IFERROR(__xludf.DUMMYFUNCTION("""COMPUTED_VALUE"""),"-")</f>
        <v>-</v>
      </c>
      <c r="BA32" s="3" t="str">
        <f>IFERROR(__xludf.DUMMYFUNCTION("""COMPUTED_VALUE"""),"Finesse, Light, Thrown (range 20/60)")</f>
        <v>Finesse, Light, Thrown (range 20/60)</v>
      </c>
      <c r="BB32" s="3" t="str">
        <f>IFERROR(__xludf.DUMMYFUNCTION("""COMPUTED_VALUE"""),"◉")</f>
        <v>◉</v>
      </c>
      <c r="BC32" s="162">
        <f t="array" ref="BC32">if(and(strMod&lt;&gt;"-",dexMod&lt;&gt;"-"),if($AQ32&lt;&gt;"",if($AW32&lt;&gt;"-",$AW32,0)
+if(isnumber(find(lower($AZ32),"strdexconintwischa")),if(indirect(lower($AZ32)&amp;"Mod")&lt;&gt;"-",indirect(lower($AZ32)&amp;"Mod"),0),
if(or(isnumber(find("finesse",lower($BA32))),and($AV32&lt;&gt;"〇",MonkLevel&lt;&gt;"",MonkLevel&gt;0)),max(strMod,dexMod),if(lower($AU32)="ranged",dexMod,strMod))),""),"-")</f>
        <v>2</v>
      </c>
    </row>
    <row r="33" ht="15.75" customHeight="1">
      <c r="A33" s="108"/>
      <c r="B33" s="61"/>
      <c r="C33" s="71">
        <f>if(C35="-","-",INT((C35-10)/2))</f>
        <v>1</v>
      </c>
      <c r="E33" s="63"/>
      <c r="F33" s="109" t="str">
        <f>IFERROR(__xludf.DUMMYFUNCTION("""COMPUTED_VALUE"""),"")</f>
        <v/>
      </c>
      <c r="H33" s="134">
        <v>1.0</v>
      </c>
      <c r="I33" s="125">
        <f>IFERROR(__xludf.DUMMYFUNCTION("if(and(proficiencyBonus,indirect(regexextract(lower(concatenate(K33:N33)),""[a-z]{3}"")&amp;""Mod"")&lt;&gt;""-""),
    if(H33&lt;&gt;0,proficiencyBonus*if(H33=""e"",2,1),jackOfAllTrades)
    +indirect(regexextract(lower(concatenate(K33:N33)),""[a-z]{3}"")&amp;""Mod"")
    +"&amp;"$AR$58
    +sum(arrayformula(int(iferror(trim(left(regexextract(lower(filter({BA$32:BA$56;Additional!$BA$3:$BA$24},regexmatch(lower({BA$32:BA$56;Additional!$BA$3:$BA$24}),""[0-9]+ bonus to ""&amp;regexextract(lower(concatenate(K33:N33)),""[a-z]{3}"")&amp;""[a-z]+"&amp;"? .""&amp;lower(J33)))),""[0-9]+ bonus to ""&amp;regexextract(lower(concatenate(K33:N33)),""[a-z]{3}"")&amp;""[a-z]+? .""&amp;lower(J33)),2)),0)))),""-"")"),8.0)</f>
        <v>8</v>
      </c>
      <c r="J33" s="126" t="s">
        <v>66</v>
      </c>
      <c r="K33" s="138"/>
      <c r="L33" s="138"/>
      <c r="M33" s="139" t="s">
        <v>67</v>
      </c>
      <c r="N33" s="115"/>
      <c r="P33" s="116"/>
      <c r="R33" s="163"/>
      <c r="S33" s="156"/>
      <c r="T33" s="156"/>
      <c r="U33" s="156"/>
      <c r="V33" s="156"/>
      <c r="W33" s="156"/>
      <c r="X33" s="157" t="str">
        <f t="shared" si="1"/>
        <v/>
      </c>
      <c r="Y33" s="158" t="str">
        <f>IFERROR(__xludf.DUMMYFUNCTION("if(and(proficiencyBonus,$AQ33&lt;&gt;"""",$BC33&lt;&gt;""-""),
        if(or(
              isnumber(find(""unarmed"",lower($AT33))),
              isnumber(find(""natural"",lower($AT33))),
              isnumber(find(""spell"",lower($AT33))),
              and(isnum"&amp;"ber(find(""improvised"",lower($AQ33))),isnumber(find(""brawler"",feats))),
              isnumber(find(lower($AT33),lower(weaponProficiencies))),
              not(isna(filter(arrayformula(trim(split(lower(weaponProficiencies),"",""))),isnumber(find(array"&amp;"formula(trim(split(lower(weaponProficiencies),"",""))),lower($AQ33))))))
           ),
           proficiencyBonus,
           0
        )
        +if(lower($AU33)=""ranged"",archery+closeQuarters,0)
        +if(isnumber(find(""spell"",lower($AT33))),v2.1"&amp;"!$AR$91,0)
        +$BC33,
        ""-""
    )"),"-")</f>
        <v>-</v>
      </c>
      <c r="Z33" s="156"/>
      <c r="AA33" s="156"/>
      <c r="AB33" s="157" t="str">
        <f t="shared" si="2"/>
        <v/>
      </c>
      <c r="AC33" s="159" t="str">
        <f>IFERROR(__xludf.DUMMYFUNCTION("substitute(if(and($AQ33&lt;&gt;"""",proficiencyBonus&lt;&gt;""""),
 $AR33&amp;if(and(""melee""=lower($AU33),lower($AT33)&lt;&gt;""unarmed"",isnumber(find(""two-handed"",lower($R33&amp;$BA33)))),greatWeaponFighting,"""")
&amp;if($AR33&lt;&gt;0,""+""
&amp;if($BB33&lt;&gt;""〇"",$BC33,if($AW33&lt;&gt;""-"",$AW"&amp;"33,0))
+int(iferror(regexextract(regexextract(Additional!$AR$79,""proficiency with[a-z ]+""&amp;lower(array_constrain(filter('Attack Info'!$B$7:$B1180,'Attack Info'!$B$7:$B1180&lt;&gt;"""",isnumber(find(lower('Attack Info'!$B$7:$B1180),lower($AQ33)))),1,1))&amp;""[a-z,"&amp;" ]+\+[0-9]+ bonus to damage[a-z ]+with such weapons""),""[0-9]+?""),0))
+int(iferror(regexextract(regexextract(Additional!$AR$79,""\+[0-9] bonus to damage[a-z ]+""&amp;lower(array_constrain(filter('Attack Info'!$B$7:$B1180,'Attack Info'!$B$7:$B1180&lt;&gt;"""",isnu"&amp;"mber(find(lower('Attack Info'!$B$7:$B1180),lower($AQ33)))),1,1))),""[0-9]+?""),0))
+if(and(isnumber(find(""melee"",lower($AU33))),iserror(find(""unarmed"",lower($AT33))),iserror(find(""natural"",lower($AT33))),iserror(find(""two-handed"",lower($R33&amp;$BA33)"&amp;"))),dueling,0)
+if(isnumber(find(""thrown"",lower($BA33))),thrown,0)
&amp;""[""&amp;$AS33&amp;""]"","""")
&amp;if(and(PaladinLevel&gt;=11,isnumber(find(""melee"",lower($AU33))),isnumber(find(lower($AT33),""simplemartial""))),""+1d8[radiant]"","""")
&amp;if($AX33&lt;&gt;""-"",""+""&amp;$A"&amp;"X33&amp;""[""&amp;$AY33&amp;""]"","""")
&amp;if(and(isnumber(find(""pact"",lower($AQ33))),isnumber(find(""lifedrinker"",lower(invocations)))),""+""&amp;chaMod&amp;""[necrotic]"","""")
&amp;""|***""&amp;textjoin("" "",True,if(and($AT33&lt;&gt;""-"",$AT33&lt;&gt;""Spell""),$AT33,""""),if($AU33&lt;&gt;""-"""&amp;",$AU33,""""),if($AT33=""Spell"",$AT33,if(and($AT33&lt;&gt;""Unarmed"",$AT33&lt;&gt;""Natural""),""Weapon"","""")))&amp;"" Attack.***""
&amp;if($BA33&lt;&gt;""-"",""
""&amp;$BA33,"""")
&amp;if(and(isnumber(find(""melee"",lower($AU33))),iserror(find(""unarmed"",lower($AT33))),iserror(find("&amp;"""natural"",lower($AT33))),iserror(find(""two-handed"",lower($R33&amp;$AV33)))),""
""&amp;duelingText,"""")
&amp;if(and(or(lower($AT33)=""unarmed"",lower($AT33)=""natural""),unarmedFighting),""
""&amp;unarmedText,"""")
&amp;if(and(""melee""=lower($AU33),lower($AT33)&lt;&gt;""unarm"&amp;"ed"",isnumber(find(""two-handed"",lower($R33&amp;$BA33)))),""
""&amp;gwfText,"""")
&amp;if(and(isnumber(find(""offhand"",lower($R33))),twoWeaponFighting),""
""&amp;twfText,"""")
&amp;if(and(lower($AU33)=""ranged"",lower($AT33)&lt;&gt;""spell""),if(archeryText&lt;&gt;"""",""
""&amp;archeryTe"&amp;"xt,"""")&amp;if(closeQuartersText&lt;&gt;"""",""
""&amp;closeQuartersText,""""),"""")
&amp;if(isnumber(find(""thrown"",lower($BA33))),""
""&amp;thrownText,""""),""                 -""),""+0"","""")"),"                 -")</f>
        <v>                 -</v>
      </c>
      <c r="AD33" s="160"/>
      <c r="AE33" s="160"/>
      <c r="AF33" s="160"/>
      <c r="AG33" s="160"/>
      <c r="AH33" s="160"/>
      <c r="AI33" s="160"/>
      <c r="AJ33" s="160"/>
      <c r="AK33" s="160"/>
      <c r="AL33" s="160"/>
      <c r="AM33" s="160"/>
      <c r="AN33" s="160"/>
      <c r="AP33" s="12"/>
      <c r="AQ33" s="3" t="str">
        <f>IFERROR(__xludf.DUMMYFUNCTION("iferror(array_constrain(split(textjoin(""~"",True,filter('Attack Info'!$B$7:$AN1180,'Attack Info'!$B$7:$B1180&lt;&gt;"""",lower('Attack Info'!$B$7:$B1180)=lower(R33))),""~""),1,12),"""")"),"")</f>
        <v/>
      </c>
      <c r="AR33" s="3"/>
      <c r="AS33" s="3"/>
      <c r="AT33" s="3"/>
      <c r="AU33" s="161"/>
      <c r="AV33" s="3"/>
      <c r="AW33" s="3"/>
      <c r="AX33" s="3"/>
      <c r="AY33" s="3"/>
      <c r="AZ33" s="3"/>
      <c r="BA33" s="3"/>
      <c r="BB33" s="3"/>
      <c r="BC33" s="162" t="str">
        <f t="array" ref="BC33">if(and(strMod&lt;&gt;"-",dexMod&lt;&gt;"-"),if($AQ33&lt;&gt;"",if($AW33&lt;&gt;"-",$AW33,0)
+if(isnumber(find(lower($AZ33),"strdexconintwischa")),if(indirect(lower($AZ33)&amp;"Mod")&lt;&gt;"-",indirect(lower($AZ33)&amp;"Mod"),0),
if(or(isnumber(find("finesse",lower($BA33))),and($AV33&lt;&gt;"〇",MonkLevel&lt;&gt;"",MonkLevel&gt;0)),max(strMod,dexMod),if(lower($AU33)="ranged",dexMod,strMod))),""),"-")</f>
        <v/>
      </c>
    </row>
    <row r="34" ht="15.75" customHeight="1">
      <c r="A34" s="108"/>
      <c r="B34" s="61"/>
      <c r="E34" s="63"/>
      <c r="F34" s="109" t="str">
        <f>IFERROR(__xludf.DUMMYFUNCTION("""COMPUTED_VALUE"""),"")</f>
        <v/>
      </c>
      <c r="H34" s="124">
        <v>0.0</v>
      </c>
      <c r="I34" s="125">
        <f>IFERROR(__xludf.DUMMYFUNCTION("if(and(proficiencyBonus,indirect(regexextract(lower(concatenate(K34:N34)),""[a-z]{3}"")&amp;""Mod"")&lt;&gt;""-""),
    if(H34&lt;&gt;0,proficiencyBonus*if(H34=""e"",2,1),jackOfAllTrades)
    +indirect(regexextract(lower(concatenate(K34:N34)),""[a-z]{3}"")&amp;""Mod"")
    +"&amp;"$AR$58
    +sum(arrayformula(int(iferror(trim(left(regexextract(lower(filter({BA$32:BA$56;Additional!$BA$3:$BA$24},regexmatch(lower({BA$32:BA$56;Additional!$BA$3:$BA$24}),""[0-9]+ bonus to ""&amp;regexextract(lower(concatenate(K34:N34)),""[a-z]{3}"")&amp;""[a-z]+"&amp;"? .""&amp;lower(J34)))),""[0-9]+ bonus to ""&amp;regexextract(lower(concatenate(K34:N34)),""[a-z]{3}"")&amp;""[a-z]+? .""&amp;lower(J34)),2)),0)))),""-"")"),1.0)</f>
        <v>1</v>
      </c>
      <c r="J34" s="126" t="s">
        <v>68</v>
      </c>
      <c r="K34" s="138"/>
      <c r="L34" s="139"/>
      <c r="M34" s="115" t="s">
        <v>69</v>
      </c>
      <c r="N34" s="115"/>
      <c r="P34" s="116"/>
      <c r="R34" s="163"/>
      <c r="S34" s="156"/>
      <c r="T34" s="156"/>
      <c r="U34" s="156"/>
      <c r="V34" s="156"/>
      <c r="W34" s="156"/>
      <c r="X34" s="157" t="str">
        <f t="shared" si="1"/>
        <v/>
      </c>
      <c r="Y34" s="158" t="str">
        <f>IFERROR(__xludf.DUMMYFUNCTION("if(and(proficiencyBonus,$AQ34&lt;&gt;"""",$BC34&lt;&gt;""-""),
        if(or(
              isnumber(find(""unarmed"",lower($AT34))),
              isnumber(find(""natural"",lower($AT34))),
              isnumber(find(""spell"",lower($AT34))),
              and(isnum"&amp;"ber(find(""improvised"",lower($AQ34))),isnumber(find(""brawler"",feats))),
              isnumber(find(lower($AT34),lower(weaponProficiencies))),
              not(isna(filter(arrayformula(trim(split(lower(weaponProficiencies),"",""))),isnumber(find(array"&amp;"formula(trim(split(lower(weaponProficiencies),"",""))),lower($AQ34))))))
           ),
           proficiencyBonus,
           0
        )
        +if(lower($AU34)=""ranged"",archery+closeQuarters,0)
        +if(isnumber(find(""spell"",lower($AT34))),v2.1"&amp;"!$AR$91,0)
        +$BC34,
        ""-""
    )"),"-")</f>
        <v>-</v>
      </c>
      <c r="Z34" s="156"/>
      <c r="AA34" s="156"/>
      <c r="AB34" s="157" t="str">
        <f t="shared" si="2"/>
        <v/>
      </c>
      <c r="AC34" s="159" t="str">
        <f>IFERROR(__xludf.DUMMYFUNCTION("substitute(if(and($AQ34&lt;&gt;"""",proficiencyBonus&lt;&gt;""""),
 $AR34&amp;if(and(""melee""=lower($AU34),lower($AT34)&lt;&gt;""unarmed"",isnumber(find(""two-handed"",lower($R34&amp;$BA34)))),greatWeaponFighting,"""")
&amp;if($AR34&lt;&gt;0,""+""
&amp;if($BB34&lt;&gt;""〇"",$BC34,if($AW34&lt;&gt;""-"",$AW"&amp;"34,0))
+int(iferror(regexextract(regexextract(Additional!$AR$79,""proficiency with[a-z ]+""&amp;lower(array_constrain(filter('Attack Info'!$B$7:$B1180,'Attack Info'!$B$7:$B1180&lt;&gt;"""",isnumber(find(lower('Attack Info'!$B$7:$B1180),lower($AQ34)))),1,1))&amp;""[a-z,"&amp;" ]+\+[0-9]+ bonus to damage[a-z ]+with such weapons""),""[0-9]+?""),0))
+int(iferror(regexextract(regexextract(Additional!$AR$79,""\+[0-9] bonus to damage[a-z ]+""&amp;lower(array_constrain(filter('Attack Info'!$B$7:$B1180,'Attack Info'!$B$7:$B1180&lt;&gt;"""",isnu"&amp;"mber(find(lower('Attack Info'!$B$7:$B1180),lower($AQ34)))),1,1))),""[0-9]+?""),0))
+if(and(isnumber(find(""melee"",lower($AU34))),iserror(find(""unarmed"",lower($AT34))),iserror(find(""natural"",lower($AT34))),iserror(find(""two-handed"",lower($R34&amp;$BA34)"&amp;"))),dueling,0)
+if(isnumber(find(""thrown"",lower($BA34))),thrown,0)
&amp;""[""&amp;$AS34&amp;""]"","""")
&amp;if(and(PaladinLevel&gt;=11,isnumber(find(""melee"",lower($AU34))),isnumber(find(lower($AT34),""simplemartial""))),""+1d8[radiant]"","""")
&amp;if($AX34&lt;&gt;""-"",""+""&amp;$A"&amp;"X34&amp;""[""&amp;$AY34&amp;""]"","""")
&amp;if(and(isnumber(find(""pact"",lower($AQ34))),isnumber(find(""lifedrinker"",lower(invocations)))),""+""&amp;chaMod&amp;""[necrotic]"","""")
&amp;""|***""&amp;textjoin("" "",True,if(and($AT34&lt;&gt;""-"",$AT34&lt;&gt;""Spell""),$AT34,""""),if($AU34&lt;&gt;""-"""&amp;",$AU34,""""),if($AT34=""Spell"",$AT34,if(and($AT34&lt;&gt;""Unarmed"",$AT34&lt;&gt;""Natural""),""Weapon"","""")))&amp;"" Attack.***""
&amp;if($BA34&lt;&gt;""-"",""
""&amp;$BA34,"""")
&amp;if(and(isnumber(find(""melee"",lower($AU34))),iserror(find(""unarmed"",lower($AT34))),iserror(find("&amp;"""natural"",lower($AT34))),iserror(find(""two-handed"",lower($R34&amp;$AV34)))),""
""&amp;duelingText,"""")
&amp;if(and(or(lower($AT34)=""unarmed"",lower($AT34)=""natural""),unarmedFighting),""
""&amp;unarmedText,"""")
&amp;if(and(""melee""=lower($AU34),lower($AT34)&lt;&gt;""unarm"&amp;"ed"",isnumber(find(""two-handed"",lower($R34&amp;$BA34)))),""
""&amp;gwfText,"""")
&amp;if(and(isnumber(find(""offhand"",lower($R34))),twoWeaponFighting),""
""&amp;twfText,"""")
&amp;if(and(lower($AU34)=""ranged"",lower($AT34)&lt;&gt;""spell""),if(archeryText&lt;&gt;"""",""
""&amp;archeryTe"&amp;"xt,"""")&amp;if(closeQuartersText&lt;&gt;"""",""
""&amp;closeQuartersText,""""),"""")
&amp;if(isnumber(find(""thrown"",lower($BA34))),""
""&amp;thrownText,""""),""                 -""),""+0"","""")"),"                 -")</f>
        <v>                 -</v>
      </c>
      <c r="AD34" s="160"/>
      <c r="AE34" s="160"/>
      <c r="AF34" s="160"/>
      <c r="AG34" s="160"/>
      <c r="AH34" s="160"/>
      <c r="AI34" s="160"/>
      <c r="AJ34" s="160"/>
      <c r="AK34" s="160"/>
      <c r="AL34" s="160"/>
      <c r="AM34" s="160"/>
      <c r="AN34" s="160"/>
      <c r="AP34" s="12"/>
      <c r="AQ34" s="3" t="str">
        <f>IFERROR(__xludf.DUMMYFUNCTION("iferror(array_constrain(split(textjoin(""~"",True,filter('Attack Info'!$B$7:$AN1180,'Attack Info'!$B$7:$B1180&lt;&gt;"""",lower('Attack Info'!$B$7:$B1180)=lower(R34))),""~""),1,12),"""")"),"")</f>
        <v/>
      </c>
      <c r="AR34" s="3"/>
      <c r="AS34" s="3"/>
      <c r="AT34" s="3"/>
      <c r="AU34" s="161"/>
      <c r="AV34" s="3"/>
      <c r="AW34" s="3"/>
      <c r="AX34" s="3"/>
      <c r="AY34" s="3"/>
      <c r="AZ34" s="3"/>
      <c r="BA34" s="3"/>
      <c r="BB34" s="3"/>
      <c r="BC34" s="164" t="str">
        <f t="array" ref="BC34">if(and(strMod&lt;&gt;"-",dexMod&lt;&gt;"-"),if($AQ34&lt;&gt;"",if($AW34&lt;&gt;"-",$AW34,0)
+if(isnumber(find(lower($AZ34),"strdexconintwischa")),if(indirect(lower($AZ34)&amp;"Mod")&lt;&gt;"-",indirect(lower($AZ34)&amp;"Mod"),0),
if(or(isnumber(find("finesse",lower($BA34))),and($AV34&lt;&gt;"〇",MonkLevel&lt;&gt;"",MonkLevel&gt;0)),max(strMod,dexMod),if(lower($AU34)="ranged",dexMod,strMod))),""),"-")</f>
        <v/>
      </c>
    </row>
    <row r="35" ht="15.75" customHeight="1">
      <c r="A35" s="108"/>
      <c r="B35" s="61"/>
      <c r="C35" s="80">
        <f>IFERROR(__xludf.DUMMYFUNCTION("if(C36,min(30,max(
iferror(int(trim(right(regexextract(Additional!$AR$79,lower(C32)&amp;""[a-z]+? score is [0-9]+""),2))),0),
iferror(int(trim(right(regexextract(Additional!$AR$79,lower(C32)&amp;""[a-z]+? score changes to [0-9]+""),2))),0),
min(iferror(int(trim(r"&amp;"ight(regexextract(Additional!$AR$79,lower(C32)&amp;""[a-z]+? [a-z ]+maximum of [0-9]+?""),2))),20),
C36+
iferror(if(find(regexextract($AR$5,lower(C32)&amp;"" \+[0-9]""),$AR$5)&lt;iferror(find(""choose"",lower($AR$5)),len($AR$5)),int(right(regexextract($AR$5,lower(C3"&amp;"2)&amp;"" \+[0-9]""),1)),0),0)-
iferror(if(find(regexextract($AR$5,lower(C32)&amp;"" \-[0-9]""),$AR$5)&lt;iferror(find(""choose"",lower($AR$5)),len($AR$5)),int(right(regexextract($AR$5,lower(C32)&amp;"" \-[0-9]""),1)),0),0)
+D36))
+sum(arrayformula(int(iferror(trim(righ"&amp;"t(regexextract(lower(filter({BA$32:BA$56;Additional!$BA$3:$BA$24},regexmatch(lower({BA$32:BA$56;Additional!$BA$3:$BA$24}),lower(C32)&amp;""[a-z]+? score increases by [0-9]+""))),lower(C32)&amp;""[a-z]+? score increases by [0-9]+""),2)),0))))),""-"")"),12.0)</f>
        <v>12</v>
      </c>
      <c r="D35" s="81"/>
      <c r="E35" s="63"/>
      <c r="F35" s="109" t="str">
        <f>IFERROR(__xludf.DUMMYFUNCTION("""COMPUTED_VALUE"""),"")</f>
        <v/>
      </c>
      <c r="H35" s="124">
        <v>0.0</v>
      </c>
      <c r="I35" s="125">
        <f>IFERROR(__xludf.DUMMYFUNCTION("if(and(proficiencyBonus,indirect(regexextract(lower(concatenate(K35:N35)),""[a-z]{3}"")&amp;""Mod"")&lt;&gt;""-""),
    if(H35&lt;&gt;0,proficiencyBonus*if(H35=""e"",2,1),jackOfAllTrades)
    +indirect(regexextract(lower(concatenate(K35:N35)),""[a-z]{3}"")&amp;""Mod"")
    +"&amp;"$AR$58
    +sum(arrayformula(int(iferror(trim(left(regexextract(lower(filter({BA$32:BA$56;Additional!$BA$3:$BA$24},regexmatch(lower({BA$32:BA$56;Additional!$BA$3:$BA$24}),""[0-9]+ bonus to ""&amp;regexextract(lower(concatenate(K35:N35)),""[a-z]{3}"")&amp;""[a-z]+"&amp;"? .""&amp;lower(J35)))),""[0-9]+ bonus to ""&amp;regexextract(lower(concatenate(K35:N35)),""[a-z]{3}"")&amp;""[a-z]+? .""&amp;lower(J35)),2)),0)))),""-"")"),5.0)</f>
        <v>5</v>
      </c>
      <c r="J35" s="126" t="s">
        <v>70</v>
      </c>
      <c r="K35" s="138"/>
      <c r="L35" s="115" t="s">
        <v>71</v>
      </c>
      <c r="M35" s="115"/>
      <c r="N35" s="115"/>
      <c r="P35" s="116"/>
      <c r="R35" s="163"/>
      <c r="S35" s="156"/>
      <c r="T35" s="156"/>
      <c r="U35" s="156"/>
      <c r="V35" s="156"/>
      <c r="W35" s="156"/>
      <c r="X35" s="157" t="str">
        <f t="shared" si="1"/>
        <v/>
      </c>
      <c r="Y35" s="158" t="str">
        <f>IFERROR(__xludf.DUMMYFUNCTION("if(and(proficiencyBonus,$AQ35&lt;&gt;"""",$BC35&lt;&gt;""-""),
        if(or(
              isnumber(find(""unarmed"",lower($AT35))),
              isnumber(find(""natural"",lower($AT35))),
              isnumber(find(""spell"",lower($AT35))),
              and(isnum"&amp;"ber(find(""improvised"",lower($AQ35))),isnumber(find(""brawler"",feats))),
              isnumber(find(lower($AT35),lower(weaponProficiencies))),
              not(isna(filter(arrayformula(trim(split(lower(weaponProficiencies),"",""))),isnumber(find(array"&amp;"formula(trim(split(lower(weaponProficiencies),"",""))),lower($AQ35))))))
           ),
           proficiencyBonus,
           0
        )
        +if(lower($AU35)=""ranged"",archery+closeQuarters,0)
        +if(isnumber(find(""spell"",lower($AT35))),v2.1"&amp;"!$AR$91,0)
        +$BC35,
        ""-""
    )"),"-")</f>
        <v>-</v>
      </c>
      <c r="Z35" s="156"/>
      <c r="AA35" s="156"/>
      <c r="AB35" s="157" t="str">
        <f t="shared" si="2"/>
        <v/>
      </c>
      <c r="AC35" s="159" t="str">
        <f>IFERROR(__xludf.DUMMYFUNCTION("substitute(if(and($AQ35&lt;&gt;"""",proficiencyBonus&lt;&gt;""""),
 $AR35&amp;if(and(""melee""=lower($AU35),lower($AT35)&lt;&gt;""unarmed"",isnumber(find(""two-handed"",lower($R35&amp;$BA35)))),greatWeaponFighting,"""")
&amp;if($AR35&lt;&gt;0,""+""
&amp;if($BB35&lt;&gt;""〇"",$BC35,if($AW35&lt;&gt;""-"",$AW"&amp;"35,0))
+int(iferror(regexextract(regexextract(Additional!$AR$79,""proficiency with[a-z ]+""&amp;lower(array_constrain(filter('Attack Info'!$B$7:$B1180,'Attack Info'!$B$7:$B1180&lt;&gt;"""",isnumber(find(lower('Attack Info'!$B$7:$B1180),lower($AQ35)))),1,1))&amp;""[a-z,"&amp;" ]+\+[0-9]+ bonus to damage[a-z ]+with such weapons""),""[0-9]+?""),0))
+int(iferror(regexextract(regexextract(Additional!$AR$79,""\+[0-9] bonus to damage[a-z ]+""&amp;lower(array_constrain(filter('Attack Info'!$B$7:$B1180,'Attack Info'!$B$7:$B1180&lt;&gt;"""",isnu"&amp;"mber(find(lower('Attack Info'!$B$7:$B1180),lower($AQ35)))),1,1))),""[0-9]+?""),0))
+if(and(isnumber(find(""melee"",lower($AU35))),iserror(find(""unarmed"",lower($AT35))),iserror(find(""natural"",lower($AT35))),iserror(find(""two-handed"",lower($R35&amp;$BA35)"&amp;"))),dueling,0)
+if(isnumber(find(""thrown"",lower($BA35))),thrown,0)
&amp;""[""&amp;$AS35&amp;""]"","""")
&amp;if(and(PaladinLevel&gt;=11,isnumber(find(""melee"",lower($AU35))),isnumber(find(lower($AT35),""simplemartial""))),""+1d8[radiant]"","""")
&amp;if($AX35&lt;&gt;""-"",""+""&amp;$A"&amp;"X35&amp;""[""&amp;$AY35&amp;""]"","""")
&amp;if(and(isnumber(find(""pact"",lower($AQ35))),isnumber(find(""lifedrinker"",lower(invocations)))),""+""&amp;chaMod&amp;""[necrotic]"","""")
&amp;""|***""&amp;textjoin("" "",True,if(and($AT35&lt;&gt;""-"",$AT35&lt;&gt;""Spell""),$AT35,""""),if($AU35&lt;&gt;""-"""&amp;",$AU35,""""),if($AT35=""Spell"",$AT35,if(and($AT35&lt;&gt;""Unarmed"",$AT35&lt;&gt;""Natural""),""Weapon"","""")))&amp;"" Attack.***""
&amp;if($BA35&lt;&gt;""-"",""
""&amp;$BA35,"""")
&amp;if(and(isnumber(find(""melee"",lower($AU35))),iserror(find(""unarmed"",lower($AT35))),iserror(find("&amp;"""natural"",lower($AT35))),iserror(find(""two-handed"",lower($R35&amp;$AV35)))),""
""&amp;duelingText,"""")
&amp;if(and(or(lower($AT35)=""unarmed"",lower($AT35)=""natural""),unarmedFighting),""
""&amp;unarmedText,"""")
&amp;if(and(""melee""=lower($AU35),lower($AT35)&lt;&gt;""unarm"&amp;"ed"",isnumber(find(""two-handed"",lower($R35&amp;$BA35)))),""
""&amp;gwfText,"""")
&amp;if(and(isnumber(find(""offhand"",lower($R35))),twoWeaponFighting),""
""&amp;twfText,"""")
&amp;if(and(lower($AU35)=""ranged"",lower($AT35)&lt;&gt;""spell""),if(archeryText&lt;&gt;"""",""
""&amp;archeryTe"&amp;"xt,"""")&amp;if(closeQuartersText&lt;&gt;"""",""
""&amp;closeQuartersText,""""),"""")
&amp;if(isnumber(find(""thrown"",lower($BA35))),""
""&amp;thrownText,""""),""                 -""),""+0"","""")"),"                 -")</f>
        <v>                 -</v>
      </c>
      <c r="AD35" s="160"/>
      <c r="AE35" s="160"/>
      <c r="AF35" s="160"/>
      <c r="AG35" s="160"/>
      <c r="AH35" s="160"/>
      <c r="AI35" s="160"/>
      <c r="AJ35" s="160"/>
      <c r="AK35" s="160"/>
      <c r="AL35" s="160"/>
      <c r="AM35" s="160"/>
      <c r="AN35" s="160"/>
      <c r="AP35" s="12"/>
      <c r="AQ35" s="3" t="str">
        <f>IFERROR(__xludf.DUMMYFUNCTION("iferror(array_constrain(split(textjoin(""~"",True,filter('Attack Info'!$B$7:$AN1180,'Attack Info'!$B$7:$B1180&lt;&gt;"""",lower('Attack Info'!$B$7:$B1180)=lower(R35))),""~""),1,12),"""")"),"")</f>
        <v/>
      </c>
      <c r="AR35" s="3"/>
      <c r="AS35" s="3"/>
      <c r="AT35" s="3"/>
      <c r="AU35" s="161"/>
      <c r="AV35" s="3"/>
      <c r="AW35" s="3"/>
      <c r="AX35" s="3"/>
      <c r="AY35" s="3"/>
      <c r="AZ35" s="3"/>
      <c r="BA35" s="3"/>
      <c r="BB35" s="3"/>
      <c r="BC35" s="164" t="str">
        <f t="array" ref="BC35">if(and(strMod&lt;&gt;"-",dexMod&lt;&gt;"-"),if($AQ35&lt;&gt;"",if($AW35&lt;&gt;"-",$AW35,0)
+if(isnumber(find(lower($AZ35),"strdexconintwischa")),if(indirect(lower($AZ35)&amp;"Mod")&lt;&gt;"-",indirect(lower($AZ35)&amp;"Mod"),0),
if(or(isnumber(find("finesse",lower($BA35))),and($AV35&lt;&gt;"〇",MonkLevel&lt;&gt;"",MonkLevel&gt;0)),max(strMod,dexMod),if(lower($AU35)="ranged",dexMod,strMod))),""),"-")</f>
        <v/>
      </c>
    </row>
    <row r="36" ht="15.75" customHeight="1">
      <c r="A36" s="165"/>
      <c r="B36" s="61"/>
      <c r="C36" s="86">
        <v>12.0</v>
      </c>
      <c r="D36" s="87"/>
      <c r="E36" s="63"/>
      <c r="F36" s="109" t="str">
        <f>IFERROR(__xludf.DUMMYFUNCTION("""COMPUTED_VALUE"""),"")</f>
        <v/>
      </c>
      <c r="H36" s="134">
        <v>1.0</v>
      </c>
      <c r="I36" s="125">
        <f>IFERROR(__xludf.DUMMYFUNCTION("if(and(proficiencyBonus,indirect(regexextract(lower(concatenate(K36:N36)),""[a-z]{3}"")&amp;""Mod"")&lt;&gt;""-""),
    if(H36&lt;&gt;0,proficiencyBonus*if(H36=""e"",2,1),jackOfAllTrades)
    +indirect(regexextract(lower(concatenate(K36:N36)),""[a-z]{3}"")&amp;""Mod"")
    +"&amp;"$AR$58
    +sum(arrayformula(int(iferror(trim(left(regexextract(lower(filter({BA$32:BA$56;Additional!$BA$3:$BA$24},regexmatch(lower({BA$32:BA$56;Additional!$BA$3:$BA$24}),""[0-9]+ bonus to ""&amp;regexextract(lower(concatenate(K36:N36)),""[a-z]{3}"")&amp;""[a-z]+"&amp;"? .""&amp;lower(J36)))),""[0-9]+ bonus to ""&amp;regexextract(lower(concatenate(K36:N36)),""[a-z]{3}"")&amp;""[a-z]+? .""&amp;lower(J36)),2)),0)))),""-"")"),4.0)</f>
        <v>4</v>
      </c>
      <c r="J36" s="126" t="s">
        <v>72</v>
      </c>
      <c r="K36" s="166"/>
      <c r="L36" s="166"/>
      <c r="M36" s="115" t="s">
        <v>43</v>
      </c>
      <c r="N36" s="115"/>
      <c r="P36" s="116"/>
      <c r="R36" s="163"/>
      <c r="S36" s="156"/>
      <c r="T36" s="156"/>
      <c r="U36" s="156"/>
      <c r="V36" s="156"/>
      <c r="W36" s="156"/>
      <c r="X36" s="157" t="str">
        <f t="shared" si="1"/>
        <v/>
      </c>
      <c r="Y36" s="158" t="str">
        <f>IFERROR(__xludf.DUMMYFUNCTION("if(and(proficiencyBonus,$AQ36&lt;&gt;"""",$BC36&lt;&gt;""-""),
        if(or(
              isnumber(find(""unarmed"",lower($AT36))),
              isnumber(find(""natural"",lower($AT36))),
              isnumber(find(""spell"",lower($AT36))),
              and(isnum"&amp;"ber(find(""improvised"",lower($AQ36))),isnumber(find(""brawler"",feats))),
              isnumber(find(lower($AT36),lower(weaponProficiencies))),
              not(isna(filter(arrayformula(trim(split(lower(weaponProficiencies),"",""))),isnumber(find(array"&amp;"formula(trim(split(lower(weaponProficiencies),"",""))),lower($AQ36))))))
           ),
           proficiencyBonus,
           0
        )
        +if(lower($AU36)=""ranged"",archery+closeQuarters,0)
        +if(isnumber(find(""spell"",lower($AT36))),v2.1"&amp;"!$AR$91,0)
        +$BC36,
        ""-""
    )"),"-")</f>
        <v>-</v>
      </c>
      <c r="Z36" s="156"/>
      <c r="AA36" s="156"/>
      <c r="AB36" s="167" t="str">
        <f t="shared" si="2"/>
        <v/>
      </c>
      <c r="AC36" s="159" t="str">
        <f>IFERROR(__xludf.DUMMYFUNCTION("substitute(if(and($AQ36&lt;&gt;"""",proficiencyBonus&lt;&gt;""""),
 $AR36&amp;if(and(""melee""=lower($AU36),lower($AT36)&lt;&gt;""unarmed"",isnumber(find(""two-handed"",lower($R36&amp;$BA36)))),greatWeaponFighting,"""")
&amp;if($AR36&lt;&gt;0,""+""
&amp;if($BB36&lt;&gt;""〇"",$BC36,if($AW36&lt;&gt;""-"",$AW"&amp;"36,0))
+int(iferror(regexextract(regexextract(Additional!$AR$79,""proficiency with[a-z ]+""&amp;lower(array_constrain(filter('Attack Info'!$B$7:$B1180,'Attack Info'!$B$7:$B1180&lt;&gt;"""",isnumber(find(lower('Attack Info'!$B$7:$B1180),lower($AQ36)))),1,1))&amp;""[a-z,"&amp;" ]+\+[0-9]+ bonus to damage[a-z ]+with such weapons""),""[0-9]+?""),0))
+int(iferror(regexextract(regexextract(Additional!$AR$79,""\+[0-9] bonus to damage[a-z ]+""&amp;lower(array_constrain(filter('Attack Info'!$B$7:$B1180,'Attack Info'!$B$7:$B1180&lt;&gt;"""",isnu"&amp;"mber(find(lower('Attack Info'!$B$7:$B1180),lower($AQ36)))),1,1))),""[0-9]+?""),0))
+if(and(isnumber(find(""melee"",lower($AU36))),iserror(find(""unarmed"",lower($AT36))),iserror(find(""natural"",lower($AT36))),iserror(find(""two-handed"",lower($R36&amp;$BA36)"&amp;"))),dueling,0)
+if(isnumber(find(""thrown"",lower($BA36))),thrown,0)
&amp;""[""&amp;$AS36&amp;""]"","""")
&amp;if(and(PaladinLevel&gt;=11,isnumber(find(""melee"",lower($AU36))),isnumber(find(lower($AT36),""simplemartial""))),""+1d8[radiant]"","""")
&amp;if($AX36&lt;&gt;""-"",""+""&amp;$A"&amp;"X36&amp;""[""&amp;$AY36&amp;""]"","""")
&amp;if(and(isnumber(find(""pact"",lower($AQ36))),isnumber(find(""lifedrinker"",lower(invocations)))),""+""&amp;chaMod&amp;""[necrotic]"","""")
&amp;""|***""&amp;textjoin("" "",True,if(and($AT36&lt;&gt;""-"",$AT36&lt;&gt;""Spell""),$AT36,""""),if($AU36&lt;&gt;""-"""&amp;",$AU36,""""),if($AT36=""Spell"",$AT36,if(and($AT36&lt;&gt;""Unarmed"",$AT36&lt;&gt;""Natural""),""Weapon"","""")))&amp;"" Attack.***""
&amp;if($BA36&lt;&gt;""-"",""
""&amp;$BA36,"""")
&amp;if(and(isnumber(find(""melee"",lower($AU36))),iserror(find(""unarmed"",lower($AT36))),iserror(find("&amp;"""natural"",lower($AT36))),iserror(find(""two-handed"",lower($R36&amp;$AV36)))),""
""&amp;duelingText,"""")
&amp;if(and(or(lower($AT36)=""unarmed"",lower($AT36)=""natural""),unarmedFighting),""
""&amp;unarmedText,"""")
&amp;if(and(""melee""=lower($AU36),lower($AT36)&lt;&gt;""unarm"&amp;"ed"",isnumber(find(""two-handed"",lower($R36&amp;$BA36)))),""
""&amp;gwfText,"""")
&amp;if(and(isnumber(find(""offhand"",lower($R36))),twoWeaponFighting),""
""&amp;twfText,"""")
&amp;if(and(lower($AU36)=""ranged"",lower($AT36)&lt;&gt;""spell""),if(archeryText&lt;&gt;"""",""
""&amp;archeryTe"&amp;"xt,"""")&amp;if(closeQuartersText&lt;&gt;"""",""
""&amp;closeQuartersText,""""),"""")
&amp;if(isnumber(find(""thrown"",lower($BA36))),""
""&amp;thrownText,""""),""                 -""),""+0"","""")"),"                 -")</f>
        <v>                 -</v>
      </c>
      <c r="AD36" s="160"/>
      <c r="AE36" s="160"/>
      <c r="AF36" s="160"/>
      <c r="AG36" s="160"/>
      <c r="AH36" s="160"/>
      <c r="AI36" s="160"/>
      <c r="AJ36" s="160"/>
      <c r="AK36" s="160"/>
      <c r="AL36" s="160"/>
      <c r="AM36" s="160"/>
      <c r="AN36" s="160"/>
      <c r="AP36" s="12"/>
      <c r="AQ36" s="3" t="str">
        <f>IFERROR(__xludf.DUMMYFUNCTION("iferror(array_constrain(split(textjoin(""~"",True,filter('Attack Info'!$B$7:$AN1180,'Attack Info'!$B$7:$B1180&lt;&gt;"""",lower('Attack Info'!$B$7:$B1180)=lower(R36))),""~""),1,12),"""")"),"")</f>
        <v/>
      </c>
      <c r="AR36" s="3"/>
      <c r="AS36" s="3"/>
      <c r="AT36" s="3"/>
      <c r="AU36" s="161"/>
      <c r="AV36" s="3"/>
      <c r="AW36" s="3"/>
      <c r="AX36" s="3"/>
      <c r="AY36" s="3"/>
      <c r="AZ36" s="3"/>
      <c r="BA36" s="3"/>
      <c r="BB36" s="3"/>
      <c r="BC36" s="164" t="str">
        <f t="array" ref="BC36">if(and(strMod&lt;&gt;"-",dexMod&lt;&gt;"-"),if($AQ36&lt;&gt;"",if($AW36&lt;&gt;"-",$AW36,0)
+if(isnumber(find(lower($AZ36),"strdexconintwischa")),if(indirect(lower($AZ36)&amp;"Mod")&lt;&gt;"-",indirect(lower($AZ36)&amp;"Mod"),0),
if(or(isnumber(find("finesse",lower($BA36))),and($AV36&lt;&gt;"〇",MonkLevel&lt;&gt;"",MonkLevel&gt;0)),max(strMod,dexMod),if(lower($AU36)="ranged",dexMod,strMod))),""),"-")</f>
        <v/>
      </c>
    </row>
    <row r="37" ht="15.75" customHeight="1">
      <c r="A37" s="168"/>
      <c r="B37" s="61"/>
      <c r="C37" s="62" t="s">
        <v>73</v>
      </c>
      <c r="E37" s="63"/>
      <c r="F37" s="109" t="str">
        <f>IFERROR(__xludf.DUMMYFUNCTION("""COMPUTED_VALUE"""),"")</f>
        <v/>
      </c>
      <c r="H37" s="124">
        <v>0.0</v>
      </c>
      <c r="I37" s="125">
        <f>IFERROR(__xludf.DUMMYFUNCTION("if(and(proficiencyBonus,indirect(regexextract(lower(concatenate(K37:N37)),""[a-z]{3}"")&amp;""Mod"")&lt;&gt;""-""),
    if(H37&lt;&gt;0,proficiencyBonus*if(H37=""e"",2,1),jackOfAllTrades)
    +indirect(regexextract(lower(concatenate(K37:N37)),""[a-z]{3}"")&amp;""Mod"")
    +"&amp;"$AR$58
    +sum(arrayformula(int(iferror(trim(left(regexextract(lower(filter({BA$32:BA$56;Additional!$BA$3:$BA$24},regexmatch(lower({BA$32:BA$56;Additional!$BA$3:$BA$24}),""[0-9]+ bonus to ""&amp;regexextract(lower(concatenate(K37:N37)),""[a-z]{3}"")&amp;""[a-z]+"&amp;"? .""&amp;lower(J37)))),""[0-9]+ bonus to ""&amp;regexextract(lower(concatenate(K37:N37)),""[a-z]{3}"")&amp;""[a-z]+? .""&amp;lower(J37)),2)),0)))),""-"")"),-1.0)</f>
        <v>-1</v>
      </c>
      <c r="J37" s="126" t="s">
        <v>74</v>
      </c>
      <c r="K37" s="138"/>
      <c r="L37" s="138"/>
      <c r="M37" s="169" t="s">
        <v>75</v>
      </c>
      <c r="N37" s="115"/>
      <c r="P37" s="116"/>
      <c r="R37" s="170"/>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P37" s="12"/>
      <c r="AQ37" s="3"/>
      <c r="AR37" s="3"/>
      <c r="AS37" s="3"/>
      <c r="AT37" s="3"/>
      <c r="AU37" s="3"/>
      <c r="AV37" s="3"/>
      <c r="AW37" s="3"/>
      <c r="AX37" s="3"/>
      <c r="AY37" s="3"/>
      <c r="AZ37" s="3"/>
      <c r="BA37" s="3"/>
      <c r="BB37" s="3"/>
      <c r="BC37" s="3"/>
    </row>
    <row r="38" ht="15.75" customHeight="1">
      <c r="A38" s="108"/>
      <c r="B38" s="61"/>
      <c r="C38" s="71">
        <f>if(C40="-","-",INT((C40-10)/2))</f>
        <v>-1</v>
      </c>
      <c r="E38" s="63"/>
      <c r="F38" s="109" t="str">
        <f>IFERROR(__xludf.DUMMYFUNCTION("""COMPUTED_VALUE"""),"")</f>
        <v/>
      </c>
      <c r="H38" s="124">
        <v>0.0</v>
      </c>
      <c r="I38" s="125">
        <f>IFERROR(__xludf.DUMMYFUNCTION("if(and(proficiencyBonus,indirect(regexextract(lower(concatenate(K38:N38)),""[a-z]{3}"")&amp;""Mod"")&lt;&gt;""-""),
    if(H38&lt;&gt;0,proficiencyBonus*if(H38=""e"",2,1),jackOfAllTrades)
    +indirect(regexextract(lower(concatenate(K38:N38)),""[a-z]{3}"")&amp;""Mod"")
    +"&amp;"$AR$58
    +sum(arrayformula(int(iferror(trim(left(regexextract(lower(filter({BA$32:BA$56;Additional!$BA$3:$BA$24},regexmatch(lower({BA$32:BA$56;Additional!$BA$3:$BA$24}),""[0-9]+ bonus to ""&amp;regexextract(lower(concatenate(K38:N38)),""[a-z]{3}"")&amp;""[a-z]+"&amp;"? .""&amp;lower(J38)))),""[0-9]+ bonus to ""&amp;regexextract(lower(concatenate(K38:N38)),""[a-z]{3}"")&amp;""[a-z]+? .""&amp;lower(J38)),2)),0)))),""-"")"),-1.0)</f>
        <v>-1</v>
      </c>
      <c r="J38" s="126" t="s">
        <v>76</v>
      </c>
      <c r="K38" s="138"/>
      <c r="L38" s="138"/>
      <c r="M38" s="115" t="s">
        <v>77</v>
      </c>
      <c r="N38" s="115"/>
      <c r="P38" s="116"/>
      <c r="R38" s="172"/>
      <c r="S38" s="171"/>
      <c r="T38" s="171"/>
      <c r="U38" s="171"/>
      <c r="V38" s="171"/>
      <c r="W38" s="171"/>
      <c r="X38" s="171"/>
      <c r="Y38" s="171"/>
      <c r="Z38" s="171"/>
      <c r="AA38" s="171"/>
      <c r="AB38" s="171"/>
      <c r="AC38" s="171"/>
      <c r="AD38" s="171"/>
      <c r="AE38" s="171"/>
      <c r="AF38" s="171"/>
      <c r="AG38" s="171"/>
      <c r="AH38" s="171"/>
      <c r="AI38" s="171"/>
      <c r="AJ38" s="171"/>
      <c r="AK38" s="171"/>
      <c r="AL38" s="171"/>
      <c r="AM38" s="171"/>
      <c r="AN38" s="171"/>
      <c r="AP38" s="12"/>
      <c r="AQ38" s="3"/>
      <c r="AR38" s="3"/>
      <c r="AS38" s="3"/>
      <c r="AT38" s="3"/>
      <c r="AU38" s="3"/>
      <c r="AV38" s="3"/>
      <c r="AW38" s="3"/>
      <c r="AX38" s="3"/>
      <c r="AY38" s="3"/>
      <c r="AZ38" s="3"/>
      <c r="BA38" s="3"/>
      <c r="BB38" s="3"/>
      <c r="BC38" s="3"/>
    </row>
    <row r="39" ht="15.75" customHeight="1">
      <c r="A39" s="108"/>
      <c r="B39" s="61"/>
      <c r="E39" s="63"/>
      <c r="F39" s="109" t="str">
        <f>IFERROR(__xludf.DUMMYFUNCTION("""COMPUTED_VALUE"""),"")</f>
        <v/>
      </c>
      <c r="H39" s="124">
        <v>0.0</v>
      </c>
      <c r="I39" s="125">
        <f>IFERROR(__xludf.DUMMYFUNCTION("if(and(proficiencyBonus,indirect(regexextract(lower(concatenate(K39:N39)),""[a-z]{3}"")&amp;""Mod"")&lt;&gt;""-""),
    if(H39&lt;&gt;0,proficiencyBonus*if(H39=""e"",2,1),jackOfAllTrades)
    +indirect(regexextract(lower(concatenate(K39:N39)),""[a-z]{3}"")&amp;""Mod"")
    +"&amp;"$AR$58
    +sum(arrayformula(int(iferror(trim(left(regexextract(lower(filter({BA$32:BA$56;Additional!$BA$3:$BA$24},regexmatch(lower({BA$32:BA$56;Additional!$BA$3:$BA$24}),""[0-9]+ bonus to ""&amp;regexextract(lower(concatenate(K39:N39)),""[a-z]{3}"")&amp;""[a-z]+"&amp;"? .""&amp;lower(J39)))),""[0-9]+ bonus to ""&amp;regexextract(lower(concatenate(K39:N39)),""[a-z]{3}"")&amp;""[a-z]+? .""&amp;lower(J39)),2)),0)))),""-"")"),5.0)</f>
        <v>5</v>
      </c>
      <c r="J39" s="126" t="s">
        <v>78</v>
      </c>
      <c r="K39" s="138"/>
      <c r="L39" s="139" t="s">
        <v>71</v>
      </c>
      <c r="M39" s="115"/>
      <c r="N39" s="115"/>
      <c r="P39" s="116"/>
      <c r="R39" s="172"/>
      <c r="S39" s="171"/>
      <c r="T39" s="171"/>
      <c r="U39" s="171"/>
      <c r="V39" s="171"/>
      <c r="W39" s="171"/>
      <c r="X39" s="171"/>
      <c r="Y39" s="171"/>
      <c r="Z39" s="171"/>
      <c r="AA39" s="171"/>
      <c r="AB39" s="171"/>
      <c r="AC39" s="171"/>
      <c r="AD39" s="171"/>
      <c r="AE39" s="171"/>
      <c r="AF39" s="171"/>
      <c r="AG39" s="171"/>
      <c r="AH39" s="171"/>
      <c r="AI39" s="171"/>
      <c r="AJ39" s="171"/>
      <c r="AK39" s="171"/>
      <c r="AL39" s="171"/>
      <c r="AM39" s="171"/>
      <c r="AN39" s="171"/>
      <c r="AP39" s="12"/>
      <c r="AQ39" s="3"/>
      <c r="AR39" s="3"/>
      <c r="AS39" s="3"/>
      <c r="AT39" s="3"/>
      <c r="AU39" s="3"/>
      <c r="AV39" s="3"/>
      <c r="AW39" s="3"/>
      <c r="AX39" s="3"/>
      <c r="AY39" s="3"/>
      <c r="AZ39" s="3"/>
      <c r="BA39" s="3"/>
      <c r="BB39" s="3"/>
      <c r="BC39" s="3"/>
    </row>
    <row r="40" ht="15.75" customHeight="1">
      <c r="A40" s="108"/>
      <c r="B40" s="61"/>
      <c r="C40" s="80">
        <f>IFERROR(__xludf.DUMMYFUNCTION("if(C41,min(30,max(
iferror(int(trim(right(regexextract(Additional!$AR$79,lower(C37)&amp;""[a-z]+? score is [0-9]+""),2))),0),
iferror(int(trim(right(regexextract(Additional!$AR$79,lower(C37)&amp;""[a-z]+? score changes to [0-9]+""),2))),0),
min(iferror(int(trim(r"&amp;"ight(regexextract(Additional!$AR$79,lower(C37)&amp;""[a-z]+? [a-z ]+maximum of [0-9]+?""),2))),20),
C41+
iferror(if(find(regexextract($AR$5,lower(C37)&amp;"" \+[0-9]""),$AR$5)&lt;iferror(find(""choose"",lower($AR$5)),len($AR$5)),int(right(regexextract($AR$5,lower(C3"&amp;"7)&amp;"" \+[0-9]""),1)),0),0)-
iferror(if(find(regexextract($AR$5,lower(C37)&amp;"" \-[0-9]""),$AR$5)&lt;iferror(find(""choose"",lower($AR$5)),len($AR$5)),int(right(regexextract($AR$5,lower(C37)&amp;"" \-[0-9]""),1)),0),0)
+D41))
+sum(arrayformula(int(iferror(trim(righ"&amp;"t(regexextract(lower(filter({BA$32:BA$56;Additional!$BA$3:$BA$24},regexmatch(lower({BA$32:BA$56;Additional!$BA$3:$BA$24}),lower(C37)&amp;""[a-z]+? score increases by [0-9]+""))),lower(C37)&amp;""[a-z]+? score increases by [0-9]+""),2)),0))))),""-"")"),8.0)</f>
        <v>8</v>
      </c>
      <c r="D40" s="81"/>
      <c r="E40" s="63"/>
      <c r="F40" s="109" t="str">
        <f>IFERROR(__xludf.DUMMYFUNCTION("""COMPUTED_VALUE"""),"")</f>
        <v/>
      </c>
      <c r="H40" s="134">
        <v>1.0</v>
      </c>
      <c r="I40" s="125">
        <f>IFERROR(__xludf.DUMMYFUNCTION("if(and(proficiencyBonus,indirect(regexextract(lower(concatenate(K40:N40)),""[a-z]{3}"")&amp;""Mod"")&lt;&gt;""-""),
    if(H40&lt;&gt;0,proficiencyBonus*if(H40=""e"",2,1),max(jackOfAllTrades,iferror(if(and(vlookup(""Fighter"",$AR$6:$AS$15,2,false)=""Champion"",FighterLev"&amp;"el&gt;=7),ceiling(proficiencyBonus/2),0),0)))
    +indirect(regexextract(lower(concatenate(K40:N40)),""[a-z]{3}"")&amp;""Mod"")
    +$AR$58
    +sum(arrayformula(int(iferror(trim(left(regexextract(lower(filter({BA$32:BA$56;Additional!$BA$3:$BA$24},regexmatch(low"&amp;"er({BA$32:BA$56;Additional!$BA$3:$BA$24}),""[0-9]+ bonus to ""&amp;regexextract(lower(concatenate(K40:N40)),""[a-z]{3}"")&amp;""[a-z]+? .""&amp;lower(J40)))),""[0-9]+ bonus to ""&amp;regexextract(lower(concatenate(K40:N40)),""[a-z]{3}"")&amp;""[a-z]+? .""&amp;lower(J40)),2)),0))"&amp;")),""-"")"),5.0)</f>
        <v>5</v>
      </c>
      <c r="J40" s="126" t="s">
        <v>79</v>
      </c>
      <c r="K40" s="138"/>
      <c r="L40" s="138"/>
      <c r="M40" s="115"/>
      <c r="N40" s="115" t="s">
        <v>80</v>
      </c>
      <c r="P40" s="116"/>
      <c r="R40" s="172"/>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P40" s="12"/>
      <c r="AQ40" s="3"/>
      <c r="AR40" s="3"/>
      <c r="AS40" s="3"/>
      <c r="AT40" s="3"/>
      <c r="AU40" s="3"/>
      <c r="AV40" s="3"/>
      <c r="AW40" s="3"/>
      <c r="AX40" s="3"/>
      <c r="AY40" s="3"/>
      <c r="AZ40" s="3"/>
      <c r="BA40" s="3"/>
      <c r="BB40" s="3"/>
      <c r="BC40" s="3"/>
    </row>
    <row r="41" ht="15.75" customHeight="1">
      <c r="A41" s="108"/>
      <c r="B41" s="141"/>
      <c r="C41" s="173">
        <v>8.0</v>
      </c>
      <c r="D41" s="174"/>
      <c r="E41" s="43"/>
      <c r="F41" s="109" t="str">
        <f>IFERROR(__xludf.DUMMYFUNCTION("""COMPUTED_VALUE"""),"")</f>
        <v/>
      </c>
      <c r="H41" s="124">
        <v>0.0</v>
      </c>
      <c r="I41" s="125">
        <f>IFERROR(__xludf.DUMMYFUNCTION("if(and(proficiencyBonus,indirect(regexextract(lower(concatenate(K41:N41)),""[a-z]{3}"")&amp;""Mod"")&lt;&gt;""-""),
    if(H41&lt;&gt;0,proficiencyBonus*if(H41=""e"",2,1),max(jackOfAllTrades,iferror(if(and(vlookup(""Fighter"",$AR$6:$AS$15,2,false)=""Champion"",FighterLev"&amp;"el&gt;=7),CEILING(proficiencyBonus/2),0),0)))
    +indirect(regexextract(lower(concatenate(K41:N41)),""[a-z]{3}"")&amp;""Mod"")
    +$AR$58
    +sum(arrayformula(int(iferror(trim(left(regexextract(lower(filter({BA$32:BA$56;Additional!$BA$3:$BA$24},regexmatch(low"&amp;"er({BA$32:BA$56;Additional!$BA$3:$BA$24}),""[0-9]+ bonus to ""&amp;regexextract(lower(concatenate(K41:N41)),""[a-z]{3}"")&amp;""[a-z]+? .""&amp;lower(J41)))),""[0-9]+ bonus to ""&amp;regexextract(lower(concatenate(K41:N41)),""[a-z]{3}"")&amp;""[a-z]+? .""&amp;lower(J41)),2)),0))"&amp;")),""-"")"),2.0)</f>
        <v>2</v>
      </c>
      <c r="J41" s="126" t="s">
        <v>81</v>
      </c>
      <c r="K41" s="175"/>
      <c r="L41" s="139" t="s">
        <v>82</v>
      </c>
      <c r="M41" s="115"/>
      <c r="N41" s="115"/>
      <c r="P41" s="147"/>
      <c r="R41" s="172"/>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P41" s="12"/>
      <c r="AQ41" s="3"/>
      <c r="AR41" s="3"/>
      <c r="AS41" s="3"/>
      <c r="AT41" s="3"/>
      <c r="AU41" s="3"/>
      <c r="AV41" s="3"/>
      <c r="AW41" s="3"/>
      <c r="AX41" s="3"/>
      <c r="AY41" s="3"/>
      <c r="AZ41" s="3"/>
      <c r="BA41" s="3"/>
      <c r="BB41" s="3"/>
      <c r="BC41" s="3"/>
    </row>
    <row r="42" ht="15.75" customHeight="1">
      <c r="A42" s="108"/>
      <c r="B42" s="176" t="str">
        <f>IMAGE("https://i.imgur.com/2e2hhyX.png",2)</f>
        <v/>
      </c>
      <c r="C42" s="160"/>
      <c r="D42" s="160"/>
      <c r="E42" s="177"/>
      <c r="F42" s="109" t="str">
        <f>IFERROR(__xludf.DUMMYFUNCTION("""COMPUTED_VALUE"""),"")</f>
        <v/>
      </c>
      <c r="H42" s="124">
        <v>0.0</v>
      </c>
      <c r="I42" s="125">
        <f>IFERROR(__xludf.DUMMYFUNCTION("if(and(proficiencyBonus,indirect(regexextract(lower(concatenate(K42:N42)),""[a-z]{3}"")&amp;""Mod"")&lt;&gt;""-""),
    if(H42&lt;&gt;0,proficiencyBonus*if(H42=""e"",2,1),jackOfAllTrades)
    +indirect(regexextract(lower(concatenate(K42:N42)),""[a-z]{3}"")&amp;""Mod"")
    +"&amp;"$AR$58
    +sum(arrayformula(int(iferror(trim(left(regexextract(lower(filter({BA$32:BA$56;Additional!$BA$3:$BA$24},regexmatch(lower({BA$32:BA$56;Additional!$BA$3:$BA$24}),""[0-9]+ bonus to ""&amp;regexextract(lower(concatenate(K42:N42)),""[a-z]{3}"")&amp;""[a-z]+"&amp;"? .""&amp;lower(J42)))),""[0-9]+ bonus to ""&amp;regexextract(lower(concatenate(K42:N42)),""[a-z]{3}"")&amp;""[a-z]+? .""&amp;lower(J42)),2)),0)))),""-"")"),1.0)</f>
        <v>1</v>
      </c>
      <c r="J42" s="126" t="s">
        <v>83</v>
      </c>
      <c r="K42" s="178"/>
      <c r="L42" s="139" t="s">
        <v>84</v>
      </c>
      <c r="M42" s="115"/>
      <c r="N42" s="115"/>
      <c r="P42" s="116"/>
      <c r="R42" s="172"/>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P42" s="12"/>
      <c r="AQ42" s="3"/>
      <c r="AR42" s="3"/>
      <c r="AS42" s="3"/>
      <c r="AT42" s="3"/>
      <c r="AU42" s="3"/>
      <c r="AV42" s="3"/>
      <c r="AW42" s="3"/>
      <c r="AX42" s="3"/>
      <c r="AY42" s="3"/>
      <c r="AZ42" s="3"/>
      <c r="BA42" s="3"/>
      <c r="BB42" s="3"/>
      <c r="BC42" s="3"/>
    </row>
    <row r="43" ht="15.75" customHeight="1">
      <c r="A43" s="12"/>
      <c r="C43" s="12"/>
      <c r="D43" s="12"/>
      <c r="E43" s="12"/>
      <c r="F43" s="179"/>
      <c r="H43" s="180" t="str">
        <f>if(and($AW$16&lt;&gt;"",countif($H$25:$H$42,"&lt;&gt;0")&lt;if($AJ$11&lt;&gt;"",2,0)+$AS$16),
 if(countif($H$25:$H$42,"&lt;&gt;0")&lt;2,"READ THIS NOTE HERE!",$AQ$17&amp;" SKILL"&amp;if($AQ$17&gt;1,"S","")&amp;" LEFT TO SELECT"),
 "SKILLS")</f>
        <v>SKILLS</v>
      </c>
      <c r="I43" s="31"/>
      <c r="J43" s="31"/>
      <c r="K43" s="31"/>
      <c r="L43" s="31"/>
      <c r="M43" s="31"/>
      <c r="N43" s="31"/>
      <c r="P43" s="181"/>
      <c r="R43" s="182" t="str">
        <f>IFERROR(__xludf.DUMMYFUNCTION("if(counta(iferror(filter(R32:R36,AQ32:AQ36=""""))),""To add custom attacks, go to the 'Attack Info' tab and enter the details for it there."",""ATTACKS &amp; NOTES"")"),"ATTACKS &amp; NOTES")</f>
        <v>ATTACKS &amp; NOTES</v>
      </c>
      <c r="S43" s="31"/>
      <c r="T43" s="31"/>
      <c r="U43" s="31"/>
      <c r="V43" s="31"/>
      <c r="W43" s="31"/>
      <c r="X43" s="31"/>
      <c r="Y43" s="31"/>
      <c r="Z43" s="31"/>
      <c r="AA43" s="31"/>
      <c r="AB43" s="31"/>
      <c r="AC43" s="31"/>
      <c r="AD43" s="31"/>
      <c r="AE43" s="31"/>
      <c r="AF43" s="31"/>
      <c r="AG43" s="31"/>
      <c r="AH43" s="31"/>
      <c r="AI43" s="31"/>
      <c r="AJ43" s="31"/>
      <c r="AK43" s="31"/>
      <c r="AL43" s="31"/>
      <c r="AM43" s="31"/>
      <c r="AN43" s="31"/>
      <c r="AP43" s="12"/>
      <c r="AQ43" s="3" t="str">
        <f>if(AQ44,"**Fighting Style: Archery**
You gain a +2 bonus to attack rolls you make with ranged weapons.","")</f>
        <v/>
      </c>
      <c r="AR43" s="3"/>
      <c r="AS43" s="3" t="str">
        <f>if(AS44,"**Fighting Style: Dueling**
When you are wielding a melee weapon in one hand and no other weapons, you gain a +2 bonus to damage rolls with that weapon.","")</f>
        <v/>
      </c>
      <c r="AT43" s="3" t="str">
        <f>if(AT44&lt;&gt;"","**Fighting Style: Great Weapon Fighting**
When you roll a 1 or 2 on a damage die for an attack you make with a melee weapon that you are wielding with two hands, you can reroll the die and must use the new roll, even if the new roll is a 1 or a 2. The wea"&amp;"pon must have the two-handed or versatile property for you to gain this benefit.","")</f>
        <v/>
      </c>
      <c r="AU43" s="3" t="str">
        <f>if(AU44,"**Fighting Style: Two-Weapon Fighting**
When you engage in two-weapon fighting, you can add your ability modifier to the damage of the second attack.","")</f>
        <v/>
      </c>
      <c r="AV43" s="3"/>
      <c r="AW43" s="3" t="str">
        <f>if(AW44,"**Fighting Style: Close Quarters Shooter**
When making a ranged attack while you are within 5 feet of a hostile creature, you do not have disadvantage on the attack roll. Your ranged attacks ignore half cover and three-quarters cover against targets withi"&amp;"n 30 feet of you. You have a +1 bonus to attack rolls on ranged attacks.","")</f>
        <v/>
      </c>
      <c r="AX43" s="3" t="str">
        <f>if(AX44,"**Fighting Style: Thrown Weapon Fighting**
You can draw a weapon that has the thrown property as part of the attack you make with the weapon.
In addition, when you hit with a ranged attack using a thrown weapon, you gain a +1 bonus to the damage roll.","")</f>
        <v/>
      </c>
      <c r="AY43" s="3" t="str">
        <f>if(AY44,"**Fighting Style: Unarmed Fighting**
Your unarmed strikes can deal bludgeoning damage equal to 1d6 + your Strength modifier. If you strike with two free hands, the d6 becomes a d8.
When you successfully start a grapple, you can deal 1d4 bludgeoning damage"&amp;" to the grappled creature. Until the grapple ends, you can also deal this damage to the creature whenever you hit it with a melee attack.","")</f>
        <v/>
      </c>
      <c r="AZ43" s="3"/>
      <c r="BA43" s="3"/>
      <c r="BB43" s="3"/>
      <c r="BC43" s="3"/>
    </row>
    <row r="44" ht="15.75" customHeight="1">
      <c r="A44" s="12"/>
      <c r="B44" s="4" t="str">
        <f>IMAGE("https://i.imgur.com/wJZp2Dm.png",4, 83, 20)</f>
        <v/>
      </c>
      <c r="E44" s="4" t="str">
        <f>IMAGE("http://i.imgur.com/9FMGmuZ.png",4, 83, 20)</f>
        <v/>
      </c>
      <c r="H44" s="183"/>
      <c r="I44" s="183"/>
      <c r="J44" s="183"/>
      <c r="K44" s="5" t="str">
        <f>if(countif(H25:H42,"0")=18,"Clear bubbles with '0' (zero).","")</f>
        <v/>
      </c>
      <c r="L44" s="5"/>
      <c r="M44" s="5"/>
      <c r="N44" s="5"/>
      <c r="R44" s="5"/>
      <c r="S44" s="5"/>
      <c r="T44" s="5"/>
      <c r="U44" s="5"/>
      <c r="V44" s="5"/>
      <c r="W44" s="5"/>
      <c r="X44" s="151"/>
      <c r="Y44" s="151"/>
      <c r="Z44" s="5"/>
      <c r="AA44" s="5" t="str">
        <f>image("https://i.imgur.com/B5rZApv.png",4, 314, 41)</f>
        <v/>
      </c>
      <c r="AC44" s="9"/>
      <c r="AP44" s="12"/>
      <c r="AQ44" s="3" t="str">
        <f>if(isnumber(find("archery",fightingStyles)),2,"")</f>
        <v/>
      </c>
      <c r="AR44" s="3" t="str">
        <f>if(and(isnumber(find("defense",fightingStyles)),AQ24&lt;&gt;"No Armor"),1,"")</f>
        <v/>
      </c>
      <c r="AS44" s="3" t="str">
        <f>if(and(isnumber(find("dueling",fightingStyles)),iserror(find("offhand",lower(textjoin("",True,$R$32:$R36,Additional!$B$3:$B$13,Additional!$W$3:$W$13))))),2,"")</f>
        <v/>
      </c>
      <c r="AT44" s="3" t="str">
        <f>if(isnumber(find("great weapon",fightingStyles)),"ro&lt;3","")</f>
        <v/>
      </c>
      <c r="AU44" s="3" t="str">
        <f>if(and(isnumber(find("offhand",lower(textjoin("",True,R32:W36,Additional!B3:G13,Additional!W3:AB13)))),isnumber(find("two-weapon",fightingStyles))),1,"")</f>
        <v/>
      </c>
      <c r="AV44" s="3" t="str">
        <f>if(and(isnumber(find("mariner",lower(fightingStyles))),AQ25="",not(isnumber(find("heavy",lower(AT24))))),1,"")</f>
        <v/>
      </c>
      <c r="AW44" s="3" t="str">
        <f>if(isnumber(find("close quarters",fightingStyles)),1,"")</f>
        <v/>
      </c>
      <c r="AX44" s="3" t="str">
        <f>if(isnumber(find("thrown weapon",fightingStyles)),1,"")</f>
        <v/>
      </c>
      <c r="AY44" s="3" t="str">
        <f>if(isnumber(find("unarmed fighting",fightingStyles)),1,"")</f>
        <v/>
      </c>
      <c r="AZ44" s="3" t="str">
        <f>if(and(isnumber(find("offhand",lower(textjoin("",True,R32:W36,Additional!B3:G13,Additional!W3:AB13)))),isnumber(find("dual wielder",feats))),1,"")</f>
        <v/>
      </c>
      <c r="BA44" s="3"/>
      <c r="BB44" s="3"/>
      <c r="BC44" s="3"/>
    </row>
    <row r="45" ht="15.75" customHeight="1">
      <c r="A45" s="12"/>
      <c r="C45" s="184">
        <f>if(C35="-","-",I36+10+if(isnumber(find("observant",feats)),5,0)+if(and(F36&lt;&gt;"",isnumber(find(lower(F36),"advantage"))),5,if(and(F36&lt;&gt;"",isnumber(find(lower(F36),"disadvantage"))),-5,0)))</f>
        <v>14</v>
      </c>
      <c r="D45" s="25"/>
      <c r="F45" s="185" t="s">
        <v>85</v>
      </c>
      <c r="G45" s="25"/>
      <c r="H45" s="25"/>
      <c r="I45" s="25"/>
      <c r="J45" s="25"/>
      <c r="K45" s="25"/>
      <c r="L45" s="25"/>
      <c r="M45" s="25"/>
      <c r="N45" s="25"/>
      <c r="R45" s="186" t="str">
        <f>IFERROR(__xludf.DUMMYFUNCTION("if(race="""",""-"",transpose(arrayformula(trim(split(proper(textjoin("", "",true,regexreplace(lower(AW5),"", [a-z0-9]+ extr[a-z ]+"",""""),arrayformula(iferror(regexextract(proper(AW16),AV69:AV180),"""")),arrayformula(iferror(regexextract(proper(AW16),AW6"&amp;"9:AW180),"""")))),"","")))))"),"Common")</f>
        <v>Common</v>
      </c>
      <c r="S45" s="70"/>
      <c r="T45" s="70"/>
      <c r="U45" s="70"/>
      <c r="V45" s="70"/>
      <c r="W45" s="70"/>
      <c r="X45" s="70"/>
      <c r="Y45" s="70"/>
      <c r="Z45" s="186"/>
      <c r="AC45" s="187"/>
      <c r="AD45" s="25"/>
      <c r="AE45" s="25"/>
      <c r="AF45" s="25"/>
      <c r="AG45" s="25"/>
      <c r="AH45" s="25"/>
      <c r="AI45" s="25"/>
      <c r="AJ45" s="25"/>
      <c r="AK45" s="25"/>
      <c r="AL45" s="25"/>
      <c r="AM45" s="25"/>
      <c r="AN45" s="25"/>
      <c r="AP45" s="12"/>
      <c r="AQ45" s="3" t="str">
        <f>IFERROR(__xludf.DUMMYFUNCTION("iferror(array_constrain(split(textjoin(""~"",True,filter('Gear Info'!$B$7:$AN180,'Gear Info'!$B$7:$B180&lt;&gt;"""",lower('Gear Info'!$B$7:$B180=lower(AC45)))),""~""),1,11),"""")"),"")</f>
        <v/>
      </c>
      <c r="AR45" s="3"/>
      <c r="AS45" s="3"/>
      <c r="AT45" s="3"/>
      <c r="AU45" s="3"/>
      <c r="AV45" s="3"/>
      <c r="AW45" s="3"/>
      <c r="AX45" s="3"/>
      <c r="AY45" s="3"/>
      <c r="AZ45" s="3"/>
      <c r="BA45" s="3"/>
      <c r="BB45" s="3"/>
      <c r="BC45" s="3"/>
    </row>
    <row r="46" ht="15.75" customHeight="1">
      <c r="A46" s="12"/>
      <c r="C46" s="31"/>
      <c r="D46" s="31"/>
      <c r="F46" s="31"/>
      <c r="G46" s="31"/>
      <c r="H46" s="31"/>
      <c r="I46" s="31"/>
      <c r="J46" s="31"/>
      <c r="K46" s="31"/>
      <c r="L46" s="31"/>
      <c r="M46" s="31"/>
      <c r="N46" s="31"/>
      <c r="R46" s="188" t="str">
        <f>IFERROR(__xludf.DUMMYFUNCTION("""COMPUTED_VALUE"""),"Elvish")</f>
        <v>Elvish</v>
      </c>
      <c r="S46" s="74"/>
      <c r="T46" s="74"/>
      <c r="U46" s="74"/>
      <c r="V46" s="74"/>
      <c r="W46" s="74"/>
      <c r="X46" s="74"/>
      <c r="Y46" s="74"/>
      <c r="Z46" s="74"/>
      <c r="AC46" s="189"/>
      <c r="AD46" s="190"/>
      <c r="AE46" s="190"/>
      <c r="AF46" s="190"/>
      <c r="AG46" s="190"/>
      <c r="AH46" s="190"/>
      <c r="AI46" s="190"/>
      <c r="AJ46" s="190"/>
      <c r="AK46" s="190"/>
      <c r="AL46" s="190"/>
      <c r="AM46" s="190"/>
      <c r="AN46" s="190"/>
      <c r="AP46" s="12"/>
      <c r="AQ46" s="3" t="str">
        <f>IFERROR(__xludf.DUMMYFUNCTION("iferror(array_constrain(split(textjoin(""~"",True,filter('Gear Info'!$B$7:$AN180,'Gear Info'!$B$7:$B180&lt;&gt;"""",lower('Gear Info'!$B$7:$B180=lower(AC46)))),""~""),1,11),"""")"),"")</f>
        <v/>
      </c>
      <c r="AR46" s="3"/>
      <c r="AS46" s="3"/>
      <c r="AT46" s="3"/>
      <c r="AU46" s="3"/>
      <c r="AV46" s="3"/>
      <c r="AW46" s="3"/>
      <c r="AX46" s="3"/>
      <c r="AY46" s="3"/>
      <c r="AZ46" s="3"/>
      <c r="BA46" s="3"/>
      <c r="BB46" s="3"/>
      <c r="BC46" s="3"/>
    </row>
    <row r="47" ht="15.75" customHeight="1">
      <c r="A47" s="12"/>
      <c r="F47" s="5"/>
      <c r="G47" s="5"/>
      <c r="H47" s="5"/>
      <c r="I47" s="5"/>
      <c r="J47" s="5"/>
      <c r="K47" s="5"/>
      <c r="L47" s="5"/>
      <c r="M47" s="5"/>
      <c r="N47" s="5"/>
      <c r="R47" s="188" t="s">
        <v>86</v>
      </c>
      <c r="S47" s="74"/>
      <c r="T47" s="74"/>
      <c r="U47" s="74"/>
      <c r="V47" s="74"/>
      <c r="W47" s="74"/>
      <c r="X47" s="74"/>
      <c r="Y47" s="74"/>
      <c r="Z47" s="74"/>
      <c r="AC47" s="189"/>
      <c r="AD47" s="190"/>
      <c r="AE47" s="190"/>
      <c r="AF47" s="190"/>
      <c r="AG47" s="190"/>
      <c r="AH47" s="190"/>
      <c r="AI47" s="190"/>
      <c r="AJ47" s="190"/>
      <c r="AK47" s="190"/>
      <c r="AL47" s="190"/>
      <c r="AM47" s="190"/>
      <c r="AN47" s="190"/>
      <c r="AP47" s="12"/>
      <c r="AQ47" s="3" t="str">
        <f>IFERROR(__xludf.DUMMYFUNCTION("iferror(array_constrain(split(textjoin(""~"",True,filter('Gear Info'!$B$7:$AN180,'Gear Info'!$B$7:$B180&lt;&gt;"""",lower('Gear Info'!$B$7:$B180=lower(AC47)))),""~""),1,11),"""")"),"")</f>
        <v/>
      </c>
      <c r="AR47" s="3"/>
      <c r="AS47" s="3"/>
      <c r="AT47" s="3"/>
      <c r="AU47" s="3"/>
      <c r="AV47" s="3"/>
      <c r="AW47" s="3"/>
      <c r="AX47" s="3"/>
      <c r="AY47" s="3"/>
      <c r="AZ47" s="3"/>
      <c r="BA47" s="3"/>
      <c r="BB47" s="3"/>
      <c r="BC47" s="3"/>
    </row>
    <row r="48" ht="15.75" customHeight="1">
      <c r="A48" s="12"/>
      <c r="B48" s="151" t="str">
        <f>IMAGE("https://i.imgur.com/nf5Ui23.png",4, 818, 20)</f>
        <v/>
      </c>
      <c r="C48" s="191" t="str">
        <f>IMAGE("https://i.imgur.com/IxRRFOd.png",4, 20, 251)</f>
        <v/>
      </c>
      <c r="O48" s="151" t="str">
        <f>IMAGE("https://i.imgur.com/RzcHHl9.png",2)</f>
        <v/>
      </c>
      <c r="R48" s="188" t="s">
        <v>87</v>
      </c>
      <c r="S48" s="74"/>
      <c r="T48" s="74"/>
      <c r="U48" s="74"/>
      <c r="V48" s="74"/>
      <c r="W48" s="74"/>
      <c r="X48" s="74"/>
      <c r="Y48" s="74"/>
      <c r="Z48" s="74"/>
      <c r="AC48" s="189"/>
      <c r="AD48" s="190"/>
      <c r="AE48" s="190"/>
      <c r="AF48" s="190"/>
      <c r="AG48" s="190"/>
      <c r="AH48" s="190"/>
      <c r="AI48" s="190"/>
      <c r="AJ48" s="190"/>
      <c r="AK48" s="190"/>
      <c r="AL48" s="190"/>
      <c r="AM48" s="190"/>
      <c r="AN48" s="190"/>
      <c r="AP48" s="12"/>
      <c r="AQ48" s="3" t="str">
        <f>IFERROR(__xludf.DUMMYFUNCTION("iferror(array_constrain(split(textjoin(""~"",True,filter('Gear Info'!$B$7:$AN180,'Gear Info'!$B$7:$B180&lt;&gt;"""",lower('Gear Info'!$B$7:$B180=lower(AC48)))),""~""),1,11),"""")"),"")</f>
        <v/>
      </c>
      <c r="AR48" s="3"/>
      <c r="AS48" s="3"/>
      <c r="AT48" s="3"/>
      <c r="AU48" s="3"/>
      <c r="AV48" s="3"/>
      <c r="AW48" s="3"/>
      <c r="AX48" s="3"/>
      <c r="AY48" s="3"/>
      <c r="AZ48" s="3"/>
      <c r="BA48" s="3"/>
      <c r="BB48" s="3"/>
      <c r="BC48" s="3"/>
    </row>
    <row r="49" ht="15.75" customHeight="1">
      <c r="A49" s="12"/>
      <c r="C49" s="192" t="s">
        <v>88</v>
      </c>
      <c r="D49" s="70"/>
      <c r="E49" s="70"/>
      <c r="F49" s="70"/>
      <c r="G49" s="70"/>
      <c r="H49" s="70"/>
      <c r="I49" s="193" t="str">
        <f>if(armorProficiencies&lt;&gt;"",
 if(isnumber(find("Heavy",armorProficiencies)),"All Armor"&amp;if(isnumber(find("Shields",armorProficiencies)),", Shields",""),substitute(armorProficiencies," Armor","")),
 "Autofills based on Class &amp; Race")
&amp;if(isnumber(find("NoMetal",AW16))," (druids will not wear armor or use shields made of metal)","")</f>
        <v>None</v>
      </c>
      <c r="J49" s="70"/>
      <c r="K49" s="70"/>
      <c r="L49" s="70"/>
      <c r="M49" s="70"/>
      <c r="N49" s="70"/>
      <c r="R49" s="188" t="s">
        <v>89</v>
      </c>
      <c r="S49" s="74"/>
      <c r="T49" s="74"/>
      <c r="U49" s="74"/>
      <c r="V49" s="74"/>
      <c r="W49" s="74"/>
      <c r="X49" s="74"/>
      <c r="Y49" s="74"/>
      <c r="Z49" s="74"/>
      <c r="AC49" s="189"/>
      <c r="AD49" s="190"/>
      <c r="AE49" s="190"/>
      <c r="AF49" s="190"/>
      <c r="AG49" s="190"/>
      <c r="AH49" s="190"/>
      <c r="AI49" s="190"/>
      <c r="AJ49" s="190"/>
      <c r="AK49" s="190"/>
      <c r="AL49" s="190"/>
      <c r="AM49" s="190"/>
      <c r="AN49" s="190"/>
      <c r="AP49" s="12"/>
      <c r="AQ49" s="3" t="str">
        <f>IFERROR(__xludf.DUMMYFUNCTION("iferror(array_constrain(split(textjoin(""~"",True,filter('Gear Info'!$B$7:$AN180,'Gear Info'!$B$7:$B180&lt;&gt;"""",lower('Gear Info'!$B$7:$B180=lower(AC49)))),""~""),1,11),"""")"),"")</f>
        <v/>
      </c>
      <c r="AR49" s="3"/>
      <c r="AS49" s="3"/>
      <c r="AT49" s="3"/>
      <c r="AU49" s="3"/>
      <c r="AV49" s="3"/>
      <c r="AW49" s="3"/>
      <c r="AX49" s="3"/>
      <c r="AY49" s="3"/>
      <c r="AZ49" s="3"/>
      <c r="BA49" s="3"/>
      <c r="BB49" s="3"/>
      <c r="BC49" s="3"/>
    </row>
    <row r="50" ht="15.75" customHeight="1">
      <c r="A50" s="12"/>
      <c r="C50" s="194" t="s">
        <v>90</v>
      </c>
      <c r="D50" s="171"/>
      <c r="E50" s="171"/>
      <c r="F50" s="171"/>
      <c r="G50" s="171"/>
      <c r="H50" s="171"/>
      <c r="I50" s="195" t="str">
        <f>IFERROR(__xludf.DUMMYFUNCTION("if(AQ64&lt;&gt;"""",if(isnumber(find(""Martial"",AQ64)),""Simple and Martial Weapons"",
 if(isnumber(find(""Simple"",AQ64)),""Simple Weapons""&amp;if(AQ64&lt;&gt;""Simple Weapons"","", "",""""),"""")&amp;textjoin("", "",True,iferror(filter(arrayformula(trim(split(AQ64,"","")"&amp;")),vlookup(arrayformula(trim(split(AQ64,"",""))),'Attack Info'!B7:M180,12,false)&lt;&gt;if(isnumber(find(""Simple"",AQ64)),""Simple"",""""))))),""Autofills based on Class &amp; Race"")"),"Dagger, Dart, Sling, Quarterstaff, Light Crossbow, Longsword, Shortsword, Shortbow, Longbow")</f>
        <v>Dagger, Dart, Sling, Quarterstaff, Light Crossbow, Longsword, Shortsword, Shortbow, Longbow</v>
      </c>
      <c r="J50" s="171"/>
      <c r="K50" s="171"/>
      <c r="L50" s="171"/>
      <c r="M50" s="171"/>
      <c r="N50" s="171"/>
      <c r="R50" s="196"/>
      <c r="S50" s="74"/>
      <c r="T50" s="74"/>
      <c r="U50" s="74"/>
      <c r="V50" s="74"/>
      <c r="W50" s="74"/>
      <c r="X50" s="74"/>
      <c r="Y50" s="74"/>
      <c r="Z50" s="74"/>
      <c r="AC50" s="197"/>
      <c r="AD50" s="198"/>
      <c r="AE50" s="198"/>
      <c r="AF50" s="198"/>
      <c r="AG50" s="198"/>
      <c r="AH50" s="198"/>
      <c r="AI50" s="198"/>
      <c r="AJ50" s="198"/>
      <c r="AK50" s="198"/>
      <c r="AL50" s="198"/>
      <c r="AM50" s="198"/>
      <c r="AN50" s="198"/>
      <c r="AP50" s="12"/>
      <c r="AQ50" s="3" t="str">
        <f>IFERROR(__xludf.DUMMYFUNCTION("iferror(array_constrain(split(textjoin(""~"",True,filter('Gear Info'!$B$7:$AN180,'Gear Info'!$B$7:$B180&lt;&gt;"""",lower('Gear Info'!$B$7:$B180=lower(AC50)))),""~""),1,11),"""")"),"")</f>
        <v/>
      </c>
      <c r="AR50" s="3"/>
      <c r="AS50" s="3"/>
      <c r="AT50" s="3"/>
      <c r="AU50" s="3"/>
      <c r="AV50" s="3"/>
      <c r="AW50" s="3"/>
      <c r="AX50" s="3"/>
      <c r="AY50" s="3"/>
      <c r="AZ50" s="3"/>
      <c r="BA50" s="3"/>
      <c r="BB50" s="3"/>
      <c r="BC50" s="3"/>
    </row>
    <row r="51" ht="15.75" customHeight="1">
      <c r="A51" s="12"/>
      <c r="C51" s="194" t="str">
        <f>IFERROR(__xludf.DUMMYFUNCTION("if(iferror(sum(filter(int(left(regexextract(lower({AZ5;AW6:AW15}),""[0-9] vehicle""),1)),regexmatch(lower({AZ5;AW6:AW15}),""[0-9] vehicle""))))+iferror(vlookup(lower(AJ11),AX69:BB180,5,false))=0,"""",iferror(sum(filter(int(left(regexextract(lower({AZ5;AW6"&amp;":AW15}),""[0-9] vehicle""),1)),regexmatch(lower({AZ5;AW6:AW15}),""[0-9] vehicle""))))+iferror(vlookup(lower(AJ11),AX69:BB180,5,false)))&amp;"" Vehicle Proficienc""&amp;if(iferror(sum(filter(int(left(regexextract(lower({AZ5;AW6:AW15}),""[0-9] vehicle""),1)),regexm"&amp;"atch(lower({AZ5;AW6:AW15}),""[0-9] vehicle""))))+iferror(vlookup(lower(AJ11),AX69:BB180,5,false))&lt;&gt;1,""ies"",""y"")&amp;"":""")," Vehicle Proficiencies:")</f>
        <v> Vehicle Proficiencies:</v>
      </c>
      <c r="D51" s="171"/>
      <c r="E51" s="171"/>
      <c r="F51" s="171"/>
      <c r="G51" s="171"/>
      <c r="H51" s="171"/>
      <c r="I51" s="199"/>
      <c r="J51" s="171"/>
      <c r="K51" s="171"/>
      <c r="L51" s="171"/>
      <c r="M51" s="171"/>
      <c r="N51" s="171"/>
      <c r="R51" s="196"/>
      <c r="S51" s="74"/>
      <c r="T51" s="74"/>
      <c r="U51" s="74"/>
      <c r="V51" s="74"/>
      <c r="W51" s="74"/>
      <c r="X51" s="74"/>
      <c r="Y51" s="74"/>
      <c r="Z51" s="74"/>
      <c r="AC51" s="200"/>
      <c r="AP51" s="12"/>
      <c r="AQ51" s="3" t="str">
        <f>IFERROR(__xludf.DUMMYFUNCTION("iferror(array_constrain(split(textjoin(""~"",True,filter('Gear Info'!$B$7:$AN180,'Gear Info'!$B$7:$B180&lt;&gt;"""",lower('Gear Info'!$B$7:$B180=lower(AC51)))),""~""),1,11),"""")"),"")</f>
        <v/>
      </c>
      <c r="AR51" s="3"/>
      <c r="AS51" s="3"/>
      <c r="AT51" s="3"/>
      <c r="AU51" s="3"/>
      <c r="AV51" s="3"/>
      <c r="AW51" s="3"/>
      <c r="AX51" s="3"/>
      <c r="AY51" s="3"/>
      <c r="AZ51" s="3"/>
      <c r="BA51" s="3"/>
      <c r="BB51" s="3"/>
      <c r="BC51" s="3"/>
    </row>
    <row r="52" ht="15.75" customHeight="1">
      <c r="A52" s="12"/>
      <c r="C52" s="194" t="str">
        <f>IFERROR(__xludf.DUMMYFUNCTION("if(iferror(sum(filter(int(left(regexextract(lower({AZ5;AW6:AW15}),""[0-9] tool""),1)),regexmatch(lower({AZ5;AW6:AW15}),""[0-9] tool""))))
+iferror(sum(filter(int(left(regexextract(lower({AV6:AV15}),""[0-9] tool""),1)),regexmatch(lower({AV6:AV15}),""[0-9] "&amp;"tool""))))
+iferror(vlookup(lower(AJ11),AX69:BA180,4,false))=0,
"""",
iferror(sum(filter(int(left(regexextract(lower({AZ5;AW6:AW15}),""[0-9] tool""),1)),regexmatch(lower({AZ5;AW6:AW15}),""[0-9] tool""))))
+iferror(sum(filter(int(left(regexextract(lower({A"&amp;"V6:AV15}),""[0-9] tool""),1)),regexmatch(lower({AV6:AV15}),""[0-9] tool""))))
+iferror(vlookup(lower(AJ11),AX69:BA180,4,false)))
&amp;"" Tool Proficienc""&amp;if(iferror(sum(filter(int(left(regexextract(lower({AZ5;AW6:AW15}),""[0-9] tool""),1)),regexmatch(lower({"&amp;"AZ5;AW6:AW15}),""[0-9] tool""))))+iferror(vlookup(lower(AJ11),AX69:BA180,4,false))&lt;&gt;1,""ies"",""y"")&amp;"":""")," Tool Proficiencies:")</f>
        <v> Tool Proficiencies:</v>
      </c>
      <c r="D52" s="171"/>
      <c r="E52" s="171"/>
      <c r="F52" s="171"/>
      <c r="G52" s="171"/>
      <c r="H52" s="171"/>
      <c r="I52" s="199"/>
      <c r="J52" s="171"/>
      <c r="K52" s="171"/>
      <c r="L52" s="171"/>
      <c r="M52" s="171"/>
      <c r="N52" s="171"/>
      <c r="R52" s="196"/>
      <c r="S52" s="74"/>
      <c r="T52" s="74"/>
      <c r="U52" s="74"/>
      <c r="V52" s="74"/>
      <c r="W52" s="74"/>
      <c r="X52" s="74"/>
      <c r="Y52" s="74"/>
      <c r="Z52" s="74"/>
      <c r="AC52" s="189"/>
      <c r="AD52" s="190"/>
      <c r="AE52" s="190"/>
      <c r="AF52" s="190"/>
      <c r="AG52" s="190"/>
      <c r="AH52" s="190"/>
      <c r="AI52" s="190"/>
      <c r="AJ52" s="190"/>
      <c r="AK52" s="190"/>
      <c r="AL52" s="190"/>
      <c r="AM52" s="190"/>
      <c r="AN52" s="190"/>
      <c r="AP52" s="12"/>
      <c r="AQ52" s="3" t="str">
        <f>IFERROR(__xludf.DUMMYFUNCTION("iferror(array_constrain(split(textjoin(""~"",True,filter('Gear Info'!$B$7:$AN180,'Gear Info'!$B$7:$B180&lt;&gt;"""",lower('Gear Info'!$B$7:$B180=lower(AC52)))),""~""),1,11),"""")"),"")</f>
        <v/>
      </c>
      <c r="AR52" s="3"/>
      <c r="AS52" s="3"/>
      <c r="AT52" s="3"/>
      <c r="AU52" s="3"/>
      <c r="AV52" s="3"/>
      <c r="AW52" s="3"/>
      <c r="AX52" s="3"/>
      <c r="AY52" s="3"/>
      <c r="AZ52" s="3"/>
      <c r="BA52" s="3"/>
      <c r="BB52" s="3"/>
      <c r="BC52" s="3"/>
    </row>
    <row r="53" ht="15.75" customHeight="1">
      <c r="A53" s="12"/>
      <c r="C53" s="201" t="s">
        <v>91</v>
      </c>
      <c r="D53" s="171"/>
      <c r="E53" s="171"/>
      <c r="F53" s="171"/>
      <c r="G53" s="171"/>
      <c r="H53" s="171"/>
      <c r="I53" s="199"/>
      <c r="J53" s="171"/>
      <c r="K53" s="171"/>
      <c r="L53" s="171"/>
      <c r="M53" s="171"/>
      <c r="N53" s="171"/>
      <c r="R53" s="196"/>
      <c r="S53" s="74"/>
      <c r="T53" s="74"/>
      <c r="U53" s="74"/>
      <c r="V53" s="74"/>
      <c r="W53" s="74"/>
      <c r="X53" s="74"/>
      <c r="Y53" s="74"/>
      <c r="Z53" s="74"/>
      <c r="AC53" s="189"/>
      <c r="AD53" s="190"/>
      <c r="AE53" s="190"/>
      <c r="AF53" s="190"/>
      <c r="AG53" s="190"/>
      <c r="AH53" s="190"/>
      <c r="AI53" s="190"/>
      <c r="AJ53" s="190"/>
      <c r="AK53" s="190"/>
      <c r="AL53" s="190"/>
      <c r="AM53" s="190"/>
      <c r="AN53" s="190"/>
      <c r="AP53" s="12"/>
      <c r="AQ53" s="3" t="str">
        <f>IFERROR(__xludf.DUMMYFUNCTION("iferror(array_constrain(split(textjoin(""~"",True,filter('Gear Info'!$B$7:$AN180,'Gear Info'!$B$7:$B180&lt;&gt;"""",lower('Gear Info'!$B$7:$B180=lower(AC53)))),""~""),1,11),"""")"),"")</f>
        <v/>
      </c>
      <c r="AR53" s="3"/>
      <c r="AS53" s="3"/>
      <c r="AT53" s="3"/>
      <c r="AU53" s="3"/>
      <c r="AV53" s="3"/>
      <c r="AW53" s="3"/>
      <c r="AX53" s="3"/>
      <c r="AY53" s="3"/>
      <c r="AZ53" s="3"/>
      <c r="BA53" s="3"/>
      <c r="BB53" s="3"/>
      <c r="BC53" s="3"/>
    </row>
    <row r="54" ht="15.75" customHeight="1">
      <c r="A54" s="12"/>
      <c r="C54" s="194" t="s">
        <v>92</v>
      </c>
      <c r="D54" s="171"/>
      <c r="E54" s="171"/>
      <c r="F54" s="171"/>
      <c r="G54" s="171"/>
      <c r="H54" s="171"/>
      <c r="I54" s="195" t="str">
        <f>IFERROR(__xludf.DUMMYFUNCTION("iferror(textjoin("", "",True,arrayformula(int(regexextract(filter(arrayformula(trim(split(racialSpeed,"",""))),regexmatch(arrayformula(trim(split(racialSpeed,"",""))),""[A-Za-z]"")),""[0-9]+""))+speedBonus&amp;"" ft. ""&amp;proper(regexextract(filter(arrayformula"&amp;"(trim(split(racialSpeed,"",""))),regexmatch(arrayformula(trim(split(racialSpeed,"",""))),""[A-Za-z]"")),""[A-Za-z]+"")))),""-"")"),"-")</f>
        <v>-</v>
      </c>
      <c r="J54" s="171"/>
      <c r="K54" s="171"/>
      <c r="L54" s="171"/>
      <c r="M54" s="171"/>
      <c r="N54" s="171"/>
      <c r="R54" s="188"/>
      <c r="S54" s="74"/>
      <c r="T54" s="74"/>
      <c r="U54" s="74"/>
      <c r="V54" s="74"/>
      <c r="W54" s="74"/>
      <c r="X54" s="74"/>
      <c r="Y54" s="74"/>
      <c r="Z54" s="74"/>
      <c r="AC54" s="189"/>
      <c r="AD54" s="190"/>
      <c r="AE54" s="190"/>
      <c r="AF54" s="190"/>
      <c r="AG54" s="190"/>
      <c r="AH54" s="190"/>
      <c r="AI54" s="190"/>
      <c r="AJ54" s="190"/>
      <c r="AK54" s="190"/>
      <c r="AL54" s="190"/>
      <c r="AM54" s="190"/>
      <c r="AN54" s="190"/>
      <c r="AP54" s="12"/>
      <c r="AQ54" s="3" t="str">
        <f>IFERROR(__xludf.DUMMYFUNCTION("iferror(array_constrain(split(textjoin(""~"",True,filter('Gear Info'!$B$7:$AN180,'Gear Info'!$B$7:$B180&lt;&gt;"""",lower('Gear Info'!$B$7:$B180=lower(AC54)))),""~""),1,11),"""")"),"")</f>
        <v/>
      </c>
      <c r="AR54" s="3"/>
      <c r="AS54" s="3"/>
      <c r="AT54" s="3"/>
      <c r="AU54" s="3"/>
      <c r="AV54" s="3"/>
      <c r="AW54" s="3"/>
      <c r="AX54" s="3"/>
      <c r="AY54" s="3"/>
      <c r="AZ54" s="3"/>
      <c r="BA54" s="3"/>
      <c r="BB54" s="3"/>
      <c r="BC54" s="3"/>
    </row>
    <row r="55" ht="15.75" customHeight="1">
      <c r="A55" s="12"/>
      <c r="C55" s="194"/>
      <c r="D55" s="171"/>
      <c r="E55" s="171"/>
      <c r="F55" s="171"/>
      <c r="G55" s="171"/>
      <c r="H55" s="171"/>
      <c r="I55" s="195"/>
      <c r="J55" s="171"/>
      <c r="K55" s="171"/>
      <c r="L55" s="171"/>
      <c r="M55" s="171"/>
      <c r="N55" s="171"/>
      <c r="R55" s="196"/>
      <c r="S55" s="74"/>
      <c r="T55" s="74"/>
      <c r="U55" s="74"/>
      <c r="V55" s="74"/>
      <c r="W55" s="74"/>
      <c r="X55" s="74"/>
      <c r="Y55" s="74"/>
      <c r="Z55" s="74"/>
      <c r="AC55" s="189"/>
      <c r="AD55" s="190"/>
      <c r="AE55" s="190"/>
      <c r="AF55" s="190"/>
      <c r="AG55" s="190"/>
      <c r="AH55" s="190"/>
      <c r="AI55" s="190"/>
      <c r="AJ55" s="190"/>
      <c r="AK55" s="190"/>
      <c r="AL55" s="190"/>
      <c r="AM55" s="190"/>
      <c r="AN55" s="190"/>
      <c r="AP55" s="12"/>
      <c r="AQ55" s="3" t="str">
        <f>IFERROR(__xludf.DUMMYFUNCTION("iferror(array_constrain(split(textjoin(""~"",True,filter('Gear Info'!$B$7:$AN180,'Gear Info'!$B$7:$B180&lt;&gt;"""",lower('Gear Info'!$B$7:$B180=lower(AC55)))),""~""),1,11),"""")"),"")</f>
        <v/>
      </c>
      <c r="AR55" s="3"/>
      <c r="AS55" s="3"/>
      <c r="AT55" s="3"/>
      <c r="AU55" s="3"/>
      <c r="AV55" s="3"/>
      <c r="AW55" s="3"/>
      <c r="AX55" s="3"/>
      <c r="AY55" s="3"/>
      <c r="AZ55" s="3"/>
      <c r="BA55" s="3"/>
      <c r="BB55" s="3"/>
      <c r="BC55" s="3"/>
    </row>
    <row r="56" ht="15.75" customHeight="1">
      <c r="A56" s="12"/>
      <c r="C56" s="202" t="s">
        <v>93</v>
      </c>
      <c r="D56" s="85"/>
      <c r="E56" s="85"/>
      <c r="F56" s="85"/>
      <c r="G56" s="85"/>
      <c r="H56" s="85"/>
      <c r="I56" s="85"/>
      <c r="J56" s="85"/>
      <c r="K56" s="85"/>
      <c r="L56" s="85"/>
      <c r="M56" s="85"/>
      <c r="N56" s="85"/>
      <c r="R56" s="196"/>
      <c r="S56" s="74"/>
      <c r="T56" s="74"/>
      <c r="U56" s="74"/>
      <c r="V56" s="74"/>
      <c r="W56" s="74"/>
      <c r="X56" s="74"/>
      <c r="Y56" s="74"/>
      <c r="Z56" s="74"/>
      <c r="AC56" s="197"/>
      <c r="AD56" s="198"/>
      <c r="AE56" s="198"/>
      <c r="AF56" s="198"/>
      <c r="AG56" s="198"/>
      <c r="AH56" s="198"/>
      <c r="AI56" s="198"/>
      <c r="AJ56" s="198"/>
      <c r="AK56" s="198"/>
      <c r="AL56" s="198"/>
      <c r="AM56" s="198"/>
      <c r="AN56" s="198"/>
      <c r="AP56" s="12"/>
      <c r="AQ56" s="3" t="str">
        <f>IFERROR(__xludf.DUMMYFUNCTION("iferror(array_constrain(split(textjoin(""~"",True,filter('Gear Info'!$B$7:$AN180,'Gear Info'!$B$7:$B180&lt;&gt;"""",lower('Gear Info'!$B$7:$B180=lower(AC56)))),""~""),1,11),"""")"),"")</f>
        <v/>
      </c>
      <c r="AR56" s="3"/>
      <c r="AS56" s="3"/>
      <c r="AT56" s="3"/>
      <c r="AU56" s="3"/>
      <c r="AV56" s="3"/>
      <c r="AW56" s="3"/>
      <c r="AX56" s="3"/>
      <c r="AY56" s="3"/>
      <c r="AZ56" s="3"/>
      <c r="BA56" s="3"/>
      <c r="BB56" s="3"/>
      <c r="BC56" s="3"/>
    </row>
    <row r="57" ht="15.75" customHeight="1">
      <c r="A57" s="12"/>
      <c r="C57" s="203" t="str">
        <f>IMAGE("https://i.imgur.com/Prga8uY.png",4, 20, 251)</f>
        <v/>
      </c>
      <c r="R57" s="202" t="str">
        <f>if(AQ58&lt;&gt;"",if(AQ58&gt;counta(R45:Z56),
"SELECT "&amp;AQ58-counta(R45:Z56)&amp;" MORE ",if(AQ58&lt;counta(R45:Z56),"TOO MANY ","")),"")&amp;"LANGUAGE"&amp;if(AQ58-counta(R45:Z56)&lt;&gt;1,"S","")&amp;if(AQ58&lt;&gt;"",if(AQ58&lt;counta(R45:Z56)," SELECTED!",""),"")</f>
        <v>LANGUAGES</v>
      </c>
      <c r="S57" s="85"/>
      <c r="T57" s="85"/>
      <c r="U57" s="85"/>
      <c r="V57" s="85"/>
      <c r="W57" s="85"/>
      <c r="X57" s="85"/>
      <c r="Y57" s="85"/>
      <c r="Z57" s="85"/>
      <c r="AC57" s="180" t="str">
        <f>if(and(AQ65&lt;&gt;"",AQ66&lt;&gt;True),"You aren't proficient with your armor/shield!","EQUIPPED ITEMS")</f>
        <v>EQUIPPED ITEMS</v>
      </c>
      <c r="AD57" s="31"/>
      <c r="AE57" s="31"/>
      <c r="AF57" s="31"/>
      <c r="AG57" s="31"/>
      <c r="AH57" s="31"/>
      <c r="AI57" s="31"/>
      <c r="AJ57" s="31"/>
      <c r="AK57" s="31"/>
      <c r="AL57" s="31"/>
      <c r="AM57" s="31"/>
      <c r="AN57" s="31"/>
      <c r="AP57" s="204"/>
      <c r="AQ57" s="3"/>
      <c r="AR57" s="3"/>
      <c r="AS57" s="3"/>
      <c r="AT57" s="3"/>
      <c r="AU57" s="3"/>
      <c r="AV57" s="3"/>
      <c r="AW57" s="3"/>
      <c r="AX57" s="3"/>
      <c r="AY57" s="3"/>
      <c r="AZ57" s="3"/>
      <c r="BA57" s="164"/>
      <c r="BB57" s="164"/>
      <c r="BC57" s="26"/>
    </row>
    <row r="58" ht="15.75" customHeight="1">
      <c r="A58" s="12"/>
      <c r="C58" s="204"/>
      <c r="R58" s="5"/>
      <c r="S58" s="205"/>
      <c r="T58" s="5"/>
      <c r="U58" s="5"/>
      <c r="V58" s="5"/>
      <c r="W58" s="5"/>
      <c r="X58" s="151"/>
      <c r="Y58" s="151"/>
      <c r="Z58" s="206"/>
      <c r="AC58" s="207"/>
      <c r="AD58" s="208"/>
      <c r="AE58" s="208"/>
      <c r="AF58" s="208"/>
      <c r="AG58" s="208"/>
      <c r="AH58" s="208"/>
      <c r="AI58" s="208"/>
      <c r="AJ58" s="208"/>
      <c r="AK58" s="208"/>
      <c r="AL58" s="208"/>
      <c r="AM58" s="208"/>
      <c r="AN58" s="208"/>
      <c r="AP58" s="204"/>
      <c r="AQ58" s="3">
        <f>IFERROR(__xludf.DUMMYFUNCTION("if(and(level&lt;&gt;"""",race&lt;&gt;""""),
 counta(arrayformula(trim(split(proper(textjoin("", "",true,regexreplace(lower(AW5),"", [a-z0-9]+ extr[a-z ]+"",""""),arrayformula(iferror(regexextract(proper(AW16),AV69:AV180),"""")),arrayformula(iferror(regexextract(prope"&amp;"r(AW16),AW69:AW180),"""")))),"",""))))
+iferror(vlookup(lower(AJ11),AX69:AZ180,3,false),0)
+sum(iferror(filter(int(trim(left(regexextract(lower({AW5:AW15}),""[0-9]+ extra""),2))),regexmatch(lower({AW5:AW15}),""[0-9]+ extra"")),0))
+if(isnumber(find(""ling"&amp;"uist"",feats)),3,0),"""")"),5.0)</f>
        <v>5</v>
      </c>
      <c r="AR58" s="3">
        <f>IFERROR(__xludf.DUMMYFUNCTION("if(and(level&lt;&gt;"""",race&lt;&gt;""""),iferror(sum(split(textjoin(""-"",True,$AY$26,$AY$45:$AY$56),""-"")),0),"""")"),0.0)</f>
        <v>0</v>
      </c>
      <c r="AS58" s="3">
        <f>IFERROR(__xludf.DUMMYFUNCTION("if(and(level&lt;&gt;"""",race&lt;&gt;""""),iferror(sum(split(textjoin(""-"",True,$AZ$26,$AZ$45:$AZ$56),""-"")),0),"""")"),0.0)</f>
        <v>0</v>
      </c>
      <c r="AT58" s="3"/>
      <c r="AU58" s="3"/>
      <c r="AV58" s="3"/>
      <c r="AW58" s="3"/>
      <c r="AX58" s="3"/>
      <c r="AY58" s="3"/>
      <c r="AZ58" s="3"/>
      <c r="BA58" s="164"/>
      <c r="BB58" s="164"/>
      <c r="BC58" s="26"/>
    </row>
    <row r="59" ht="15.75" customHeight="1">
      <c r="A59" s="12"/>
      <c r="C59" s="209" t="s">
        <v>94</v>
      </c>
      <c r="D59" s="70"/>
      <c r="E59" s="70"/>
      <c r="F59" s="70"/>
      <c r="G59" s="70"/>
      <c r="H59" s="70"/>
      <c r="I59" s="70"/>
      <c r="J59" s="70"/>
      <c r="K59" s="70"/>
      <c r="L59" s="70"/>
      <c r="M59" s="70"/>
      <c r="N59" s="70"/>
      <c r="O59" s="210" t="str">
        <f>image("https://i.imgur.com/EAKVSyc.png",4, 566, 20)</f>
        <v/>
      </c>
      <c r="P59" s="211" t="s">
        <v>95</v>
      </c>
      <c r="Q59" s="70"/>
      <c r="R59" s="70"/>
      <c r="S59" s="70"/>
      <c r="T59" s="70"/>
      <c r="U59" s="70"/>
      <c r="V59" s="70"/>
      <c r="W59" s="70"/>
      <c r="X59" s="70"/>
      <c r="Y59" s="70"/>
      <c r="Z59" s="70"/>
      <c r="AA59" s="70"/>
      <c r="AB59" s="212" t="str">
        <f>image("https://i.imgur.com/EAKVSyc.png",4, 566, 20)</f>
        <v/>
      </c>
      <c r="AC59" s="209" t="s">
        <v>96</v>
      </c>
      <c r="AD59" s="70"/>
      <c r="AE59" s="70"/>
      <c r="AF59" s="70"/>
      <c r="AG59" s="70"/>
      <c r="AH59" s="70"/>
      <c r="AI59" s="70"/>
      <c r="AJ59" s="70"/>
      <c r="AK59" s="70"/>
      <c r="AL59" s="70"/>
      <c r="AM59" s="70"/>
      <c r="AN59" s="70"/>
      <c r="AP59" s="204"/>
      <c r="AQ59" s="3" t="str">
        <f>if(BardLevel&gt;=2,floor(0.5*proficiencyBonus,1),"")</f>
        <v/>
      </c>
      <c r="AR59" s="164"/>
      <c r="AS59" s="3"/>
      <c r="AT59" s="3"/>
      <c r="AU59" s="3"/>
      <c r="AV59" s="8"/>
      <c r="AW59" s="3"/>
      <c r="AX59" s="3"/>
      <c r="AY59" s="3"/>
      <c r="AZ59" s="3"/>
      <c r="BA59" s="164"/>
      <c r="BB59" s="164"/>
      <c r="BC59" s="26"/>
    </row>
    <row r="60" ht="15.75" customHeight="1">
      <c r="A60" s="12"/>
      <c r="C60" s="213" t="s">
        <v>97</v>
      </c>
      <c r="D60" s="74"/>
      <c r="E60" s="74"/>
      <c r="F60" s="74"/>
      <c r="G60" s="74"/>
      <c r="H60" s="74"/>
      <c r="I60" s="74"/>
      <c r="J60" s="74"/>
      <c r="K60" s="74"/>
      <c r="L60" s="74"/>
      <c r="M60" s="74"/>
      <c r="N60" s="74"/>
      <c r="P60" s="214" t="s">
        <v>98</v>
      </c>
      <c r="Q60" s="74"/>
      <c r="R60" s="74"/>
      <c r="S60" s="74"/>
      <c r="T60" s="74"/>
      <c r="U60" s="74"/>
      <c r="V60" s="74"/>
      <c r="W60" s="74"/>
      <c r="X60" s="74"/>
      <c r="Y60" s="74"/>
      <c r="Z60" s="74"/>
      <c r="AA60" s="74"/>
      <c r="AC60" s="213" t="s">
        <v>99</v>
      </c>
      <c r="AD60" s="74"/>
      <c r="AE60" s="74"/>
      <c r="AF60" s="74"/>
      <c r="AG60" s="74"/>
      <c r="AH60" s="74"/>
      <c r="AI60" s="74"/>
      <c r="AJ60" s="74"/>
      <c r="AK60" s="74"/>
      <c r="AL60" s="74"/>
      <c r="AM60" s="74"/>
      <c r="AN60" s="74"/>
      <c r="AP60" s="12"/>
      <c r="AQ60" s="3" t="str">
        <f>IFERROR(__xludf.DUMMYFUNCTION("lower(textjoin("" "",true,iferror(filter($C$59:$C$84,isnumber(find(""feat:"",lower($C$59:$C$84)))),""""),iferror(filter($P$59:$P$84,isnumber(find(""feat:"",lower($P$59:$P$84)))),""""),iferror(filter($AC$59:$AC$84,isnumber(find(""feat:"",lower($AC$59:$AC$8"&amp;"4)))),"""")))"),"")</f>
        <v/>
      </c>
      <c r="AR60" s="3"/>
      <c r="AS60" s="3"/>
      <c r="AT60" s="3"/>
      <c r="AU60" s="3"/>
      <c r="AV60" s="3"/>
      <c r="AW60" s="8"/>
      <c r="AX60" s="8"/>
      <c r="AY60" s="3"/>
      <c r="AZ60" s="3"/>
      <c r="BA60" s="164"/>
      <c r="BB60" s="164"/>
      <c r="BC60" s="26"/>
    </row>
    <row r="61" ht="15.75" customHeight="1">
      <c r="A61" s="12"/>
      <c r="C61" s="213" t="s">
        <v>100</v>
      </c>
      <c r="D61" s="74"/>
      <c r="E61" s="74"/>
      <c r="F61" s="74"/>
      <c r="G61" s="74"/>
      <c r="H61" s="74"/>
      <c r="I61" s="74"/>
      <c r="J61" s="74"/>
      <c r="K61" s="74"/>
      <c r="L61" s="74"/>
      <c r="M61" s="74"/>
      <c r="N61" s="74"/>
      <c r="P61" s="214" t="s">
        <v>101</v>
      </c>
      <c r="Q61" s="74"/>
      <c r="R61" s="74"/>
      <c r="S61" s="74"/>
      <c r="T61" s="74"/>
      <c r="U61" s="74"/>
      <c r="V61" s="74"/>
      <c r="W61" s="74"/>
      <c r="X61" s="74"/>
      <c r="Y61" s="74"/>
      <c r="Z61" s="74"/>
      <c r="AA61" s="74"/>
      <c r="AC61" s="215"/>
      <c r="AD61" s="74"/>
      <c r="AE61" s="74"/>
      <c r="AF61" s="74"/>
      <c r="AG61" s="74"/>
      <c r="AH61" s="74"/>
      <c r="AI61" s="74"/>
      <c r="AJ61" s="74"/>
      <c r="AK61" s="74"/>
      <c r="AL61" s="74"/>
      <c r="AM61" s="74"/>
      <c r="AN61" s="74"/>
      <c r="AP61" s="12"/>
      <c r="AQ61" s="3" t="str">
        <f>IFERROR(__xludf.DUMMYFUNCTION("lower(textjoin("" "",true,iferror(filter($C$59:$C$84,isnumber(find(""invocation:"",lower($C$59:$C$84)))),""""),iferror(filter($P$59:$P$84,isnumber(find(""invocation:"",lower($P$59:$P$84)))),""""),iferror(filter($AC$59:$AC$84,isnumber(find(""invocation:"","&amp;"lower($AC$59:$AC$84)))),"""")))"),"")</f>
        <v/>
      </c>
      <c r="AR61" s="3"/>
      <c r="AS61" s="3"/>
      <c r="AT61" s="3"/>
      <c r="AU61" s="216"/>
      <c r="AV61" s="217" t="s">
        <v>102</v>
      </c>
      <c r="AW61" s="217" t="s">
        <v>103</v>
      </c>
      <c r="AX61" s="217" t="s">
        <v>104</v>
      </c>
      <c r="AY61" s="218" t="s">
        <v>105</v>
      </c>
      <c r="AZ61" s="218" t="s">
        <v>106</v>
      </c>
      <c r="BA61" s="218" t="s">
        <v>107</v>
      </c>
      <c r="BB61" s="218" t="s">
        <v>108</v>
      </c>
      <c r="BC61" s="219" t="s">
        <v>109</v>
      </c>
    </row>
    <row r="62" ht="15.75" customHeight="1">
      <c r="A62" s="12"/>
      <c r="C62" s="213" t="s">
        <v>110</v>
      </c>
      <c r="D62" s="74"/>
      <c r="E62" s="74"/>
      <c r="F62" s="74"/>
      <c r="G62" s="74"/>
      <c r="H62" s="74"/>
      <c r="I62" s="74"/>
      <c r="J62" s="74"/>
      <c r="K62" s="74"/>
      <c r="L62" s="74"/>
      <c r="M62" s="74"/>
      <c r="N62" s="74"/>
      <c r="P62" s="214" t="s">
        <v>111</v>
      </c>
      <c r="Q62" s="74"/>
      <c r="R62" s="74"/>
      <c r="S62" s="74"/>
      <c r="T62" s="74"/>
      <c r="U62" s="74"/>
      <c r="V62" s="74"/>
      <c r="W62" s="74"/>
      <c r="X62" s="74"/>
      <c r="Y62" s="74"/>
      <c r="Z62" s="74"/>
      <c r="AA62" s="74"/>
      <c r="AC62" s="215"/>
      <c r="AD62" s="74"/>
      <c r="AE62" s="74"/>
      <c r="AF62" s="74"/>
      <c r="AG62" s="74"/>
      <c r="AH62" s="74"/>
      <c r="AI62" s="74"/>
      <c r="AJ62" s="74"/>
      <c r="AK62" s="74"/>
      <c r="AL62" s="74"/>
      <c r="AM62" s="74"/>
      <c r="AN62" s="74"/>
      <c r="AP62" s="12"/>
      <c r="AQ62" s="3" t="str">
        <f>IFERROR(__xludf.DUMMYFUNCTION("lower(textjoin("" "",true,iferror(filter($C$59:$C$84,isnumber(find(""fighting style:"",lower($C$59:$C$84)))),""""),iferror(filter($P$59:$P$84,isnumber(find(""fighting style:"",lower($P$59:$P$84)))),""""),iferror(filter($AC$59:$AC$84,isnumber(find(""fighti"&amp;"ng style:"",lower($AC$59:$AC$84)))),"""")))"),"")</f>
        <v/>
      </c>
      <c r="AR62" s="3"/>
      <c r="AS62" s="3"/>
      <c r="AT62" s="3"/>
      <c r="AU62" s="216"/>
    </row>
    <row r="63" ht="15.75" customHeight="1">
      <c r="A63" s="12"/>
      <c r="C63" s="215"/>
      <c r="D63" s="74"/>
      <c r="E63" s="74"/>
      <c r="F63" s="74"/>
      <c r="G63" s="74"/>
      <c r="H63" s="74"/>
      <c r="I63" s="74"/>
      <c r="J63" s="74"/>
      <c r="K63" s="74"/>
      <c r="L63" s="74"/>
      <c r="M63" s="74"/>
      <c r="N63" s="74"/>
      <c r="P63" s="220"/>
      <c r="Q63" s="74"/>
      <c r="R63" s="74"/>
      <c r="S63" s="74"/>
      <c r="T63" s="74"/>
      <c r="U63" s="74"/>
      <c r="V63" s="74"/>
      <c r="W63" s="74"/>
      <c r="X63" s="74"/>
      <c r="Y63" s="74"/>
      <c r="Z63" s="74"/>
      <c r="AA63" s="74"/>
      <c r="AC63" s="215"/>
      <c r="AD63" s="74"/>
      <c r="AE63" s="74"/>
      <c r="AF63" s="74"/>
      <c r="AG63" s="74"/>
      <c r="AH63" s="74"/>
      <c r="AI63" s="74"/>
      <c r="AJ63" s="74"/>
      <c r="AK63" s="74"/>
      <c r="AL63" s="74"/>
      <c r="AM63" s="74"/>
      <c r="AN63" s="74"/>
      <c r="AP63" s="12"/>
      <c r="AQ63" s="3" t="str">
        <f>IFERROR(__xludf.DUMMYFUNCTION("lower(textjoin("" "",true,
iferror(filter($C$59:$C$84,regexmatch(lower($C$59:$C$84),""\([a-z ]+\)"")),""""),
iferror(filter($P$59:$P$84,regexmatch(lower($P$59:$P$84),""\([a-z ]+\)"")),""""),
iferror(filter($AC$59:$AC$84,regexmatch(lower($AC$59:$AC$84),""\"&amp;"([a-z ]+\)"")),"""")))"),"telekinetic (ba)")</f>
        <v>telekinetic (ba)</v>
      </c>
      <c r="AR63" s="3"/>
      <c r="AS63" s="3"/>
      <c r="AT63" s="3"/>
      <c r="AU63" s="216"/>
    </row>
    <row r="64" ht="15.75" customHeight="1">
      <c r="A64" s="12"/>
      <c r="C64" s="215"/>
      <c r="D64" s="74"/>
      <c r="E64" s="74"/>
      <c r="F64" s="74"/>
      <c r="G64" s="74"/>
      <c r="H64" s="74"/>
      <c r="I64" s="74"/>
      <c r="J64" s="74"/>
      <c r="K64" s="74"/>
      <c r="L64" s="74"/>
      <c r="M64" s="74"/>
      <c r="N64" s="74"/>
      <c r="P64" s="220"/>
      <c r="Q64" s="74"/>
      <c r="R64" s="74"/>
      <c r="S64" s="74"/>
      <c r="T64" s="74"/>
      <c r="U64" s="74"/>
      <c r="V64" s="74"/>
      <c r="W64" s="74"/>
      <c r="X64" s="74"/>
      <c r="Y64" s="74"/>
      <c r="Z64" s="74"/>
      <c r="AA64" s="74"/>
      <c r="AC64" s="215"/>
      <c r="AD64" s="74"/>
      <c r="AE64" s="74"/>
      <c r="AF64" s="74"/>
      <c r="AG64" s="74"/>
      <c r="AH64" s="74"/>
      <c r="AI64" s="74"/>
      <c r="AJ64" s="74"/>
      <c r="AK64" s="74"/>
      <c r="AL64" s="74"/>
      <c r="AM64" s="74"/>
      <c r="AN64" s="74"/>
      <c r="AP64" s="12"/>
      <c r="AQ64" s="8" t="str">
        <f>IFERROR(__xludf.DUMMYFUNCTION("iferror(textjoin("", "",True,I53,filter(unique(transpose(arrayformula(trim(split(AW16,"",""))))),
iserror(find(""armor"",unique(transpose(arrayformula(trim(lower(split(AW16,"","")))))))),
iserror(find(""shield"",unique(transpose(arrayformula(trim(lower(sp"&amp;"lit(AW16,"","")))))))),
iserror(find(""skill"",unique(transpose(arrayformula(trim(lower(split(AW16,"","")))))))),
iserror(find(""tool"",unique(transpose(arrayformula(trim(lower(split(AW16,"","")))))))),
iserror(find(""extra"",unique(transpose(arrayformula"&amp;"(trim(lower(split(AW16,"","")))))))),
iserror(find(""nometal"",unique(transpose(arrayformula(trim(lower(split(AW16,"","")))))))),
iserror(find(""vehicle"",unique(transpose(arrayformula(trim(lower(split(AW16,"","")))))))),
iserror(find(""damage"",unique(tr"&amp;"anspose(arrayformula(trim(lower(split(AW16,"","")))))))),
iserror(find(unique(transpose(arrayformula(trim(lower(split(AW16,"","")))))),lower(textjoin("" "",true,AV69:AW180)))),
unique(transpose(arrayformula(trim(lower(split(AW16,"",""))))))&lt;&gt;""-"",
iserro"&amp;"r(find(unique(transpose(arrayformula(trim(split(AW16,"",""))))),textjoin(""~"",True,J17:J42))),
not(regexmatch(unique(transpose(arrayformula(trim(split(lower(AW16),"",""))))),""choose [0-9]""))),
iferror(filter('Attack Info'!B7:B180,regexmatch(Additional!"&amp;"AR79,""proficiency with[a-z ]+""&amp;lower('Attack Info'!B7:B180))),"""")),"""")"),"Dagger, Dart, Sling, Quarterstaff, Light Crossbow, Longsword, Shortsword, Shortbow, Longbow")</f>
        <v>Dagger, Dart, Sling, Quarterstaff, Light Crossbow, Longsword, Shortsword, Shortbow, Longbow</v>
      </c>
      <c r="AR64" s="3"/>
      <c r="AS64" s="8"/>
      <c r="AT64" s="8"/>
      <c r="AU64" s="216"/>
    </row>
    <row r="65" ht="15.75" customHeight="1">
      <c r="A65" s="12"/>
      <c r="C65" s="215"/>
      <c r="D65" s="74"/>
      <c r="E65" s="74"/>
      <c r="F65" s="74"/>
      <c r="G65" s="74"/>
      <c r="H65" s="74"/>
      <c r="I65" s="74"/>
      <c r="J65" s="74"/>
      <c r="K65" s="74"/>
      <c r="L65" s="74"/>
      <c r="M65" s="74"/>
      <c r="N65" s="74"/>
      <c r="P65" s="220"/>
      <c r="Q65" s="74"/>
      <c r="R65" s="74"/>
      <c r="S65" s="74"/>
      <c r="T65" s="74"/>
      <c r="U65" s="74"/>
      <c r="V65" s="74"/>
      <c r="W65" s="74"/>
      <c r="X65" s="74"/>
      <c r="Y65" s="74"/>
      <c r="Z65" s="74"/>
      <c r="AA65" s="74"/>
      <c r="AC65" s="215"/>
      <c r="AD65" s="74"/>
      <c r="AE65" s="74"/>
      <c r="AF65" s="74"/>
      <c r="AG65" s="74"/>
      <c r="AH65" s="74"/>
      <c r="AI65" s="74"/>
      <c r="AJ65" s="74"/>
      <c r="AK65" s="74"/>
      <c r="AL65" s="74"/>
      <c r="AM65" s="74"/>
      <c r="AN65" s="74"/>
      <c r="AP65" s="12"/>
      <c r="AQ65" s="3" t="str">
        <f>IFERROR(__xludf.DUMMYFUNCTION("if(AQ6&lt;&gt;"""",iferror(textjoin("", "",True,iferror(filter(unique(transpose(arrayformula(trim(split(AW16,"",""))))),
isnumber(find(""armor"",unique(transpose(arrayformula(trim(lower(split(AW16,"",""))))))))+
isnumber(find(""shield"",unique(transpose(arrayfo"&amp;"rmula(trim(lower(split(AW16,"","")))))))),
iserror(find(unique(transpose(arrayformula(trim(split(AW16,"",""))))),textjoin(""~"",True,J17:J42))),
not(regexmatch(unique(transpose(arrayformula(trim(split(lower(AW16),"",""))))),""choose [0-9]""))),""None""),
"&amp;"if(isnumber(find(""heavily armored"",feats)),""Heavy Armor"",""""),
if(isnumber(find(""moderately armored"",feats)),""Medium Armor, Shields"",""""),
if(isnumber(find(""lightly armored"",feats)),""Light Armor"",""""),
if(isnumber(find(""heavy armor"",lower"&amp;"(I53))),"" Heavy Armor"",""""),
if(isnumber(find(""medium"",lower(I53))),"" Medium Armor"",""""),
if(isnumber(find(""shield"",lower(I53))),"" Shields"","""")),""None""),"""")"),"None")</f>
        <v>None</v>
      </c>
      <c r="AR65" s="3"/>
      <c r="AS65" s="3"/>
      <c r="AT65" s="3"/>
      <c r="AU65" s="216"/>
    </row>
    <row r="66" ht="15.75" customHeight="1">
      <c r="A66" s="12"/>
      <c r="C66" s="215"/>
      <c r="D66" s="74"/>
      <c r="E66" s="74"/>
      <c r="F66" s="74"/>
      <c r="G66" s="74"/>
      <c r="H66" s="74"/>
      <c r="I66" s="74"/>
      <c r="J66" s="74"/>
      <c r="K66" s="74"/>
      <c r="L66" s="74"/>
      <c r="M66" s="74"/>
      <c r="N66" s="74"/>
      <c r="P66" s="220"/>
      <c r="Q66" s="74"/>
      <c r="R66" s="74"/>
      <c r="S66" s="74"/>
      <c r="T66" s="74"/>
      <c r="U66" s="74"/>
      <c r="V66" s="74"/>
      <c r="W66" s="74"/>
      <c r="X66" s="74"/>
      <c r="Y66" s="74"/>
      <c r="Z66" s="74"/>
      <c r="AA66" s="74"/>
      <c r="AC66" s="215"/>
      <c r="AD66" s="74"/>
      <c r="AE66" s="74"/>
      <c r="AF66" s="74"/>
      <c r="AG66" s="74"/>
      <c r="AH66" s="74"/>
      <c r="AI66" s="74"/>
      <c r="AJ66" s="74"/>
      <c r="AK66" s="74"/>
      <c r="AL66" s="74"/>
      <c r="AM66" s="74"/>
      <c r="AN66" s="74"/>
      <c r="AP66" s="12"/>
      <c r="AQ66" s="3" t="b">
        <f>if(and(isnumber(find(lower(AT24),lower(armorProficiencies))),isnumber(find(lower(AT25),lower(armorProficiencies)))),True,"")</f>
        <v>1</v>
      </c>
      <c r="AR66" s="3"/>
      <c r="AS66" s="3"/>
      <c r="AT66" s="3"/>
      <c r="AU66" s="216"/>
    </row>
    <row r="67" ht="15.75" customHeight="1">
      <c r="A67" s="12"/>
      <c r="C67" s="215"/>
      <c r="D67" s="74"/>
      <c r="E67" s="74"/>
      <c r="F67" s="74"/>
      <c r="G67" s="74"/>
      <c r="H67" s="74"/>
      <c r="I67" s="74"/>
      <c r="J67" s="74"/>
      <c r="K67" s="74"/>
      <c r="L67" s="74"/>
      <c r="M67" s="74"/>
      <c r="N67" s="74"/>
      <c r="P67" s="220"/>
      <c r="Q67" s="74"/>
      <c r="R67" s="74"/>
      <c r="S67" s="74"/>
      <c r="T67" s="74"/>
      <c r="U67" s="74"/>
      <c r="V67" s="74"/>
      <c r="W67" s="74"/>
      <c r="X67" s="74"/>
      <c r="Y67" s="74"/>
      <c r="Z67" s="74"/>
      <c r="AA67" s="74"/>
      <c r="AC67" s="215"/>
      <c r="AD67" s="74"/>
      <c r="AE67" s="74"/>
      <c r="AF67" s="74"/>
      <c r="AG67" s="74"/>
      <c r="AH67" s="74"/>
      <c r="AI67" s="74"/>
      <c r="AJ67" s="74"/>
      <c r="AK67" s="74"/>
      <c r="AL67" s="74"/>
      <c r="AM67" s="74"/>
      <c r="AN67" s="74"/>
      <c r="AP67" s="12"/>
      <c r="AQ67" s="3"/>
      <c r="AR67" s="3"/>
      <c r="AS67" s="3"/>
      <c r="AT67" s="3"/>
      <c r="AU67" s="216"/>
    </row>
    <row r="68" ht="15.75" customHeight="1">
      <c r="A68" s="12"/>
      <c r="C68" s="215"/>
      <c r="D68" s="74"/>
      <c r="E68" s="74"/>
      <c r="F68" s="74"/>
      <c r="G68" s="74"/>
      <c r="H68" s="74"/>
      <c r="I68" s="74"/>
      <c r="J68" s="74"/>
      <c r="K68" s="74"/>
      <c r="L68" s="74"/>
      <c r="M68" s="74"/>
      <c r="N68" s="74"/>
      <c r="P68" s="220"/>
      <c r="Q68" s="74"/>
      <c r="R68" s="74"/>
      <c r="S68" s="74"/>
      <c r="T68" s="74"/>
      <c r="U68" s="74"/>
      <c r="V68" s="74"/>
      <c r="W68" s="74"/>
      <c r="X68" s="74"/>
      <c r="Y68" s="74"/>
      <c r="Z68" s="74"/>
      <c r="AA68" s="74"/>
      <c r="AC68" s="215"/>
      <c r="AD68" s="74"/>
      <c r="AE68" s="74"/>
      <c r="AF68" s="74"/>
      <c r="AG68" s="74"/>
      <c r="AH68" s="74"/>
      <c r="AI68" s="74"/>
      <c r="AJ68" s="74"/>
      <c r="AK68" s="74"/>
      <c r="AL68" s="74"/>
      <c r="AM68" s="74"/>
      <c r="AN68" s="74"/>
      <c r="AP68" s="12"/>
      <c r="AQ68" s="3"/>
      <c r="AR68" s="221"/>
      <c r="AS68" s="222"/>
      <c r="AT68" s="3"/>
      <c r="AU68" s="216"/>
    </row>
    <row r="69" ht="15.75" customHeight="1">
      <c r="A69" s="12"/>
      <c r="C69" s="215"/>
      <c r="D69" s="74"/>
      <c r="E69" s="74"/>
      <c r="F69" s="74"/>
      <c r="G69" s="74"/>
      <c r="H69" s="74"/>
      <c r="I69" s="74"/>
      <c r="J69" s="74"/>
      <c r="K69" s="74"/>
      <c r="L69" s="74"/>
      <c r="M69" s="74"/>
      <c r="N69" s="74"/>
      <c r="P69" s="220"/>
      <c r="Q69" s="74"/>
      <c r="R69" s="74"/>
      <c r="S69" s="74"/>
      <c r="T69" s="74"/>
      <c r="U69" s="74"/>
      <c r="V69" s="74"/>
      <c r="W69" s="74"/>
      <c r="X69" s="74"/>
      <c r="Y69" s="74"/>
      <c r="Z69" s="74"/>
      <c r="AA69" s="74"/>
      <c r="AC69" s="215"/>
      <c r="AD69" s="74"/>
      <c r="AE69" s="74"/>
      <c r="AF69" s="74"/>
      <c r="AG69" s="74"/>
      <c r="AH69" s="74"/>
      <c r="AI69" s="74"/>
      <c r="AJ69" s="74"/>
      <c r="AK69" s="74"/>
      <c r="AL69" s="74"/>
      <c r="AM69" s="74"/>
      <c r="AN69" s="74"/>
      <c r="AP69" s="12"/>
      <c r="AQ69" s="3"/>
      <c r="AR69" s="221"/>
      <c r="AS69" s="222"/>
      <c r="AT69" s="3"/>
      <c r="AU69" s="3"/>
      <c r="AV69" s="3" t="str">
        <f>IFERROR(__xludf.DUMMYFUNCTION("filter(unique(transpose(arrayformula(trim(split(textjoin("", "",true,proper('Race Info'!X7:X180)),"",""))))),not(regexmatch(lower(unique(transpose(arrayformula(trim(split(textjoin("", "",true,'Race Info'!X7:X180),"","")))))),""[0-9] extra"")))"),"Common")</f>
        <v>Common</v>
      </c>
      <c r="AW69" s="3" t="s">
        <v>112</v>
      </c>
      <c r="AX69" s="3" t="s">
        <v>113</v>
      </c>
      <c r="AY69" s="3" t="s">
        <v>114</v>
      </c>
      <c r="AZ69" s="2">
        <v>2.0</v>
      </c>
      <c r="BA69" s="3">
        <v>0.0</v>
      </c>
      <c r="BB69" s="3">
        <v>0.0</v>
      </c>
      <c r="BC69" s="26" t="str">
        <f t="array" ref="BC69:BC291">sort({AV70:AV180;AW69:AW180})</f>
        <v>Deep Speech</v>
      </c>
    </row>
    <row r="70" ht="15.75" customHeight="1">
      <c r="A70" s="12"/>
      <c r="C70" s="215"/>
      <c r="D70" s="74"/>
      <c r="E70" s="74"/>
      <c r="F70" s="74"/>
      <c r="G70" s="74"/>
      <c r="H70" s="74"/>
      <c r="I70" s="74"/>
      <c r="J70" s="74"/>
      <c r="K70" s="74"/>
      <c r="L70" s="74"/>
      <c r="M70" s="74"/>
      <c r="N70" s="74"/>
      <c r="P70" s="220"/>
      <c r="Q70" s="74"/>
      <c r="R70" s="74"/>
      <c r="S70" s="74"/>
      <c r="T70" s="74"/>
      <c r="U70" s="74"/>
      <c r="V70" s="74"/>
      <c r="W70" s="74"/>
      <c r="X70" s="74"/>
      <c r="Y70" s="74"/>
      <c r="Z70" s="74"/>
      <c r="AA70" s="74"/>
      <c r="AC70" s="215"/>
      <c r="AD70" s="74"/>
      <c r="AE70" s="74"/>
      <c r="AF70" s="74"/>
      <c r="AG70" s="74"/>
      <c r="AH70" s="74"/>
      <c r="AI70" s="74"/>
      <c r="AJ70" s="74"/>
      <c r="AK70" s="74"/>
      <c r="AL70" s="74"/>
      <c r="AM70" s="74"/>
      <c r="AN70" s="74"/>
      <c r="AP70" s="12"/>
      <c r="AQ70" s="3"/>
      <c r="AR70" s="221"/>
      <c r="AS70" s="222"/>
      <c r="AT70" s="221"/>
      <c r="AU70" s="3"/>
      <c r="AV70" s="3" t="str">
        <f>IFERROR(__xludf.DUMMYFUNCTION("""COMPUTED_VALUE"""),"Dwarvish")</f>
        <v>Dwarvish</v>
      </c>
      <c r="AW70" s="3" t="s">
        <v>115</v>
      </c>
      <c r="AX70" s="3" t="s">
        <v>116</v>
      </c>
      <c r="AY70" s="223" t="s">
        <v>117</v>
      </c>
      <c r="AZ70" s="2">
        <v>0.0</v>
      </c>
      <c r="BA70" s="3">
        <v>2.0</v>
      </c>
      <c r="BB70" s="3">
        <v>0.0</v>
      </c>
      <c r="BC70" s="224" t="s">
        <v>87</v>
      </c>
    </row>
    <row r="71" ht="15.75" customHeight="1">
      <c r="A71" s="12"/>
      <c r="C71" s="225"/>
      <c r="D71" s="74"/>
      <c r="E71" s="74"/>
      <c r="F71" s="74"/>
      <c r="G71" s="74"/>
      <c r="H71" s="74"/>
      <c r="I71" s="74"/>
      <c r="J71" s="74"/>
      <c r="K71" s="74"/>
      <c r="L71" s="74"/>
      <c r="M71" s="74"/>
      <c r="N71" s="74"/>
      <c r="P71" s="220"/>
      <c r="Q71" s="74"/>
      <c r="R71" s="74"/>
      <c r="S71" s="74"/>
      <c r="T71" s="74"/>
      <c r="U71" s="74"/>
      <c r="V71" s="74"/>
      <c r="W71" s="74"/>
      <c r="X71" s="74"/>
      <c r="Y71" s="74"/>
      <c r="Z71" s="74"/>
      <c r="AA71" s="74"/>
      <c r="AC71" s="215"/>
      <c r="AD71" s="74"/>
      <c r="AE71" s="74"/>
      <c r="AF71" s="74"/>
      <c r="AG71" s="74"/>
      <c r="AH71" s="74"/>
      <c r="AI71" s="74"/>
      <c r="AJ71" s="74"/>
      <c r="AK71" s="74"/>
      <c r="AL71" s="74"/>
      <c r="AM71" s="74"/>
      <c r="AN71" s="74"/>
      <c r="AP71" s="12"/>
      <c r="AQ71" s="3"/>
      <c r="AR71" s="221"/>
      <c r="AS71" s="222"/>
      <c r="AT71" s="221"/>
      <c r="AU71" s="3"/>
      <c r="AV71" s="3" t="str">
        <f>IFERROR(__xludf.DUMMYFUNCTION("""COMPUTED_VALUE"""),"Elvish")</f>
        <v>Elvish</v>
      </c>
      <c r="AW71" s="223" t="s">
        <v>118</v>
      </c>
      <c r="AX71" s="3" t="s">
        <v>119</v>
      </c>
      <c r="AY71" s="3" t="s">
        <v>120</v>
      </c>
      <c r="AZ71" s="2">
        <v>0.0</v>
      </c>
      <c r="BA71" s="3">
        <v>2.0</v>
      </c>
      <c r="BB71" s="3">
        <v>0.0</v>
      </c>
      <c r="BC71" s="26" t="s">
        <v>115</v>
      </c>
    </row>
    <row r="72" ht="15.75" customHeight="1">
      <c r="A72" s="12"/>
      <c r="C72" s="225"/>
      <c r="D72" s="74"/>
      <c r="E72" s="74"/>
      <c r="F72" s="74"/>
      <c r="G72" s="74"/>
      <c r="H72" s="74"/>
      <c r="I72" s="74"/>
      <c r="J72" s="74"/>
      <c r="K72" s="74"/>
      <c r="L72" s="74"/>
      <c r="M72" s="74"/>
      <c r="N72" s="74"/>
      <c r="P72" s="220"/>
      <c r="Q72" s="74"/>
      <c r="R72" s="74"/>
      <c r="S72" s="74"/>
      <c r="T72" s="74"/>
      <c r="U72" s="74"/>
      <c r="V72" s="74"/>
      <c r="W72" s="74"/>
      <c r="X72" s="74"/>
      <c r="Y72" s="74"/>
      <c r="Z72" s="74"/>
      <c r="AA72" s="74"/>
      <c r="AC72" s="215"/>
      <c r="AD72" s="74"/>
      <c r="AE72" s="74"/>
      <c r="AF72" s="74"/>
      <c r="AG72" s="74"/>
      <c r="AH72" s="74"/>
      <c r="AI72" s="74"/>
      <c r="AJ72" s="74"/>
      <c r="AK72" s="74"/>
      <c r="AL72" s="74"/>
      <c r="AM72" s="74"/>
      <c r="AN72" s="74"/>
      <c r="AP72" s="12"/>
      <c r="AQ72" s="3"/>
      <c r="AR72" s="221"/>
      <c r="AS72" s="222"/>
      <c r="AT72" s="221"/>
      <c r="AU72" s="3"/>
      <c r="AV72" s="3" t="str">
        <f>IFERROR(__xludf.DUMMYFUNCTION("""COMPUTED_VALUE"""),"Halfling")</f>
        <v>Halfling</v>
      </c>
      <c r="AW72" s="223" t="s">
        <v>89</v>
      </c>
      <c r="AX72" s="3" t="s">
        <v>121</v>
      </c>
      <c r="AY72" s="3" t="s">
        <v>122</v>
      </c>
      <c r="AZ72" s="2">
        <v>0.0</v>
      </c>
      <c r="BA72" s="3">
        <v>2.0</v>
      </c>
      <c r="BB72" s="3">
        <v>0.0</v>
      </c>
      <c r="BC72" s="26" t="s">
        <v>86</v>
      </c>
    </row>
    <row r="73" ht="15.75" customHeight="1">
      <c r="A73" s="12"/>
      <c r="C73" s="226"/>
      <c r="D73" s="74"/>
      <c r="E73" s="74"/>
      <c r="F73" s="74"/>
      <c r="G73" s="74"/>
      <c r="H73" s="74"/>
      <c r="I73" s="74"/>
      <c r="J73" s="74"/>
      <c r="K73" s="74"/>
      <c r="L73" s="74"/>
      <c r="M73" s="74"/>
      <c r="N73" s="74"/>
      <c r="P73" s="220"/>
      <c r="Q73" s="74"/>
      <c r="R73" s="74"/>
      <c r="S73" s="74"/>
      <c r="T73" s="74"/>
      <c r="U73" s="74"/>
      <c r="V73" s="74"/>
      <c r="W73" s="74"/>
      <c r="X73" s="74"/>
      <c r="Y73" s="74"/>
      <c r="Z73" s="74"/>
      <c r="AA73" s="74"/>
      <c r="AC73" s="215"/>
      <c r="AD73" s="74"/>
      <c r="AE73" s="74"/>
      <c r="AF73" s="74"/>
      <c r="AG73" s="74"/>
      <c r="AH73" s="74"/>
      <c r="AI73" s="74"/>
      <c r="AJ73" s="74"/>
      <c r="AK73" s="74"/>
      <c r="AL73" s="74"/>
      <c r="AM73" s="74"/>
      <c r="AN73" s="74"/>
      <c r="AP73" s="12"/>
      <c r="AQ73" s="3"/>
      <c r="AR73" s="221"/>
      <c r="AS73" s="222"/>
      <c r="AT73" s="221"/>
      <c r="AU73" s="3"/>
      <c r="AV73" s="3" t="str">
        <f>IFERROR(__xludf.DUMMYFUNCTION("""COMPUTED_VALUE"""),"Draconic")</f>
        <v>Draconic</v>
      </c>
      <c r="AW73" s="3"/>
      <c r="AX73" s="3" t="s">
        <v>123</v>
      </c>
      <c r="AY73" s="3" t="s">
        <v>124</v>
      </c>
      <c r="AZ73" s="2">
        <v>0.0</v>
      </c>
      <c r="BA73" s="223">
        <v>1.0</v>
      </c>
      <c r="BB73" s="223">
        <v>1.0</v>
      </c>
      <c r="BC73" s="26" t="s">
        <v>125</v>
      </c>
    </row>
    <row r="74" ht="15.75" customHeight="1">
      <c r="A74" s="12"/>
      <c r="C74" s="226"/>
      <c r="D74" s="74"/>
      <c r="E74" s="74"/>
      <c r="F74" s="74"/>
      <c r="G74" s="74"/>
      <c r="H74" s="74"/>
      <c r="I74" s="74"/>
      <c r="J74" s="74"/>
      <c r="K74" s="74"/>
      <c r="L74" s="74"/>
      <c r="M74" s="74"/>
      <c r="N74" s="74"/>
      <c r="P74" s="220"/>
      <c r="Q74" s="74"/>
      <c r="R74" s="74"/>
      <c r="S74" s="74"/>
      <c r="T74" s="74"/>
      <c r="U74" s="74"/>
      <c r="V74" s="74"/>
      <c r="W74" s="74"/>
      <c r="X74" s="74"/>
      <c r="Y74" s="74"/>
      <c r="Z74" s="74"/>
      <c r="AA74" s="74"/>
      <c r="AC74" s="215"/>
      <c r="AD74" s="74"/>
      <c r="AE74" s="74"/>
      <c r="AF74" s="74"/>
      <c r="AG74" s="74"/>
      <c r="AH74" s="74"/>
      <c r="AI74" s="74"/>
      <c r="AJ74" s="74"/>
      <c r="AK74" s="74"/>
      <c r="AL74" s="74"/>
      <c r="AM74" s="74"/>
      <c r="AN74" s="74"/>
      <c r="AP74" s="12"/>
      <c r="AQ74" s="3"/>
      <c r="AR74" s="221"/>
      <c r="AS74" s="222"/>
      <c r="AT74" s="221"/>
      <c r="AU74" s="3"/>
      <c r="AV74" s="3" t="str">
        <f>IFERROR(__xludf.DUMMYFUNCTION("""COMPUTED_VALUE"""),"Gnomish")</f>
        <v>Gnomish</v>
      </c>
      <c r="AW74" s="3"/>
      <c r="AX74" s="3" t="s">
        <v>126</v>
      </c>
      <c r="AY74" s="3" t="s">
        <v>127</v>
      </c>
      <c r="AZ74" s="3">
        <v>1.0</v>
      </c>
      <c r="BA74" s="3">
        <v>1.0</v>
      </c>
      <c r="BB74" s="3">
        <v>0.0</v>
      </c>
      <c r="BC74" s="26" t="s">
        <v>89</v>
      </c>
    </row>
    <row r="75" ht="15.75" customHeight="1">
      <c r="A75" s="12"/>
      <c r="C75" s="226"/>
      <c r="D75" s="74"/>
      <c r="E75" s="74"/>
      <c r="F75" s="74"/>
      <c r="G75" s="74"/>
      <c r="H75" s="74"/>
      <c r="I75" s="74"/>
      <c r="J75" s="74"/>
      <c r="K75" s="74"/>
      <c r="L75" s="74"/>
      <c r="M75" s="74"/>
      <c r="N75" s="74"/>
      <c r="P75" s="220"/>
      <c r="Q75" s="74"/>
      <c r="R75" s="74"/>
      <c r="S75" s="74"/>
      <c r="T75" s="74"/>
      <c r="U75" s="74"/>
      <c r="V75" s="74"/>
      <c r="W75" s="74"/>
      <c r="X75" s="74"/>
      <c r="Y75" s="74"/>
      <c r="Z75" s="74"/>
      <c r="AA75" s="74"/>
      <c r="AC75" s="215"/>
      <c r="AD75" s="74"/>
      <c r="AE75" s="74"/>
      <c r="AF75" s="74"/>
      <c r="AG75" s="74"/>
      <c r="AH75" s="74"/>
      <c r="AI75" s="74"/>
      <c r="AJ75" s="74"/>
      <c r="AK75" s="74"/>
      <c r="AL75" s="74"/>
      <c r="AM75" s="74"/>
      <c r="AN75" s="74"/>
      <c r="AP75" s="12"/>
      <c r="AQ75" s="3"/>
      <c r="AR75" s="221"/>
      <c r="AS75" s="222"/>
      <c r="AT75" s="221"/>
      <c r="AU75" s="3"/>
      <c r="AV75" s="3" t="str">
        <f>IFERROR(__xludf.DUMMYFUNCTION("""COMPUTED_VALUE"""),"Orc")</f>
        <v>Orc</v>
      </c>
      <c r="AW75" s="3"/>
      <c r="AX75" s="2" t="s">
        <v>128</v>
      </c>
      <c r="AY75" s="2" t="s">
        <v>129</v>
      </c>
      <c r="AZ75" s="2">
        <v>1.0</v>
      </c>
      <c r="BA75" s="3">
        <v>1.0</v>
      </c>
      <c r="BB75" s="3">
        <v>0.0</v>
      </c>
      <c r="BC75" s="26" t="s">
        <v>130</v>
      </c>
    </row>
    <row r="76" ht="15.75" customHeight="1">
      <c r="A76" s="12"/>
      <c r="C76" s="226"/>
      <c r="D76" s="74"/>
      <c r="E76" s="74"/>
      <c r="F76" s="74"/>
      <c r="G76" s="74"/>
      <c r="H76" s="74"/>
      <c r="I76" s="74"/>
      <c r="J76" s="74"/>
      <c r="K76" s="74"/>
      <c r="L76" s="74"/>
      <c r="M76" s="74"/>
      <c r="N76" s="74"/>
      <c r="P76" s="220"/>
      <c r="Q76" s="74"/>
      <c r="R76" s="74"/>
      <c r="S76" s="74"/>
      <c r="T76" s="74"/>
      <c r="U76" s="74"/>
      <c r="V76" s="74"/>
      <c r="W76" s="74"/>
      <c r="X76" s="74"/>
      <c r="Y76" s="74"/>
      <c r="Z76" s="74"/>
      <c r="AA76" s="74"/>
      <c r="AC76" s="215"/>
      <c r="AD76" s="74"/>
      <c r="AE76" s="74"/>
      <c r="AF76" s="74"/>
      <c r="AG76" s="74"/>
      <c r="AH76" s="74"/>
      <c r="AI76" s="74"/>
      <c r="AJ76" s="74"/>
      <c r="AK76" s="74"/>
      <c r="AL76" s="74"/>
      <c r="AM76" s="74"/>
      <c r="AN76" s="74"/>
      <c r="AP76" s="12"/>
      <c r="AQ76" s="3"/>
      <c r="AR76" s="221"/>
      <c r="AS76" s="222"/>
      <c r="AT76" s="221"/>
      <c r="AU76" s="3"/>
      <c r="AV76" s="3" t="str">
        <f>IFERROR(__xludf.DUMMYFUNCTION("""COMPUTED_VALUE"""),"Infernal")</f>
        <v>Infernal</v>
      </c>
      <c r="AW76" s="3"/>
      <c r="AX76" s="2" t="s">
        <v>131</v>
      </c>
      <c r="AY76" s="2" t="s">
        <v>132</v>
      </c>
      <c r="AZ76" s="3">
        <v>1.0</v>
      </c>
      <c r="BA76" s="3">
        <v>1.0</v>
      </c>
      <c r="BB76" s="3">
        <v>0.0</v>
      </c>
      <c r="BC76" s="26" t="s">
        <v>133</v>
      </c>
    </row>
    <row r="77" ht="15.75" customHeight="1">
      <c r="A77" s="12"/>
      <c r="C77" s="226"/>
      <c r="D77" s="74"/>
      <c r="E77" s="74"/>
      <c r="F77" s="74"/>
      <c r="G77" s="74"/>
      <c r="H77" s="74"/>
      <c r="I77" s="74"/>
      <c r="J77" s="74"/>
      <c r="K77" s="74"/>
      <c r="L77" s="74"/>
      <c r="M77" s="74"/>
      <c r="N77" s="74"/>
      <c r="P77" s="220"/>
      <c r="Q77" s="74"/>
      <c r="R77" s="74"/>
      <c r="S77" s="74"/>
      <c r="T77" s="74"/>
      <c r="U77" s="74"/>
      <c r="V77" s="74"/>
      <c r="W77" s="74"/>
      <c r="X77" s="74"/>
      <c r="Y77" s="74"/>
      <c r="Z77" s="74"/>
      <c r="AA77" s="74"/>
      <c r="AC77" s="215"/>
      <c r="AD77" s="74"/>
      <c r="AE77" s="74"/>
      <c r="AF77" s="74"/>
      <c r="AG77" s="74"/>
      <c r="AH77" s="74"/>
      <c r="AI77" s="74"/>
      <c r="AJ77" s="74"/>
      <c r="AK77" s="74"/>
      <c r="AL77" s="74"/>
      <c r="AM77" s="74"/>
      <c r="AN77" s="74"/>
      <c r="AP77" s="12"/>
      <c r="AQ77" s="3"/>
      <c r="AR77" s="221"/>
      <c r="AS77" s="222"/>
      <c r="AT77" s="3"/>
      <c r="AU77" s="3"/>
      <c r="AV77" s="3"/>
      <c r="AW77" s="3"/>
      <c r="AX77" s="2" t="s">
        <v>134</v>
      </c>
      <c r="AY77" s="2" t="s">
        <v>135</v>
      </c>
      <c r="AZ77" s="2">
        <v>1.0</v>
      </c>
      <c r="BA77" s="3">
        <v>1.0</v>
      </c>
      <c r="BB77" s="3">
        <v>0.0</v>
      </c>
      <c r="BC77" s="26" t="s">
        <v>136</v>
      </c>
    </row>
    <row r="78" ht="15.75" customHeight="1">
      <c r="A78" s="12"/>
      <c r="C78" s="226"/>
      <c r="D78" s="74"/>
      <c r="E78" s="74"/>
      <c r="F78" s="74"/>
      <c r="G78" s="74"/>
      <c r="H78" s="74"/>
      <c r="I78" s="74"/>
      <c r="J78" s="74"/>
      <c r="K78" s="74"/>
      <c r="L78" s="74"/>
      <c r="M78" s="74"/>
      <c r="N78" s="74"/>
      <c r="P78" s="220"/>
      <c r="Q78" s="74"/>
      <c r="R78" s="74"/>
      <c r="S78" s="74"/>
      <c r="T78" s="74"/>
      <c r="U78" s="74"/>
      <c r="V78" s="74"/>
      <c r="W78" s="74"/>
      <c r="X78" s="74"/>
      <c r="Y78" s="74"/>
      <c r="Z78" s="74"/>
      <c r="AA78" s="74"/>
      <c r="AC78" s="215"/>
      <c r="AD78" s="74"/>
      <c r="AE78" s="74"/>
      <c r="AF78" s="74"/>
      <c r="AG78" s="74"/>
      <c r="AH78" s="74"/>
      <c r="AI78" s="74"/>
      <c r="AJ78" s="74"/>
      <c r="AK78" s="74"/>
      <c r="AL78" s="74"/>
      <c r="AM78" s="74"/>
      <c r="AN78" s="74"/>
      <c r="AP78" s="12"/>
      <c r="AQ78" s="3"/>
      <c r="AR78" s="221"/>
      <c r="AS78" s="222"/>
      <c r="AT78" s="3"/>
      <c r="AU78" s="3"/>
      <c r="AV78" s="3"/>
      <c r="AW78" s="3"/>
      <c r="AX78" s="2" t="s">
        <v>137</v>
      </c>
      <c r="AY78" s="2" t="s">
        <v>138</v>
      </c>
      <c r="AZ78" s="2">
        <v>2.0</v>
      </c>
      <c r="BA78" s="3">
        <v>0.0</v>
      </c>
      <c r="BB78" s="3">
        <v>0.0</v>
      </c>
      <c r="BC78" s="26" t="s">
        <v>139</v>
      </c>
    </row>
    <row r="79" ht="15.75" customHeight="1">
      <c r="A79" s="12"/>
      <c r="C79" s="226"/>
      <c r="D79" s="74"/>
      <c r="E79" s="74"/>
      <c r="F79" s="74"/>
      <c r="G79" s="74"/>
      <c r="H79" s="74"/>
      <c r="I79" s="74"/>
      <c r="J79" s="74"/>
      <c r="K79" s="74"/>
      <c r="L79" s="74"/>
      <c r="M79" s="74"/>
      <c r="N79" s="74"/>
      <c r="P79" s="220"/>
      <c r="Q79" s="74"/>
      <c r="R79" s="74"/>
      <c r="S79" s="74"/>
      <c r="T79" s="74"/>
      <c r="U79" s="74"/>
      <c r="V79" s="74"/>
      <c r="W79" s="74"/>
      <c r="X79" s="74"/>
      <c r="Y79" s="74"/>
      <c r="Z79" s="74"/>
      <c r="AA79" s="74"/>
      <c r="AC79" s="215"/>
      <c r="AD79" s="74"/>
      <c r="AE79" s="74"/>
      <c r="AF79" s="74"/>
      <c r="AG79" s="74"/>
      <c r="AH79" s="74"/>
      <c r="AI79" s="74"/>
      <c r="AJ79" s="74"/>
      <c r="AK79" s="74"/>
      <c r="AL79" s="74"/>
      <c r="AM79" s="74"/>
      <c r="AN79" s="74"/>
      <c r="AP79" s="12"/>
      <c r="AQ79" s="3"/>
      <c r="AR79" s="221"/>
      <c r="AS79" s="222"/>
      <c r="AT79" s="3"/>
      <c r="AU79" s="3"/>
      <c r="AV79" s="3"/>
      <c r="AW79" s="3"/>
      <c r="AX79" s="2" t="s">
        <v>140</v>
      </c>
      <c r="AY79" s="2" t="s">
        <v>141</v>
      </c>
      <c r="AZ79" s="3">
        <v>0.0</v>
      </c>
      <c r="BA79" s="3">
        <v>1.0</v>
      </c>
      <c r="BB79" s="3">
        <v>1.0</v>
      </c>
      <c r="BC79" s="26" t="s">
        <v>112</v>
      </c>
    </row>
    <row r="80" ht="15.75" customHeight="1">
      <c r="A80" s="12"/>
      <c r="C80" s="226"/>
      <c r="D80" s="74"/>
      <c r="E80" s="74"/>
      <c r="F80" s="74"/>
      <c r="G80" s="74"/>
      <c r="H80" s="74"/>
      <c r="I80" s="74"/>
      <c r="J80" s="74"/>
      <c r="K80" s="74"/>
      <c r="L80" s="74"/>
      <c r="M80" s="74"/>
      <c r="N80" s="74"/>
      <c r="P80" s="220"/>
      <c r="Q80" s="74"/>
      <c r="R80" s="74"/>
      <c r="S80" s="74"/>
      <c r="T80" s="74"/>
      <c r="U80" s="74"/>
      <c r="V80" s="74"/>
      <c r="W80" s="74"/>
      <c r="X80" s="74"/>
      <c r="Y80" s="74"/>
      <c r="Z80" s="74"/>
      <c r="AA80" s="74"/>
      <c r="AC80" s="215"/>
      <c r="AD80" s="74"/>
      <c r="AE80" s="74"/>
      <c r="AF80" s="74"/>
      <c r="AG80" s="74"/>
      <c r="AH80" s="74"/>
      <c r="AI80" s="74"/>
      <c r="AJ80" s="74"/>
      <c r="AK80" s="74"/>
      <c r="AL80" s="74"/>
      <c r="AM80" s="74"/>
      <c r="AN80" s="74"/>
      <c r="AP80" s="12"/>
      <c r="AQ80" s="3"/>
      <c r="AR80" s="221"/>
      <c r="AS80" s="222"/>
      <c r="AT80" s="3"/>
      <c r="AU80" s="3"/>
      <c r="AV80" s="3"/>
      <c r="AW80" s="3"/>
      <c r="AX80" s="2" t="s">
        <v>142</v>
      </c>
      <c r="AY80" s="2" t="s">
        <v>143</v>
      </c>
      <c r="AZ80" s="2">
        <v>0.0</v>
      </c>
      <c r="BA80" s="3">
        <v>1.0</v>
      </c>
      <c r="BB80" s="3">
        <v>1.0</v>
      </c>
      <c r="BC80" s="26"/>
    </row>
    <row r="81" ht="15.75" customHeight="1">
      <c r="A81" s="12"/>
      <c r="C81" s="226"/>
      <c r="D81" s="74"/>
      <c r="E81" s="74"/>
      <c r="F81" s="74"/>
      <c r="G81" s="74"/>
      <c r="H81" s="74"/>
      <c r="I81" s="74"/>
      <c r="J81" s="74"/>
      <c r="K81" s="74"/>
      <c r="L81" s="74"/>
      <c r="M81" s="74"/>
      <c r="N81" s="74"/>
      <c r="P81" s="220"/>
      <c r="Q81" s="74"/>
      <c r="R81" s="74"/>
      <c r="S81" s="74"/>
      <c r="T81" s="74"/>
      <c r="U81" s="74"/>
      <c r="V81" s="74"/>
      <c r="W81" s="74"/>
      <c r="X81" s="74"/>
      <c r="Y81" s="74"/>
      <c r="Z81" s="74"/>
      <c r="AA81" s="74"/>
      <c r="AC81" s="215"/>
      <c r="AD81" s="74"/>
      <c r="AE81" s="74"/>
      <c r="AF81" s="74"/>
      <c r="AG81" s="74"/>
      <c r="AH81" s="74"/>
      <c r="AI81" s="74"/>
      <c r="AJ81" s="74"/>
      <c r="AK81" s="74"/>
      <c r="AL81" s="74"/>
      <c r="AM81" s="74"/>
      <c r="AN81" s="74"/>
      <c r="AP81" s="12"/>
      <c r="AQ81" s="3"/>
      <c r="AR81" s="221"/>
      <c r="AS81" s="222"/>
      <c r="AT81" s="3"/>
      <c r="AU81" s="3"/>
      <c r="AV81" s="3"/>
      <c r="AW81" s="3"/>
      <c r="AX81" s="2" t="s">
        <v>144</v>
      </c>
      <c r="AY81" s="2" t="s">
        <v>145</v>
      </c>
      <c r="AZ81" s="2">
        <v>0.0</v>
      </c>
      <c r="BA81" s="3">
        <v>2.0</v>
      </c>
      <c r="BB81" s="3">
        <v>0.0</v>
      </c>
      <c r="BC81" s="26"/>
    </row>
    <row r="82" ht="15.75" customHeight="1">
      <c r="A82" s="12"/>
      <c r="C82" s="226"/>
      <c r="D82" s="74"/>
      <c r="E82" s="74"/>
      <c r="F82" s="74"/>
      <c r="G82" s="74"/>
      <c r="H82" s="74"/>
      <c r="I82" s="74"/>
      <c r="J82" s="74"/>
      <c r="K82" s="74"/>
      <c r="L82" s="74"/>
      <c r="M82" s="74"/>
      <c r="N82" s="74"/>
      <c r="P82" s="220"/>
      <c r="Q82" s="74"/>
      <c r="R82" s="74"/>
      <c r="S82" s="74"/>
      <c r="T82" s="74"/>
      <c r="U82" s="74"/>
      <c r="V82" s="74"/>
      <c r="W82" s="74"/>
      <c r="X82" s="74"/>
      <c r="Y82" s="74"/>
      <c r="Z82" s="74"/>
      <c r="AA82" s="74"/>
      <c r="AC82" s="215"/>
      <c r="AD82" s="74"/>
      <c r="AE82" s="74"/>
      <c r="AF82" s="74"/>
      <c r="AG82" s="74"/>
      <c r="AH82" s="74"/>
      <c r="AI82" s="74"/>
      <c r="AJ82" s="74"/>
      <c r="AK82" s="74"/>
      <c r="AL82" s="74"/>
      <c r="AM82" s="74"/>
      <c r="AN82" s="74"/>
      <c r="AP82" s="12"/>
      <c r="AQ82" s="3"/>
      <c r="AR82" s="221"/>
      <c r="AS82" s="222"/>
      <c r="AT82" s="3"/>
      <c r="AU82" s="3"/>
      <c r="AV82" s="3"/>
      <c r="AW82" s="3"/>
      <c r="AX82" s="3"/>
      <c r="AY82" s="7"/>
      <c r="AZ82" s="2"/>
      <c r="BA82" s="2"/>
      <c r="BB82" s="2"/>
      <c r="BC82" s="2"/>
    </row>
    <row r="83" ht="15.75" customHeight="1">
      <c r="A83" s="12"/>
      <c r="C83" s="226"/>
      <c r="D83" s="74"/>
      <c r="E83" s="74"/>
      <c r="F83" s="74"/>
      <c r="G83" s="74"/>
      <c r="H83" s="74"/>
      <c r="I83" s="74"/>
      <c r="J83" s="74"/>
      <c r="K83" s="74"/>
      <c r="L83" s="74"/>
      <c r="M83" s="74"/>
      <c r="N83" s="74"/>
      <c r="P83" s="220"/>
      <c r="Q83" s="74"/>
      <c r="R83" s="74"/>
      <c r="S83" s="74"/>
      <c r="T83" s="74"/>
      <c r="U83" s="74"/>
      <c r="V83" s="74"/>
      <c r="W83" s="74"/>
      <c r="X83" s="74"/>
      <c r="Y83" s="74"/>
      <c r="Z83" s="74"/>
      <c r="AA83" s="74"/>
      <c r="AC83" s="215"/>
      <c r="AD83" s="74"/>
      <c r="AE83" s="74"/>
      <c r="AF83" s="74"/>
      <c r="AG83" s="74"/>
      <c r="AH83" s="74"/>
      <c r="AI83" s="74"/>
      <c r="AJ83" s="74"/>
      <c r="AK83" s="74"/>
      <c r="AL83" s="74"/>
      <c r="AM83" s="74"/>
      <c r="AN83" s="74"/>
      <c r="AP83" s="12"/>
      <c r="AQ83" s="3"/>
      <c r="AR83" s="221"/>
      <c r="AS83" s="222"/>
      <c r="AT83" s="3"/>
      <c r="AU83" s="3"/>
      <c r="AV83" s="227"/>
      <c r="AW83" s="3"/>
      <c r="AX83" s="3"/>
      <c r="AY83" s="7"/>
      <c r="AZ83" s="2"/>
      <c r="BA83" s="2"/>
      <c r="BB83" s="2"/>
      <c r="BC83" s="2"/>
    </row>
    <row r="84" ht="15.75" customHeight="1">
      <c r="A84" s="12"/>
      <c r="C84" s="226"/>
      <c r="D84" s="74"/>
      <c r="E84" s="74"/>
      <c r="F84" s="74"/>
      <c r="G84" s="74"/>
      <c r="H84" s="74"/>
      <c r="I84" s="74"/>
      <c r="J84" s="74"/>
      <c r="K84" s="74"/>
      <c r="L84" s="74"/>
      <c r="M84" s="74"/>
      <c r="N84" s="74"/>
      <c r="P84" s="220"/>
      <c r="Q84" s="74"/>
      <c r="R84" s="74"/>
      <c r="S84" s="74"/>
      <c r="T84" s="74"/>
      <c r="U84" s="74"/>
      <c r="V84" s="74"/>
      <c r="W84" s="74"/>
      <c r="X84" s="74"/>
      <c r="Y84" s="74"/>
      <c r="Z84" s="74"/>
      <c r="AA84" s="74"/>
      <c r="AC84" s="215"/>
      <c r="AD84" s="74"/>
      <c r="AE84" s="74"/>
      <c r="AF84" s="74"/>
      <c r="AG84" s="74"/>
      <c r="AH84" s="74"/>
      <c r="AI84" s="74"/>
      <c r="AJ84" s="74"/>
      <c r="AK84" s="74"/>
      <c r="AL84" s="74"/>
      <c r="AM84" s="74"/>
      <c r="AN84" s="74"/>
      <c r="AP84" s="12"/>
      <c r="AQ84" s="3"/>
      <c r="AR84" s="221"/>
      <c r="AS84" s="3"/>
      <c r="AT84" s="3"/>
      <c r="AU84" s="3"/>
      <c r="AV84" s="3"/>
      <c r="AW84" s="3"/>
      <c r="AX84" s="3"/>
      <c r="AY84" s="7"/>
      <c r="AZ84" s="2"/>
      <c r="BA84" s="2"/>
      <c r="BB84" s="2"/>
      <c r="BC84" s="2"/>
    </row>
    <row r="85" ht="15.75" customHeight="1">
      <c r="A85" s="12"/>
      <c r="C85" s="228"/>
      <c r="D85" s="228"/>
      <c r="E85" s="228"/>
      <c r="F85" s="228"/>
      <c r="G85" s="228"/>
      <c r="H85" s="228"/>
      <c r="I85" s="228"/>
      <c r="J85" s="228"/>
      <c r="K85" s="228"/>
      <c r="L85" s="228"/>
      <c r="M85" s="228"/>
      <c r="N85" s="228"/>
      <c r="O85" s="31"/>
      <c r="P85" s="229" t="s">
        <v>146</v>
      </c>
      <c r="Q85" s="31"/>
      <c r="R85" s="31"/>
      <c r="S85" s="31"/>
      <c r="T85" s="31"/>
      <c r="U85" s="31"/>
      <c r="V85" s="31"/>
      <c r="W85" s="31"/>
      <c r="X85" s="31"/>
      <c r="Y85" s="31"/>
      <c r="Z85" s="31"/>
      <c r="AA85" s="31"/>
      <c r="AB85" s="31"/>
      <c r="AC85" s="228"/>
      <c r="AD85" s="228"/>
      <c r="AE85" s="228"/>
      <c r="AF85" s="228"/>
      <c r="AG85" s="228"/>
      <c r="AH85" s="228"/>
      <c r="AI85" s="228"/>
      <c r="AJ85" s="228"/>
      <c r="AK85" s="228"/>
      <c r="AL85" s="228"/>
      <c r="AM85" s="228"/>
      <c r="AN85" s="228"/>
      <c r="AP85" s="12"/>
      <c r="AQ85" s="3"/>
      <c r="AR85" s="3"/>
      <c r="AS85" s="3"/>
      <c r="AT85" s="3"/>
      <c r="AU85" s="3"/>
      <c r="AV85" s="3"/>
      <c r="AW85" s="3"/>
      <c r="AX85" s="3"/>
      <c r="AY85" s="7"/>
      <c r="AZ85" s="2"/>
      <c r="BA85" s="2"/>
      <c r="BB85" s="2"/>
      <c r="BC85" s="2"/>
    </row>
    <row r="86" ht="15.75" customHeight="1">
      <c r="A86" s="12"/>
      <c r="C86" s="230" t="s">
        <v>147</v>
      </c>
      <c r="AP86" s="12"/>
      <c r="AQ86" s="3"/>
      <c r="AR86" s="3"/>
      <c r="AS86" s="3"/>
      <c r="AT86" s="3"/>
      <c r="AU86" s="3"/>
      <c r="AV86" s="3"/>
      <c r="AW86" s="3"/>
      <c r="AX86" s="3"/>
      <c r="AY86" s="3"/>
      <c r="AZ86" s="3"/>
      <c r="BA86" s="3"/>
      <c r="BB86" s="3"/>
      <c r="BC86" s="227"/>
    </row>
    <row r="87" ht="15.75" customHeight="1">
      <c r="A87" s="4" t="str">
        <f>if(and(C91&lt;&gt;"",countif(AQ155:AQ180,C91)),image(vlookup(C91,AQ155:AS180,2,false),2),image("http://i.imgur.com/Pnzh0Lq.png",2))</f>
        <v/>
      </c>
      <c r="S87" s="12"/>
      <c r="T87" s="5"/>
      <c r="U87" s="5"/>
      <c r="V87" s="5"/>
      <c r="W87" s="5"/>
      <c r="X87" s="5"/>
      <c r="Y87" s="5"/>
      <c r="Z87" s="5"/>
      <c r="AA87" s="5"/>
      <c r="AB87" s="5"/>
      <c r="AC87" s="5"/>
      <c r="AD87" s="5" t="str">
        <f>if(and(C91="",U91="",AB91="",AI91=""),"This section doesn't handle multiclassing perfectly. If you have multiple spellcasting classes,",if(and(C91&lt;&gt;"",U91=""),"You need to enter a single valid spellcasting class!",""))</f>
        <v/>
      </c>
      <c r="AE87" s="5"/>
      <c r="AF87" s="5"/>
      <c r="AG87" s="5"/>
      <c r="AH87" s="5"/>
      <c r="AI87" s="5"/>
      <c r="AJ87" s="5"/>
      <c r="AK87" s="5"/>
      <c r="AL87" s="5"/>
      <c r="AM87" s="5"/>
      <c r="AN87" s="5"/>
      <c r="AO87" s="5"/>
      <c r="AP87" s="5"/>
      <c r="AQ87" s="3"/>
      <c r="AR87" s="3"/>
      <c r="AS87" s="3"/>
      <c r="AT87" s="3"/>
      <c r="AU87" s="3"/>
      <c r="AV87" s="3"/>
      <c r="AW87" s="3"/>
      <c r="AX87" s="3"/>
      <c r="AY87" s="7"/>
      <c r="AZ87" s="2"/>
      <c r="BA87" s="2"/>
      <c r="BB87" s="2"/>
      <c r="BC87" s="2"/>
    </row>
    <row r="88" ht="15.75" customHeight="1">
      <c r="S88" s="12" t="str">
        <f>IMAGE("http://i.imgur.com/2jwsXWa.png",2)</f>
        <v/>
      </c>
      <c r="T88" s="5"/>
      <c r="U88" s="5"/>
      <c r="V88" s="5"/>
      <c r="W88" s="5"/>
      <c r="X88" s="5"/>
      <c r="Y88" s="5"/>
      <c r="Z88" s="5"/>
      <c r="AA88" s="5"/>
      <c r="AB88" s="5"/>
      <c r="AC88" s="5"/>
      <c r="AD88" s="5" t="str">
        <f>if(and(C91="",U91="",AB91="",AI91=""),"it can only track one of them. Ignore this section if you have no spells.",if(and(C91&lt;&gt;"",U91=""),"And it must be a class you possess levels in or have the Magic Initiate feat in features.",""))</f>
        <v/>
      </c>
      <c r="AE88" s="5"/>
      <c r="AF88" s="5"/>
      <c r="AG88" s="5"/>
      <c r="AH88" s="5"/>
      <c r="AI88" s="5"/>
      <c r="AJ88" s="5"/>
      <c r="AK88" s="5"/>
      <c r="AL88" s="5"/>
      <c r="AM88" s="5"/>
      <c r="AN88" s="5"/>
      <c r="AO88" s="5"/>
      <c r="AP88" s="5"/>
      <c r="AQ88" s="3"/>
      <c r="AR88" s="3"/>
      <c r="AS88" s="3"/>
      <c r="AT88" s="3"/>
      <c r="AU88" s="3"/>
      <c r="AV88" s="3"/>
      <c r="AW88" s="3"/>
      <c r="AX88" s="3"/>
      <c r="AY88" s="3"/>
      <c r="AZ88" s="3"/>
      <c r="BA88" s="3"/>
      <c r="BB88" s="3"/>
      <c r="BC88" s="3"/>
    </row>
    <row r="89" ht="15.75" customHeight="1">
      <c r="S89" s="231" t="str">
        <f>IMAGE("http://i.imgur.com/1aZcJXU.png",2)</f>
        <v/>
      </c>
      <c r="T89" s="232"/>
      <c r="U89" s="232"/>
      <c r="V89" s="232"/>
      <c r="W89" s="232"/>
      <c r="X89" s="232"/>
      <c r="Y89" s="232"/>
      <c r="Z89" s="232"/>
      <c r="AA89" s="232"/>
      <c r="AB89" s="232"/>
      <c r="AC89" s="232"/>
      <c r="AD89" s="232"/>
      <c r="AE89" s="232"/>
      <c r="AF89" s="232"/>
      <c r="AG89" s="232"/>
      <c r="AH89" s="232"/>
      <c r="AI89" s="232"/>
      <c r="AJ89" s="232"/>
      <c r="AK89" s="232"/>
      <c r="AL89" s="232"/>
      <c r="AM89" s="232"/>
      <c r="AN89" s="233"/>
      <c r="AO89" s="12" t="str">
        <f>IMAGE("http://i.imgur.com/nWCUyCa.png",2)</f>
        <v/>
      </c>
      <c r="AP89" s="12"/>
      <c r="AQ89" s="3"/>
      <c r="AR89" s="3"/>
      <c r="AS89" s="3"/>
      <c r="AT89" s="3"/>
      <c r="AU89" s="3"/>
      <c r="AV89" s="3"/>
      <c r="AW89" s="3"/>
      <c r="AX89" s="3"/>
      <c r="AY89" s="7"/>
      <c r="AZ89" s="2"/>
      <c r="BA89" s="2"/>
      <c r="BB89" s="2"/>
      <c r="BC89" s="2"/>
    </row>
    <row r="90" ht="15.75" customHeight="1">
      <c r="S90" s="234"/>
      <c r="T90" s="235" t="str">
        <f>IMAGE("http://i.imgur.com/bMB1ljY.png",2)</f>
        <v/>
      </c>
      <c r="U90" s="236" t="s">
        <v>148</v>
      </c>
      <c r="Y90" s="237" t="str">
        <f>IMAGE("http://i.imgur.com/vGypnz4.png",2)</f>
        <v/>
      </c>
      <c r="Z90" s="238"/>
      <c r="AA90" s="237" t="str">
        <f>IMAGE("http://i.imgur.com/bMB1ljY.png",2)</f>
        <v/>
      </c>
      <c r="AB90" s="236" t="s">
        <v>149</v>
      </c>
      <c r="AF90" s="237" t="str">
        <f>IMAGE("http://i.imgur.com/vGypnz4.png",2)</f>
        <v/>
      </c>
      <c r="AG90" s="238"/>
      <c r="AH90" s="237" t="str">
        <f>IMAGE("http://i.imgur.com/bMB1ljY.png",2)</f>
        <v/>
      </c>
      <c r="AI90" s="236" t="s">
        <v>149</v>
      </c>
      <c r="AM90" s="237" t="str">
        <f>IMAGE("http://i.imgur.com/vGypnz4.png",2)</f>
        <v/>
      </c>
      <c r="AN90" s="239"/>
      <c r="AP90" s="12"/>
      <c r="AQ90" s="3"/>
      <c r="AR90" s="7"/>
      <c r="AS90" s="3"/>
      <c r="AT90" s="3"/>
      <c r="AU90" s="3"/>
      <c r="AV90" s="3"/>
      <c r="AW90" s="3"/>
      <c r="AX90" s="3"/>
      <c r="AY90" s="7"/>
      <c r="AZ90" s="2"/>
      <c r="BA90" s="2"/>
      <c r="BB90" s="2"/>
      <c r="BC90" s="2"/>
    </row>
    <row r="91" ht="15.75" customHeight="1">
      <c r="B91" s="20"/>
      <c r="C91" s="240" t="s">
        <v>150</v>
      </c>
      <c r="R91" s="11"/>
      <c r="S91" s="27"/>
      <c r="U91" s="241" t="str">
        <f>if(and(castingClass&lt;&gt;"",classAndLevel&lt;&gt;"",AQ91&lt;&gt;""),iferror(vlookup(castingClass,v2.1!AR6:AY15,8,false),vlookup(castingClass,'Class Info'!B7:AJ1180,35,false)),"-")</f>
        <v>Intelligence</v>
      </c>
      <c r="V91" s="25"/>
      <c r="W91" s="25"/>
      <c r="X91" s="25"/>
      <c r="AB91" s="242">
        <f>IFERROR(__xludf.DUMMYFUNCTION("if(castingAbility&lt;&gt;""-"",if(indirect(lower(left(castingAbility,3))&amp;""Mod"")&lt;&gt;""-"",
 8+proficiencyBonus+indirect(lower(left(castingAbility,3))&amp;""Mod"")
+sum(arrayformula(int(iferror(trim(left(regexextract(lower(filter({BA$32:BA$56;Additional!$BA$3:$BA$24}"&amp;",regexmatch(lower({BA$32:BA$56;Additional!$BA$3:$BA$24}),""[0-9]+ bonus [a-z ]{2,} saving throw dc""))),""[0-9]+ bonus ""),2)),0))))
+sum(arrayformula(int(iferror(trim(right(regexextract(lower(filter({BA$32:BA$56;Additional!$BA$3:$BA$24},regexmatch(lower("&amp;"{BA$32:BA$56;Additional!$BA$3:$BA$24}),""spell save dc[a-z ]+increase[a-z ]+[0-9]+""))),""increase[a-z ]+[0-9]+""),2)),0)))),""-""),""-"")"),16.0)</f>
        <v>16</v>
      </c>
      <c r="AC91" s="25"/>
      <c r="AD91" s="25"/>
      <c r="AE91" s="25"/>
      <c r="AI91" s="243">
        <f t="array" ref="AI91">if(castingAbility&lt;&gt;"-",if(indirect(lower(left(castingAbility,3))&amp;"Mod")&lt;&gt;"-",
proficiencyBonus+indirect(lower(left(castingAbility,3))&amp;"Mod")
+$AR$91,"-"),"-")</f>
        <v>8</v>
      </c>
      <c r="AJ91" s="25"/>
      <c r="AK91" s="25"/>
      <c r="AL91" s="25"/>
      <c r="AN91" s="11"/>
      <c r="AP91" s="12"/>
      <c r="AQ91" s="2" t="str">
        <f>IFERROR(__xludf.DUMMYFUNCTION("iferror(transpose(split(textjoin(""~"",True,iferror(filter(AR6:AR15,AX6:AX15&lt;&gt;""""),""""),if(isnumber(find(""magic initiate"",feats)),unique(iferror(filter('Class Info'!B7:B180,'Class Info'!B7:B180&lt;&gt;"""",isnumber(find(lower('Class Info'!B7:B180),regexextr"&amp;"act(feats,""initiate..[a-z]+."")))),"""")),"""")),""~"")),"""")"),"Wizard")</f>
        <v>Wizard</v>
      </c>
      <c r="AR91" s="7">
        <f>IFERROR(__xludf.DUMMYFUNCTION("sum(arrayformula(int(iferror(trim(left(regexextract(lower(filter({BA$32:BA$56;Additional!$BA$3:$BA$24},regexmatch(lower({BA$32:BA$56;Additional!$BA$3:$BA$24}),""[0-9]+ bonus to spell attack rolls""))),""[0-9]+ bonus to spell attack""),2)),0))))
+sum(array"&amp;"formula(int(iferror(trim(right(regexextract(lower(filter({BA$32:BA$56;Additional!$BA$3:$BA$24},regexmatch(lower({BA$32:BA$56;Additional!$BA$3:$BA$24}),""spell attack bonus[a-z ]+increase[a-z ]+[0-9]+""))),""increase[a-z ]+[0-9]+""),2)),0))))"),0.0)</f>
        <v>0</v>
      </c>
      <c r="AS91" s="3"/>
      <c r="AT91" s="7"/>
      <c r="AU91" s="3"/>
      <c r="AV91" s="3"/>
      <c r="AW91" s="3"/>
      <c r="AX91" s="3"/>
      <c r="AY91" s="7"/>
      <c r="AZ91" s="2"/>
      <c r="BA91" s="2"/>
      <c r="BB91" s="2"/>
      <c r="BC91" s="26"/>
    </row>
    <row r="92" ht="15.75" customHeight="1">
      <c r="B92" s="27"/>
      <c r="C92" s="27"/>
      <c r="R92" s="11"/>
      <c r="S92" s="27"/>
      <c r="U92" s="31"/>
      <c r="V92" s="31"/>
      <c r="W92" s="31"/>
      <c r="X92" s="31"/>
      <c r="AB92" s="31"/>
      <c r="AC92" s="31"/>
      <c r="AD92" s="31"/>
      <c r="AE92" s="31"/>
      <c r="AI92" s="31"/>
      <c r="AJ92" s="31"/>
      <c r="AK92" s="31"/>
      <c r="AL92" s="31"/>
      <c r="AN92" s="11"/>
      <c r="AP92" s="12"/>
      <c r="AQ92" s="3"/>
      <c r="AR92" s="7"/>
      <c r="AS92" s="3"/>
      <c r="AT92" s="7"/>
      <c r="AU92" s="3"/>
      <c r="AV92" s="3"/>
      <c r="AW92" s="3"/>
      <c r="AX92" s="3"/>
      <c r="AY92" s="7"/>
      <c r="AZ92" s="2"/>
      <c r="BA92" s="2"/>
      <c r="BB92" s="2"/>
      <c r="BC92" s="2"/>
    </row>
    <row r="93" ht="15.75" customHeight="1">
      <c r="A93" s="4" t="str">
        <f>IMAGE("http://i.imgur.com/EmUh8kY.png",2)</f>
        <v/>
      </c>
      <c r="S93" s="27"/>
      <c r="T93" s="42"/>
      <c r="U93" s="244" t="s">
        <v>151</v>
      </c>
      <c r="Y93" s="232"/>
      <c r="AA93" s="232"/>
      <c r="AB93" s="244" t="s">
        <v>152</v>
      </c>
      <c r="AF93" s="232"/>
      <c r="AH93" s="232"/>
      <c r="AI93" s="244" t="s">
        <v>153</v>
      </c>
      <c r="AM93" s="232"/>
      <c r="AN93" s="11"/>
      <c r="AP93" s="12"/>
      <c r="AQ93" s="3"/>
      <c r="AR93" s="7"/>
      <c r="AS93" s="3"/>
      <c r="AT93" s="7"/>
      <c r="AU93" s="3"/>
      <c r="AV93" s="3"/>
      <c r="AW93" s="3"/>
      <c r="AX93" s="3"/>
      <c r="AY93" s="7"/>
      <c r="AZ93" s="2"/>
      <c r="BA93" s="2"/>
      <c r="BB93" s="2"/>
      <c r="BC93" s="2"/>
    </row>
    <row r="94" ht="15.75" customHeight="1">
      <c r="S94" s="10" t="str">
        <f>IMAGE("http://i.imgur.com/M5KNO4X.png",2)</f>
        <v/>
      </c>
      <c r="AN94" s="11"/>
      <c r="AO94" s="12"/>
      <c r="AP94" s="12"/>
      <c r="AQ94" s="3"/>
      <c r="AR94" s="7"/>
      <c r="AS94" s="3"/>
      <c r="AT94" s="3"/>
      <c r="AU94" s="3"/>
      <c r="AV94" s="3"/>
      <c r="AW94" s="3"/>
      <c r="AX94" s="3"/>
      <c r="AY94" s="7"/>
      <c r="AZ94" s="2"/>
      <c r="BA94" s="2"/>
      <c r="BB94" s="2"/>
      <c r="BC94" s="2"/>
    </row>
    <row r="95" ht="15.75" customHeight="1">
      <c r="A95" s="245"/>
      <c r="B95" s="246" t="str">
        <f>IMAGE("http://i.imgur.com/36yH7AT.png")</f>
        <v/>
      </c>
      <c r="C95" s="247" t="str">
        <f>IMAGE("http://i.imgur.com/P8G3wDB.png",2)</f>
        <v/>
      </c>
      <c r="D95" s="248"/>
      <c r="E95" s="248"/>
      <c r="F95" s="248"/>
      <c r="G95" s="248"/>
      <c r="H95" s="248"/>
      <c r="I95" s="248"/>
      <c r="J95" s="248"/>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5" t="str">
        <f>IMAGE("http://i.imgur.com/koyMZqk.png")</f>
        <v/>
      </c>
      <c r="AP95" s="245"/>
      <c r="AQ95" s="3"/>
      <c r="AR95" s="7"/>
      <c r="AS95" s="3"/>
      <c r="AT95" s="7"/>
      <c r="AU95" s="8"/>
      <c r="AV95" s="3"/>
      <c r="AW95" s="3"/>
      <c r="AX95" s="3"/>
      <c r="AY95" s="3"/>
      <c r="AZ95" s="3"/>
      <c r="BA95" s="3"/>
      <c r="BB95" s="3"/>
      <c r="BC95" s="3"/>
    </row>
    <row r="96" ht="15.75" customHeight="1">
      <c r="A96" s="245"/>
      <c r="C96" s="246" t="str">
        <f>IMAGE("http://i.imgur.com/VtJcr4w.png",2)</f>
        <v/>
      </c>
      <c r="F96" s="246"/>
      <c r="G96" s="246"/>
      <c r="H96" s="246"/>
      <c r="I96" s="246"/>
      <c r="J96" s="246"/>
      <c r="K96" s="246" t="str">
        <f>IMAGE("http://i.imgur.com/GYlWKEy.png",2)</f>
        <v/>
      </c>
      <c r="L96" s="249"/>
      <c r="M96" s="250" t="s">
        <v>154</v>
      </c>
      <c r="N96" s="251" t="s">
        <v>155</v>
      </c>
      <c r="O96" s="171"/>
      <c r="P96" s="171"/>
      <c r="Q96" s="171"/>
      <c r="R96" s="171"/>
      <c r="S96" s="171"/>
      <c r="T96" s="171"/>
      <c r="U96" s="252" t="str">
        <f>IMAGE("http://i.imgur.com/1atTEws.png",3)</f>
        <v/>
      </c>
      <c r="W96" s="250" t="s">
        <v>154</v>
      </c>
      <c r="X96" s="251" t="s">
        <v>156</v>
      </c>
      <c r="Y96" s="171"/>
      <c r="Z96" s="171"/>
      <c r="AA96" s="171"/>
      <c r="AB96" s="171"/>
      <c r="AC96" s="171"/>
      <c r="AD96" s="171"/>
      <c r="AE96" s="252" t="str">
        <f>IMAGE("http://i.imgur.com/1atTEws.png",3)</f>
        <v/>
      </c>
      <c r="AG96" s="250" t="s">
        <v>154</v>
      </c>
      <c r="AH96" s="253"/>
      <c r="AI96" s="171"/>
      <c r="AJ96" s="171"/>
      <c r="AK96" s="171"/>
      <c r="AL96" s="171"/>
      <c r="AM96" s="171"/>
      <c r="AN96" s="171"/>
      <c r="AP96" s="245"/>
      <c r="AQ96" s="3"/>
      <c r="AR96" s="3"/>
      <c r="AS96" s="3"/>
      <c r="AT96" s="3"/>
      <c r="AU96" s="3"/>
      <c r="AV96" s="3"/>
      <c r="AW96" s="3"/>
      <c r="AX96" s="3"/>
      <c r="AY96" s="7"/>
      <c r="AZ96" s="2"/>
      <c r="BA96" s="2"/>
      <c r="BB96" s="2"/>
      <c r="BC96" s="2"/>
    </row>
    <row r="97" ht="15.75" customHeight="1">
      <c r="A97" s="245"/>
      <c r="F97" s="254" t="s">
        <v>157</v>
      </c>
      <c r="G97" s="25"/>
      <c r="H97" s="25"/>
      <c r="I97" s="25"/>
      <c r="J97" s="25"/>
      <c r="L97" s="249"/>
      <c r="M97" s="250" t="s">
        <v>154</v>
      </c>
      <c r="N97" s="251" t="s">
        <v>158</v>
      </c>
      <c r="O97" s="171"/>
      <c r="P97" s="171"/>
      <c r="Q97" s="171"/>
      <c r="R97" s="171"/>
      <c r="S97" s="171"/>
      <c r="T97" s="171"/>
      <c r="W97" s="250" t="s">
        <v>154</v>
      </c>
      <c r="X97" s="251" t="s">
        <v>159</v>
      </c>
      <c r="Y97" s="171"/>
      <c r="Z97" s="171"/>
      <c r="AA97" s="171"/>
      <c r="AB97" s="171"/>
      <c r="AC97" s="171"/>
      <c r="AD97" s="171"/>
      <c r="AG97" s="250" t="s">
        <v>154</v>
      </c>
      <c r="AH97" s="253"/>
      <c r="AI97" s="171"/>
      <c r="AJ97" s="171"/>
      <c r="AK97" s="171"/>
      <c r="AL97" s="171"/>
      <c r="AM97" s="171"/>
      <c r="AN97" s="171"/>
      <c r="AP97" s="245"/>
      <c r="AQ97" s="3"/>
      <c r="AR97" s="3"/>
      <c r="AS97" s="3"/>
      <c r="AT97" s="7"/>
      <c r="AU97" s="3"/>
      <c r="AV97" s="3"/>
      <c r="AW97" s="3"/>
      <c r="AX97" s="3"/>
      <c r="AY97" s="7"/>
      <c r="AZ97" s="2"/>
      <c r="BA97" s="2"/>
      <c r="BB97" s="2"/>
      <c r="BC97" s="2"/>
    </row>
    <row r="98" ht="15.75" customHeight="1">
      <c r="A98" s="245"/>
      <c r="F98" s="31"/>
      <c r="G98" s="31"/>
      <c r="H98" s="31"/>
      <c r="I98" s="31"/>
      <c r="J98" s="31"/>
      <c r="L98" s="246"/>
      <c r="M98" s="250" t="s">
        <v>154</v>
      </c>
      <c r="N98" s="251" t="s">
        <v>160</v>
      </c>
      <c r="O98" s="171"/>
      <c r="P98" s="171"/>
      <c r="Q98" s="171"/>
      <c r="R98" s="171"/>
      <c r="S98" s="171"/>
      <c r="T98" s="171"/>
      <c r="W98" s="250" t="s">
        <v>154</v>
      </c>
      <c r="X98" s="251" t="s">
        <v>161</v>
      </c>
      <c r="Y98" s="171"/>
      <c r="Z98" s="171"/>
      <c r="AA98" s="171"/>
      <c r="AB98" s="171"/>
      <c r="AC98" s="171"/>
      <c r="AD98" s="171"/>
      <c r="AG98" s="250" t="s">
        <v>154</v>
      </c>
      <c r="AH98" s="253"/>
      <c r="AI98" s="171"/>
      <c r="AJ98" s="171"/>
      <c r="AK98" s="171"/>
      <c r="AL98" s="171"/>
      <c r="AM98" s="171"/>
      <c r="AN98" s="171"/>
      <c r="AP98" s="245"/>
      <c r="AQ98" s="3"/>
      <c r="AR98" s="3"/>
      <c r="AS98" s="3"/>
      <c r="AT98" s="7"/>
      <c r="AU98" s="3"/>
      <c r="AV98" s="3"/>
      <c r="AW98" s="3"/>
      <c r="AX98" s="3"/>
      <c r="AY98" s="7"/>
      <c r="AZ98" s="2"/>
      <c r="BA98" s="2"/>
      <c r="BB98" s="2"/>
      <c r="BC98" s="2"/>
    </row>
    <row r="99" ht="15.75" customHeight="1">
      <c r="A99" s="245"/>
      <c r="C99" s="171"/>
      <c r="D99" s="171"/>
      <c r="E99" s="171"/>
      <c r="F99" s="255"/>
      <c r="G99" s="255"/>
      <c r="H99" s="255"/>
      <c r="I99" s="255"/>
      <c r="J99" s="255"/>
      <c r="K99" s="171"/>
      <c r="L99" s="256"/>
      <c r="M99" s="256"/>
      <c r="N99" s="256"/>
      <c r="O99" s="256"/>
      <c r="P99" s="256"/>
      <c r="Q99" s="256"/>
      <c r="R99" s="256"/>
      <c r="S99" s="256"/>
      <c r="T99" s="256"/>
      <c r="U99" s="256"/>
      <c r="V99" s="256"/>
      <c r="W99" s="256"/>
      <c r="X99" s="256"/>
      <c r="Y99" s="256"/>
      <c r="Z99" s="256"/>
      <c r="AA99" s="256"/>
      <c r="AB99" s="256"/>
      <c r="AC99" s="256"/>
      <c r="AD99" s="256"/>
      <c r="AE99" s="256"/>
      <c r="AF99" s="256"/>
      <c r="AG99" s="256"/>
      <c r="AH99" s="256"/>
      <c r="AI99" s="256"/>
      <c r="AJ99" s="256"/>
      <c r="AK99" s="256"/>
      <c r="AL99" s="256"/>
      <c r="AM99" s="256"/>
      <c r="AN99" s="256"/>
      <c r="AP99" s="245"/>
      <c r="AQ99" s="3"/>
      <c r="AR99" s="3"/>
      <c r="AS99" s="3"/>
      <c r="AT99" s="7"/>
      <c r="AU99" s="3"/>
      <c r="AV99" s="3"/>
      <c r="AW99" s="3"/>
      <c r="AX99" s="3"/>
      <c r="AY99" s="7"/>
      <c r="AZ99" s="2"/>
      <c r="BA99" s="2"/>
      <c r="BB99" s="2"/>
      <c r="BC99" s="2"/>
    </row>
    <row r="100" ht="15.75" customHeight="1">
      <c r="A100" s="245"/>
      <c r="B100" s="245" t="str">
        <f>IMAGE("http://i.imgur.com/S2iZUIk.png")</f>
        <v/>
      </c>
      <c r="C100" s="134">
        <v>1.0</v>
      </c>
      <c r="D100" s="251" t="s">
        <v>162</v>
      </c>
      <c r="E100" s="171"/>
      <c r="F100" s="171"/>
      <c r="G100" s="171"/>
      <c r="H100" s="171"/>
      <c r="I100" s="171"/>
      <c r="J100" s="171"/>
      <c r="K100" s="257" t="str">
        <f>IMAGE("http://i.imgur.com/YThwbjs.png",3)</f>
        <v/>
      </c>
      <c r="M100" s="124">
        <v>0.0</v>
      </c>
      <c r="N100" s="251" t="s">
        <v>163</v>
      </c>
      <c r="O100" s="171"/>
      <c r="P100" s="171"/>
      <c r="Q100" s="171"/>
      <c r="R100" s="171"/>
      <c r="S100" s="171"/>
      <c r="T100" s="171"/>
      <c r="U100" s="257" t="str">
        <f>IMAGE("http://i.imgur.com/YThwbjs.png",3)</f>
        <v/>
      </c>
      <c r="W100" s="134">
        <v>1.0</v>
      </c>
      <c r="X100" s="251" t="s">
        <v>164</v>
      </c>
      <c r="Y100" s="171"/>
      <c r="Z100" s="171"/>
      <c r="AA100" s="171"/>
      <c r="AB100" s="171"/>
      <c r="AC100" s="171"/>
      <c r="AD100" s="171"/>
      <c r="AE100" s="245"/>
      <c r="AF100" s="245" t="str">
        <f>IMAGE("http://i.imgur.com/4gaCjL0.png",2)</f>
        <v/>
      </c>
      <c r="AG100" s="258" t="s">
        <v>165</v>
      </c>
      <c r="AI100" s="245" t="str">
        <f>IMAGE("http://i.imgur.com/6jVSPeC.png",2)</f>
        <v/>
      </c>
      <c r="AK100" s="258" t="s">
        <v>166</v>
      </c>
      <c r="AM100" s="245" t="str">
        <f>IMAGE("http://i.imgur.com/PtQGPp0.png",2)</f>
        <v/>
      </c>
      <c r="AO100" s="245" t="str">
        <f>IMAGE("http://i.imgur.com/jVB4BpP.png")</f>
        <v/>
      </c>
      <c r="AP100" s="245"/>
      <c r="AQ100" s="3"/>
      <c r="AR100" s="3"/>
      <c r="AS100" s="3"/>
      <c r="AT100" s="7"/>
      <c r="AU100" s="3"/>
      <c r="AV100" s="3"/>
      <c r="AW100" s="3"/>
      <c r="AX100" s="3"/>
      <c r="AY100" s="3"/>
      <c r="AZ100" s="3"/>
      <c r="BA100" s="3"/>
      <c r="BB100" s="3"/>
      <c r="BC100" s="3"/>
    </row>
    <row r="101" ht="15.75" customHeight="1">
      <c r="A101" s="245"/>
      <c r="C101" s="134">
        <v>1.0</v>
      </c>
      <c r="D101" s="251" t="s">
        <v>167</v>
      </c>
      <c r="E101" s="171"/>
      <c r="F101" s="171"/>
      <c r="G101" s="171"/>
      <c r="H101" s="171"/>
      <c r="I101" s="171"/>
      <c r="J101" s="171"/>
      <c r="M101" s="134">
        <v>0.0</v>
      </c>
      <c r="N101" s="251" t="s">
        <v>168</v>
      </c>
      <c r="O101" s="171"/>
      <c r="P101" s="171"/>
      <c r="Q101" s="171"/>
      <c r="R101" s="171"/>
      <c r="S101" s="171"/>
      <c r="T101" s="171"/>
      <c r="W101" s="134">
        <v>0.0</v>
      </c>
      <c r="X101" s="251" t="s">
        <v>169</v>
      </c>
      <c r="Y101" s="171"/>
      <c r="Z101" s="171"/>
      <c r="AA101" s="171"/>
      <c r="AB101" s="171"/>
      <c r="AC101" s="171"/>
      <c r="AD101" s="171"/>
      <c r="AE101" s="245"/>
      <c r="AG101" s="259" t="s">
        <v>170</v>
      </c>
      <c r="AH101" s="25"/>
      <c r="AK101" s="260">
        <f>if(C$91&lt;&gt;"",if(sum(AQ101:AQ102)&gt;0,sum(AQ101:AQ102),"")+if(isnumber(find("magic initiate",feats)),1,""),"")</f>
        <v>4</v>
      </c>
      <c r="AL101" s="25"/>
      <c r="AP101" s="245"/>
      <c r="AQ101" s="3" t="str">
        <f>IFERROR(__xludf.DUMMYFUNCTION("if(countif(AX6:AX15,""Pact Magic""),if(sum(filter($AT$6:$AT$22,$AX$6:$AX$22=""Pact Magic"")),choose(sum(filter($AT$6:$AT$22,$AX$6:$AX$22=""Pact Magic"")),1,2,"""","""","""","""","""","""","""","""","""","""","""","""","""","""","""","""","""",""""),""""),"&amp;""""")"),"")</f>
        <v/>
      </c>
      <c r="AR101" s="3"/>
      <c r="AS101" s="3"/>
      <c r="AT101" s="7"/>
      <c r="AU101" s="3"/>
      <c r="AV101" s="3"/>
      <c r="AW101" s="3"/>
      <c r="AX101" s="3"/>
      <c r="AY101" s="7"/>
      <c r="AZ101" s="2"/>
      <c r="BA101" s="2"/>
      <c r="BB101" s="2"/>
      <c r="BC101" s="2"/>
    </row>
    <row r="102" ht="15.75" customHeight="1">
      <c r="A102" s="245"/>
      <c r="C102" s="134">
        <v>0.0</v>
      </c>
      <c r="D102" s="251" t="s">
        <v>171</v>
      </c>
      <c r="E102" s="171"/>
      <c r="F102" s="171"/>
      <c r="G102" s="171"/>
      <c r="H102" s="171"/>
      <c r="I102" s="171"/>
      <c r="J102" s="171"/>
      <c r="M102" s="134">
        <v>0.0</v>
      </c>
      <c r="N102" s="251" t="s">
        <v>172</v>
      </c>
      <c r="O102" s="171"/>
      <c r="P102" s="171"/>
      <c r="Q102" s="171"/>
      <c r="R102" s="171"/>
      <c r="S102" s="171"/>
      <c r="T102" s="171"/>
      <c r="W102" s="124">
        <v>0.0</v>
      </c>
      <c r="X102" s="253"/>
      <c r="Y102" s="171"/>
      <c r="Z102" s="171"/>
      <c r="AA102" s="171"/>
      <c r="AB102" s="171"/>
      <c r="AC102" s="171"/>
      <c r="AD102" s="171"/>
      <c r="AE102" s="245"/>
      <c r="AG102" s="31"/>
      <c r="AH102" s="31"/>
      <c r="AK102" s="31"/>
      <c r="AL102" s="31"/>
      <c r="AP102" s="245"/>
      <c r="AQ102" s="3">
        <f>if(and(casterLevel&lt;&gt;"",casterLevel&gt;0),choose(casterLevel,2,3,4,4,4,4,4,4,4,4,4,4,4,4,4,4,4,4,4,4),"")</f>
        <v>4</v>
      </c>
      <c r="AR102" s="3"/>
      <c r="AS102" s="3"/>
      <c r="AT102" s="7"/>
      <c r="AU102" s="8"/>
      <c r="AV102" s="3"/>
      <c r="AW102" s="3"/>
      <c r="AX102" s="3"/>
      <c r="AY102" s="7"/>
      <c r="AZ102" s="2"/>
      <c r="BA102" s="2"/>
      <c r="BB102" s="2"/>
      <c r="BC102" s="2"/>
    </row>
    <row r="103" ht="15.75" customHeight="1">
      <c r="A103" s="245"/>
      <c r="C103" s="134">
        <v>0.0</v>
      </c>
      <c r="D103" s="251" t="s">
        <v>173</v>
      </c>
      <c r="E103" s="171"/>
      <c r="F103" s="171"/>
      <c r="G103" s="171"/>
      <c r="H103" s="171"/>
      <c r="I103" s="171"/>
      <c r="J103" s="171"/>
      <c r="M103" s="134">
        <v>0.0</v>
      </c>
      <c r="N103" s="251" t="s">
        <v>174</v>
      </c>
      <c r="O103" s="171"/>
      <c r="P103" s="171"/>
      <c r="Q103" s="171"/>
      <c r="R103" s="171"/>
      <c r="S103" s="171"/>
      <c r="T103" s="171"/>
      <c r="W103" s="124">
        <v>0.0</v>
      </c>
      <c r="X103" s="253"/>
      <c r="Y103" s="171"/>
      <c r="Z103" s="171"/>
      <c r="AA103" s="171"/>
      <c r="AB103" s="171"/>
      <c r="AC103" s="171"/>
      <c r="AD103" s="171"/>
      <c r="AE103" s="245"/>
      <c r="AG103" s="245"/>
      <c r="AH103" s="245"/>
      <c r="AK103" s="245"/>
      <c r="AL103" s="245"/>
      <c r="AP103" s="245"/>
      <c r="AQ103" s="3"/>
      <c r="AR103" s="3"/>
      <c r="AS103" s="3"/>
      <c r="AT103" s="3"/>
      <c r="AU103" s="3"/>
      <c r="AV103" s="3"/>
      <c r="AW103" s="3"/>
      <c r="AX103" s="3"/>
      <c r="AY103" s="7"/>
      <c r="AZ103" s="2"/>
      <c r="BA103" s="2"/>
      <c r="BB103" s="2"/>
      <c r="BC103" s="2"/>
    </row>
    <row r="104" ht="15.75" customHeight="1">
      <c r="A104" s="245"/>
      <c r="C104" s="134">
        <v>1.0</v>
      </c>
      <c r="D104" s="251" t="s">
        <v>175</v>
      </c>
      <c r="E104" s="171"/>
      <c r="F104" s="171"/>
      <c r="G104" s="171"/>
      <c r="H104" s="171"/>
      <c r="I104" s="171"/>
      <c r="J104" s="171"/>
      <c r="M104" s="134">
        <v>0.0</v>
      </c>
      <c r="N104" s="251" t="s">
        <v>176</v>
      </c>
      <c r="O104" s="171"/>
      <c r="P104" s="171"/>
      <c r="Q104" s="171"/>
      <c r="R104" s="171"/>
      <c r="S104" s="171"/>
      <c r="T104" s="171"/>
      <c r="W104" s="124">
        <v>0.0</v>
      </c>
      <c r="X104" s="253"/>
      <c r="Y104" s="171"/>
      <c r="Z104" s="171"/>
      <c r="AA104" s="171"/>
      <c r="AB104" s="171"/>
      <c r="AC104" s="171"/>
      <c r="AD104" s="171"/>
      <c r="AE104" s="205"/>
      <c r="AF104" s="205"/>
      <c r="AG104" s="261" t="s">
        <v>177</v>
      </c>
      <c r="AK104" s="261" t="s">
        <v>178</v>
      </c>
      <c r="AP104" s="245"/>
      <c r="AQ104" s="3"/>
      <c r="AR104" s="3"/>
      <c r="AS104" s="3"/>
      <c r="AT104" s="3"/>
      <c r="AU104" s="3"/>
      <c r="AV104" s="3"/>
      <c r="AW104" s="3"/>
      <c r="AX104" s="3"/>
      <c r="AY104" s="3"/>
      <c r="AZ104" s="3"/>
      <c r="BA104" s="3"/>
      <c r="BB104" s="3"/>
      <c r="BC104" s="3"/>
    </row>
    <row r="105" ht="15.75" customHeight="1">
      <c r="A105" s="245"/>
      <c r="C105" s="256"/>
      <c r="D105" s="262"/>
      <c r="E105" s="256"/>
      <c r="F105" s="256"/>
      <c r="G105" s="256"/>
      <c r="H105" s="256"/>
      <c r="I105" s="256"/>
      <c r="J105" s="256"/>
      <c r="K105" s="256"/>
      <c r="L105" s="256"/>
      <c r="M105" s="256"/>
      <c r="N105" s="256"/>
      <c r="O105" s="256"/>
      <c r="P105" s="256"/>
      <c r="Q105" s="256"/>
      <c r="R105" s="256"/>
      <c r="S105" s="256"/>
      <c r="T105" s="256"/>
      <c r="U105" s="256"/>
      <c r="V105" s="256"/>
      <c r="W105" s="256"/>
      <c r="X105" s="256"/>
      <c r="Y105" s="256"/>
      <c r="Z105" s="256"/>
      <c r="AA105" s="256"/>
      <c r="AB105" s="256"/>
      <c r="AC105" s="256"/>
      <c r="AD105" s="256"/>
      <c r="AE105" s="256"/>
      <c r="AF105" s="256"/>
      <c r="AG105" s="256"/>
      <c r="AH105" s="256"/>
      <c r="AI105" s="256"/>
      <c r="AJ105" s="256"/>
      <c r="AK105" s="256"/>
      <c r="AL105" s="256"/>
      <c r="AM105" s="256"/>
      <c r="AN105" s="256"/>
      <c r="AP105" s="245"/>
      <c r="AQ105" s="3"/>
      <c r="AR105" s="3"/>
      <c r="AS105" s="3"/>
      <c r="AT105" s="3"/>
      <c r="AU105" s="3"/>
      <c r="AV105" s="3"/>
      <c r="AW105" s="3"/>
      <c r="AX105" s="3"/>
      <c r="AY105" s="3"/>
      <c r="AZ105" s="3"/>
      <c r="BA105" s="3"/>
      <c r="BB105" s="3"/>
      <c r="BC105" s="3"/>
    </row>
    <row r="106" ht="15.75" customHeight="1">
      <c r="A106" s="245"/>
      <c r="B106" s="245" t="str">
        <f>IMAGE("http://i.imgur.com/S2iZUIk.png")</f>
        <v/>
      </c>
      <c r="C106" s="263" t="str">
        <f>IMAGE("http://i.imgur.com/DbudP1A.png",2)</f>
        <v/>
      </c>
      <c r="E106" s="258" t="s">
        <v>166</v>
      </c>
      <c r="G106" s="264" t="str">
        <f>IMAGE("http://i.imgur.com/4ww92Ws.png",2)</f>
        <v/>
      </c>
      <c r="I106" s="258" t="s">
        <v>165</v>
      </c>
      <c r="K106" s="246" t="str">
        <f>IMAGE("http://i.imgur.com/GYlWKEy.png",2)</f>
        <v/>
      </c>
      <c r="L106" s="246"/>
      <c r="M106" s="134">
        <v>1.0</v>
      </c>
      <c r="N106" s="251" t="s">
        <v>179</v>
      </c>
      <c r="O106" s="171"/>
      <c r="P106" s="171"/>
      <c r="Q106" s="171"/>
      <c r="R106" s="171"/>
      <c r="S106" s="171"/>
      <c r="T106" s="171"/>
      <c r="U106" s="257" t="str">
        <f>IMAGE("http://i.imgur.com/YThwbjs.png",3)</f>
        <v/>
      </c>
      <c r="W106" s="134">
        <v>0.0</v>
      </c>
      <c r="X106" s="251" t="s">
        <v>180</v>
      </c>
      <c r="Y106" s="171"/>
      <c r="Z106" s="171"/>
      <c r="AA106" s="171"/>
      <c r="AB106" s="171"/>
      <c r="AC106" s="171"/>
      <c r="AD106" s="171"/>
      <c r="AE106" s="257" t="str">
        <f>IMAGE("http://i.imgur.com/YThwbjs.png",3)</f>
        <v/>
      </c>
      <c r="AG106" s="124">
        <v>0.0</v>
      </c>
      <c r="AH106" s="253"/>
      <c r="AI106" s="171"/>
      <c r="AJ106" s="171"/>
      <c r="AK106" s="171"/>
      <c r="AL106" s="171"/>
      <c r="AM106" s="171"/>
      <c r="AN106" s="171"/>
      <c r="AO106" s="245" t="str">
        <f>IMAGE("http://i.imgur.com/jVB4BpP.png")</f>
        <v/>
      </c>
      <c r="AP106" s="245"/>
      <c r="AQ106" s="3"/>
      <c r="AR106" s="3"/>
      <c r="AS106" s="3"/>
      <c r="AT106" s="3"/>
      <c r="AU106" s="3"/>
      <c r="AV106" s="3"/>
      <c r="AW106" s="3"/>
      <c r="AX106" s="3"/>
      <c r="AY106" s="3"/>
      <c r="AZ106" s="3"/>
      <c r="BA106" s="3"/>
      <c r="BB106" s="3"/>
      <c r="BC106" s="3"/>
    </row>
    <row r="107" ht="15.75" customHeight="1">
      <c r="A107" s="245"/>
      <c r="E107" s="265">
        <f>if(and($C$91&lt;&gt;"",sum(AQ107:AQ108)&gt;0),sum(AQ107:AQ108),"")</f>
        <v>3</v>
      </c>
      <c r="F107" s="25"/>
      <c r="I107" s="259" t="s">
        <v>181</v>
      </c>
      <c r="J107" s="25"/>
      <c r="L107" s="246"/>
      <c r="M107" s="134">
        <v>0.0</v>
      </c>
      <c r="N107" s="251" t="s">
        <v>182</v>
      </c>
      <c r="O107" s="171"/>
      <c r="P107" s="171"/>
      <c r="Q107" s="171"/>
      <c r="R107" s="171"/>
      <c r="S107" s="171"/>
      <c r="T107" s="171"/>
      <c r="W107" s="134">
        <v>0.0</v>
      </c>
      <c r="X107" s="251" t="s">
        <v>183</v>
      </c>
      <c r="Y107" s="171"/>
      <c r="Z107" s="171"/>
      <c r="AA107" s="171"/>
      <c r="AB107" s="171"/>
      <c r="AC107" s="171"/>
      <c r="AD107" s="171"/>
      <c r="AG107" s="124">
        <v>0.0</v>
      </c>
      <c r="AH107" s="253"/>
      <c r="AI107" s="171"/>
      <c r="AJ107" s="171"/>
      <c r="AK107" s="171"/>
      <c r="AL107" s="171"/>
      <c r="AM107" s="171"/>
      <c r="AN107" s="171"/>
      <c r="AP107" s="245"/>
      <c r="AQ107" s="3" t="str">
        <f>IFERROR(__xludf.DUMMYFUNCTION("if(countif(AX6:AX15,""Pact Magic""),if(sum(filter($AT$6:$AT$22,$AX$6:$AX$22=""Pact Magic"")),choose(sum(filter($AT$6:$AT$22,$AX$6:$AX$22=""Pact Magic"")),"""","""",2,2,"""","""","""","""","""","""","""","""","""","""","""","""","""","""","""",""""),""""),"&amp;""""")"),"")</f>
        <v/>
      </c>
      <c r="AR107" s="3"/>
      <c r="AS107" s="3"/>
      <c r="AT107" s="3"/>
      <c r="AU107" s="3"/>
      <c r="AV107" s="3"/>
      <c r="AW107" s="3"/>
      <c r="AX107" s="3"/>
      <c r="AY107" s="3"/>
      <c r="AZ107" s="3"/>
      <c r="BA107" s="3"/>
      <c r="BB107" s="3"/>
      <c r="BC107" s="3"/>
    </row>
    <row r="108" ht="15.75" customHeight="1">
      <c r="A108" s="245"/>
      <c r="E108" s="31"/>
      <c r="F108" s="31"/>
      <c r="I108" s="31"/>
      <c r="J108" s="31"/>
      <c r="L108" s="246"/>
      <c r="M108" s="134">
        <v>0.0</v>
      </c>
      <c r="N108" s="251" t="s">
        <v>184</v>
      </c>
      <c r="O108" s="171"/>
      <c r="P108" s="171"/>
      <c r="Q108" s="171"/>
      <c r="R108" s="171"/>
      <c r="S108" s="171"/>
      <c r="T108" s="171"/>
      <c r="W108" s="134">
        <v>0.0</v>
      </c>
      <c r="X108" s="251" t="s">
        <v>185</v>
      </c>
      <c r="Y108" s="171"/>
      <c r="Z108" s="171"/>
      <c r="AA108" s="171"/>
      <c r="AB108" s="171"/>
      <c r="AC108" s="171"/>
      <c r="AD108" s="171"/>
      <c r="AG108" s="124">
        <v>0.0</v>
      </c>
      <c r="AH108" s="253"/>
      <c r="AI108" s="171"/>
      <c r="AJ108" s="171"/>
      <c r="AK108" s="171"/>
      <c r="AL108" s="171"/>
      <c r="AM108" s="171"/>
      <c r="AN108" s="171"/>
      <c r="AP108" s="245"/>
      <c r="AQ108" s="3">
        <f>if(and(casterLevel&lt;&gt;"",casterLevel&gt;0),choose(casterLevel,"","",2,3,3,3,3,3,3,3,3,3,3,3,3,3,3,3,3,3),"")</f>
        <v>3</v>
      </c>
      <c r="AR108" s="3"/>
      <c r="AS108" s="3"/>
      <c r="AT108" s="3"/>
      <c r="AU108" s="3"/>
      <c r="AV108" s="3"/>
      <c r="AW108" s="3"/>
      <c r="AX108" s="3"/>
      <c r="AY108" s="3"/>
      <c r="AZ108" s="3"/>
      <c r="BA108" s="3"/>
      <c r="BB108" s="3"/>
      <c r="BC108" s="3"/>
    </row>
    <row r="109" ht="15.75" customHeight="1">
      <c r="A109" s="245"/>
      <c r="E109" s="246"/>
      <c r="F109" s="246"/>
      <c r="I109" s="246"/>
      <c r="J109" s="246"/>
      <c r="L109" s="246"/>
      <c r="M109" s="134">
        <v>0.0</v>
      </c>
      <c r="N109" s="251" t="s">
        <v>186</v>
      </c>
      <c r="O109" s="171"/>
      <c r="P109" s="171"/>
      <c r="Q109" s="171"/>
      <c r="R109" s="171"/>
      <c r="S109" s="171"/>
      <c r="T109" s="171"/>
      <c r="W109" s="134">
        <v>1.0</v>
      </c>
      <c r="X109" s="251" t="s">
        <v>187</v>
      </c>
      <c r="Y109" s="171"/>
      <c r="Z109" s="171"/>
      <c r="AA109" s="171"/>
      <c r="AB109" s="171"/>
      <c r="AC109" s="171"/>
      <c r="AD109" s="171"/>
      <c r="AG109" s="124">
        <v>0.0</v>
      </c>
      <c r="AH109" s="253"/>
      <c r="AI109" s="171"/>
      <c r="AJ109" s="171"/>
      <c r="AK109" s="171"/>
      <c r="AL109" s="171"/>
      <c r="AM109" s="171"/>
      <c r="AN109" s="171"/>
      <c r="AP109" s="245"/>
      <c r="AQ109" s="3"/>
      <c r="AR109" s="3"/>
      <c r="AS109" s="3"/>
      <c r="AT109" s="3"/>
      <c r="AU109" s="3"/>
      <c r="AV109" s="3"/>
      <c r="AW109" s="3"/>
      <c r="AX109" s="3"/>
      <c r="AY109" s="7"/>
      <c r="AZ109" s="2"/>
      <c r="BA109" s="2"/>
      <c r="BB109" s="2"/>
      <c r="BC109" s="2"/>
    </row>
    <row r="110" ht="15.75" customHeight="1">
      <c r="A110" s="245"/>
      <c r="C110" s="205"/>
      <c r="D110" s="205"/>
      <c r="E110" s="205"/>
      <c r="F110" s="205"/>
      <c r="G110" s="205"/>
      <c r="H110" s="205"/>
      <c r="I110" s="205"/>
      <c r="J110" s="205"/>
      <c r="K110" s="205"/>
      <c r="L110" s="205"/>
      <c r="M110" s="134">
        <v>0.0</v>
      </c>
      <c r="N110" s="251" t="s">
        <v>188</v>
      </c>
      <c r="O110" s="171"/>
      <c r="P110" s="171"/>
      <c r="Q110" s="171"/>
      <c r="R110" s="171"/>
      <c r="S110" s="171"/>
      <c r="T110" s="171"/>
      <c r="W110" s="124">
        <v>0.0</v>
      </c>
      <c r="X110" s="251" t="s">
        <v>189</v>
      </c>
      <c r="Y110" s="171"/>
      <c r="Z110" s="171"/>
      <c r="AA110" s="171"/>
      <c r="AB110" s="171"/>
      <c r="AC110" s="171"/>
      <c r="AD110" s="171"/>
      <c r="AG110" s="124">
        <v>0.0</v>
      </c>
      <c r="AH110" s="253"/>
      <c r="AI110" s="171"/>
      <c r="AJ110" s="171"/>
      <c r="AK110" s="171"/>
      <c r="AL110" s="171"/>
      <c r="AM110" s="171"/>
      <c r="AN110" s="171"/>
      <c r="AP110" s="245"/>
      <c r="AQ110" s="3"/>
      <c r="AR110" s="3"/>
      <c r="AS110" s="3"/>
      <c r="AT110" s="3"/>
      <c r="AU110" s="3"/>
      <c r="AV110" s="3"/>
      <c r="AW110" s="3"/>
      <c r="AX110" s="3"/>
      <c r="AY110" s="7"/>
      <c r="AZ110" s="2"/>
      <c r="BA110" s="2"/>
      <c r="BB110" s="2"/>
      <c r="BC110" s="2"/>
    </row>
    <row r="111" ht="15.75" customHeight="1">
      <c r="A111" s="245"/>
      <c r="C111" s="256"/>
      <c r="D111" s="256"/>
      <c r="E111" s="256"/>
      <c r="F111" s="256"/>
      <c r="G111" s="256"/>
      <c r="H111" s="256"/>
      <c r="I111" s="256"/>
      <c r="J111" s="256"/>
      <c r="K111" s="256"/>
      <c r="L111" s="256"/>
      <c r="M111" s="256"/>
      <c r="N111" s="256"/>
      <c r="O111" s="256"/>
      <c r="P111" s="256"/>
      <c r="Q111" s="256"/>
      <c r="R111" s="256"/>
      <c r="S111" s="256"/>
      <c r="T111" s="256"/>
      <c r="U111" s="256"/>
      <c r="V111" s="256" t="str">
        <f>if(E107="","You can hide each level of spells individually by hiding the rows (on the left).","")</f>
        <v/>
      </c>
      <c r="W111" s="256"/>
      <c r="X111" s="256"/>
      <c r="Y111" s="256"/>
      <c r="Z111" s="256"/>
      <c r="AA111" s="256"/>
      <c r="AB111" s="256"/>
      <c r="AC111" s="256"/>
      <c r="AD111" s="256"/>
      <c r="AE111" s="256"/>
      <c r="AF111" s="256"/>
      <c r="AG111" s="256"/>
      <c r="AH111" s="256"/>
      <c r="AI111" s="256"/>
      <c r="AJ111" s="256"/>
      <c r="AK111" s="256"/>
      <c r="AL111" s="256"/>
      <c r="AM111" s="256"/>
      <c r="AN111" s="266"/>
      <c r="AP111" s="245"/>
      <c r="AQ111" s="3"/>
      <c r="AR111" s="3"/>
      <c r="AS111" s="3"/>
      <c r="AT111" s="3"/>
      <c r="AU111" s="3"/>
      <c r="AV111" s="3"/>
      <c r="AW111" s="3"/>
      <c r="AX111" s="3"/>
      <c r="AY111" s="7"/>
      <c r="AZ111" s="2"/>
      <c r="BA111" s="2"/>
      <c r="BB111" s="2"/>
      <c r="BC111" s="2"/>
    </row>
    <row r="112" ht="15.75" customHeight="1">
      <c r="A112" s="245"/>
      <c r="B112" s="245" t="str">
        <f>IMAGE("http://i.imgur.com/S2iZUIk.png")</f>
        <v/>
      </c>
      <c r="C112" s="134">
        <v>0.0</v>
      </c>
      <c r="D112" s="251" t="s">
        <v>190</v>
      </c>
      <c r="E112" s="171"/>
      <c r="F112" s="171"/>
      <c r="G112" s="171"/>
      <c r="H112" s="171"/>
      <c r="I112" s="171"/>
      <c r="J112" s="171"/>
      <c r="K112" s="257" t="str">
        <f>IMAGE("http://i.imgur.com/YThwbjs.png",3)</f>
        <v/>
      </c>
      <c r="M112" s="134">
        <v>1.0</v>
      </c>
      <c r="N112" s="251" t="s">
        <v>191</v>
      </c>
      <c r="O112" s="171"/>
      <c r="P112" s="171"/>
      <c r="Q112" s="171"/>
      <c r="R112" s="171"/>
      <c r="S112" s="171"/>
      <c r="T112" s="171"/>
      <c r="U112" s="257" t="str">
        <f>IMAGE("http://i.imgur.com/YThwbjs.png",3)</f>
        <v/>
      </c>
      <c r="W112" s="124">
        <v>0.0</v>
      </c>
      <c r="X112" s="253"/>
      <c r="Y112" s="171"/>
      <c r="Z112" s="171"/>
      <c r="AA112" s="171"/>
      <c r="AB112" s="171"/>
      <c r="AC112" s="171"/>
      <c r="AD112" s="171"/>
      <c r="AE112" s="245"/>
      <c r="AF112" s="245" t="str">
        <f>IMAGE("http://i.imgur.com/4gaCjL0.png",2)</f>
        <v/>
      </c>
      <c r="AG112" s="267"/>
      <c r="AH112" s="267"/>
      <c r="AI112" s="245" t="str">
        <f>IMAGE("http://i.imgur.com/6jVSPeC.png",2)</f>
        <v/>
      </c>
      <c r="AK112" s="267"/>
      <c r="AL112" s="267"/>
      <c r="AM112" s="245" t="str">
        <f>IMAGE("http://i.imgur.com/VunFGZ6.png",2)</f>
        <v/>
      </c>
      <c r="AO112" s="245" t="str">
        <f>IMAGE("http://i.imgur.com/jVB4BpP.png")</f>
        <v/>
      </c>
      <c r="AP112" s="245"/>
      <c r="AQ112" s="3"/>
      <c r="AR112" s="3"/>
      <c r="AS112" s="3"/>
      <c r="AT112" s="3"/>
      <c r="AU112" s="3"/>
      <c r="AV112" s="3"/>
      <c r="AW112" s="3"/>
      <c r="AX112" s="3"/>
      <c r="AY112" s="7"/>
      <c r="AZ112" s="2"/>
      <c r="BA112" s="2"/>
      <c r="BB112" s="2"/>
      <c r="BC112" s="2"/>
    </row>
    <row r="113" ht="15.75" customHeight="1">
      <c r="A113" s="245"/>
      <c r="C113" s="134">
        <v>1.0</v>
      </c>
      <c r="D113" s="251" t="s">
        <v>192</v>
      </c>
      <c r="E113" s="171"/>
      <c r="F113" s="171"/>
      <c r="G113" s="171"/>
      <c r="H113" s="171"/>
      <c r="I113" s="171"/>
      <c r="J113" s="171"/>
      <c r="M113" s="134">
        <v>1.0</v>
      </c>
      <c r="N113" s="251" t="s">
        <v>193</v>
      </c>
      <c r="O113" s="171"/>
      <c r="P113" s="171"/>
      <c r="Q113" s="171"/>
      <c r="R113" s="171"/>
      <c r="S113" s="171"/>
      <c r="T113" s="171"/>
      <c r="W113" s="124">
        <v>0.0</v>
      </c>
      <c r="X113" s="253"/>
      <c r="Y113" s="171"/>
      <c r="Z113" s="171"/>
      <c r="AA113" s="171"/>
      <c r="AB113" s="171"/>
      <c r="AC113" s="171"/>
      <c r="AD113" s="171"/>
      <c r="AE113" s="245"/>
      <c r="AG113" s="259" t="s">
        <v>178</v>
      </c>
      <c r="AH113" s="25"/>
      <c r="AK113" s="265">
        <f>if(and($C$91&lt;&gt;"",sum(AQ113:AQ114)&gt;0),sum(AQ113:AQ114),"")</f>
        <v>3</v>
      </c>
      <c r="AL113" s="25"/>
      <c r="AP113" s="245"/>
      <c r="AQ113" s="3" t="str">
        <f>IFERROR(__xludf.DUMMYFUNCTION("if(countif(AX6:AX15,""Pact Magic""),if(sum(filter($AT$6:$AT$22,$AX$6:$AX$22=""Pact Magic"")),choose(sum(filter($AT$6:$AT$22,$AX$6:$AX$22=""Pact Magic"")),"""","""","""","""",2,2,"""","""","""","""","""","""","""","""","""","""","""","""","""",""""),""""),"&amp;""""")"),"")</f>
        <v/>
      </c>
      <c r="AR113" s="3"/>
      <c r="AS113" s="3"/>
      <c r="AT113" s="3"/>
      <c r="AU113" s="3"/>
      <c r="AV113" s="3"/>
      <c r="AW113" s="3"/>
      <c r="AX113" s="3"/>
      <c r="AY113" s="7"/>
      <c r="AZ113" s="2"/>
      <c r="BA113" s="2"/>
      <c r="BB113" s="2"/>
      <c r="BC113" s="2"/>
    </row>
    <row r="114" ht="15.75" customHeight="1">
      <c r="A114" s="245"/>
      <c r="C114" s="134">
        <v>0.0</v>
      </c>
      <c r="D114" s="251" t="s">
        <v>194</v>
      </c>
      <c r="E114" s="171"/>
      <c r="F114" s="171"/>
      <c r="G114" s="171"/>
      <c r="H114" s="171"/>
      <c r="I114" s="171"/>
      <c r="J114" s="171"/>
      <c r="M114" s="124">
        <v>0.0</v>
      </c>
      <c r="N114" s="253"/>
      <c r="O114" s="171"/>
      <c r="P114" s="171"/>
      <c r="Q114" s="171"/>
      <c r="R114" s="171"/>
      <c r="S114" s="171"/>
      <c r="T114" s="171"/>
      <c r="W114" s="124">
        <v>0.0</v>
      </c>
      <c r="X114" s="253"/>
      <c r="Y114" s="171"/>
      <c r="Z114" s="171"/>
      <c r="AA114" s="171"/>
      <c r="AB114" s="171"/>
      <c r="AC114" s="171"/>
      <c r="AD114" s="171"/>
      <c r="AE114" s="245"/>
      <c r="AG114" s="31"/>
      <c r="AH114" s="31"/>
      <c r="AK114" s="31"/>
      <c r="AL114" s="31"/>
      <c r="AP114" s="245"/>
      <c r="AQ114" s="3">
        <f>if(and(casterLevel&lt;&gt;"",casterLevel&gt;0),choose(casterLevel,"","","","",2,3,3,3,3,3,3,3,3,3,3,3,3,3,3,3),"")</f>
        <v>3</v>
      </c>
      <c r="AR114" s="3"/>
      <c r="AS114" s="3"/>
      <c r="AT114" s="3"/>
      <c r="AU114" s="3"/>
      <c r="AV114" s="3"/>
      <c r="AW114" s="3"/>
      <c r="AX114" s="3"/>
      <c r="AY114" s="7"/>
      <c r="AZ114" s="2"/>
      <c r="BA114" s="2"/>
      <c r="BB114" s="2"/>
      <c r="BC114" s="2"/>
    </row>
    <row r="115" ht="15.75" customHeight="1">
      <c r="A115" s="245"/>
      <c r="C115" s="134">
        <v>1.0</v>
      </c>
      <c r="D115" s="251" t="s">
        <v>195</v>
      </c>
      <c r="E115" s="171"/>
      <c r="F115" s="171"/>
      <c r="G115" s="171"/>
      <c r="H115" s="171"/>
      <c r="I115" s="171"/>
      <c r="J115" s="171"/>
      <c r="M115" s="124">
        <v>0.0</v>
      </c>
      <c r="N115" s="253"/>
      <c r="O115" s="171"/>
      <c r="P115" s="171"/>
      <c r="Q115" s="171"/>
      <c r="R115" s="171"/>
      <c r="S115" s="171"/>
      <c r="T115" s="171"/>
      <c r="W115" s="124">
        <v>0.0</v>
      </c>
      <c r="X115" s="253"/>
      <c r="Y115" s="171"/>
      <c r="Z115" s="171"/>
      <c r="AA115" s="171"/>
      <c r="AB115" s="171"/>
      <c r="AC115" s="171"/>
      <c r="AD115" s="171"/>
      <c r="AE115" s="245"/>
      <c r="AG115" s="245"/>
      <c r="AH115" s="245"/>
      <c r="AK115" s="245"/>
      <c r="AL115" s="245"/>
      <c r="AP115" s="245"/>
      <c r="AQ115" s="3"/>
      <c r="AR115" s="3"/>
      <c r="AS115" s="3"/>
      <c r="AT115" s="3"/>
      <c r="AU115" s="3"/>
      <c r="AV115" s="3"/>
      <c r="AW115" s="3"/>
      <c r="AX115" s="3"/>
      <c r="AY115" s="7"/>
      <c r="AZ115" s="2"/>
      <c r="BA115" s="2"/>
      <c r="BB115" s="2"/>
      <c r="BC115" s="2"/>
    </row>
    <row r="116" ht="15.75" customHeight="1">
      <c r="A116" s="245"/>
      <c r="C116" s="134">
        <v>0.0</v>
      </c>
      <c r="D116" s="251" t="s">
        <v>196</v>
      </c>
      <c r="E116" s="171"/>
      <c r="F116" s="171"/>
      <c r="G116" s="171"/>
      <c r="H116" s="171"/>
      <c r="I116" s="171"/>
      <c r="J116" s="171"/>
      <c r="M116" s="124">
        <v>0.0</v>
      </c>
      <c r="N116" s="253"/>
      <c r="O116" s="171"/>
      <c r="P116" s="171"/>
      <c r="Q116" s="171"/>
      <c r="R116" s="171"/>
      <c r="S116" s="171"/>
      <c r="T116" s="171"/>
      <c r="W116" s="124">
        <v>0.0</v>
      </c>
      <c r="X116" s="253"/>
      <c r="Y116" s="171"/>
      <c r="Z116" s="171"/>
      <c r="AA116" s="171"/>
      <c r="AB116" s="171"/>
      <c r="AC116" s="171"/>
      <c r="AD116" s="171"/>
      <c r="AE116" s="205"/>
      <c r="AF116" s="268"/>
      <c r="AG116" s="268"/>
      <c r="AH116" s="268"/>
      <c r="AI116" s="268"/>
      <c r="AJ116" s="268"/>
      <c r="AK116" s="268"/>
      <c r="AL116" s="268"/>
      <c r="AM116" s="268"/>
      <c r="AN116" s="268"/>
      <c r="AP116" s="245"/>
      <c r="AQ116" s="3"/>
      <c r="AR116" s="3"/>
      <c r="AS116" s="3"/>
      <c r="AT116" s="3"/>
      <c r="AU116" s="3"/>
      <c r="AV116" s="3"/>
      <c r="AW116" s="3"/>
      <c r="AX116" s="3"/>
      <c r="AY116" s="7"/>
      <c r="AZ116" s="2"/>
      <c r="BA116" s="2"/>
      <c r="BB116" s="2"/>
      <c r="BC116" s="2"/>
    </row>
    <row r="117" ht="15.75" customHeight="1">
      <c r="A117" s="245"/>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c r="Z117" s="256"/>
      <c r="AA117" s="256"/>
      <c r="AB117" s="256"/>
      <c r="AC117" s="256"/>
      <c r="AD117" s="256"/>
      <c r="AE117" s="256"/>
      <c r="AF117" s="256"/>
      <c r="AG117" s="256"/>
      <c r="AH117" s="256"/>
      <c r="AI117" s="256"/>
      <c r="AJ117" s="256"/>
      <c r="AK117" s="256"/>
      <c r="AL117" s="256"/>
      <c r="AM117" s="256"/>
      <c r="AN117" s="256"/>
      <c r="AP117" s="245"/>
      <c r="AQ117" s="3"/>
      <c r="AR117" s="3"/>
      <c r="AS117" s="3"/>
      <c r="AT117" s="3"/>
      <c r="AU117" s="3"/>
      <c r="AV117" s="3"/>
      <c r="AW117" s="3"/>
      <c r="AX117" s="3"/>
      <c r="AY117" s="7"/>
      <c r="AZ117" s="2"/>
      <c r="BA117" s="2"/>
      <c r="BB117" s="2"/>
      <c r="BC117" s="2"/>
    </row>
    <row r="118" ht="15.75" customHeight="1">
      <c r="A118" s="245"/>
      <c r="B118" s="245" t="str">
        <f>IMAGE("http://i.imgur.com/DhOsDAQ.png")</f>
        <v/>
      </c>
      <c r="C118" s="263" t="str">
        <f>IMAGE("http://i.imgur.com/fhNGYbL.png",2)</f>
        <v/>
      </c>
      <c r="E118" s="267"/>
      <c r="G118" s="264" t="str">
        <f>IMAGE("http://i.imgur.com/4ww92Ws.png",2)</f>
        <v/>
      </c>
      <c r="I118" s="267"/>
      <c r="K118" s="246" t="str">
        <f>IMAGE("http://i.imgur.com/GYlWKEy.png",2)</f>
        <v/>
      </c>
      <c r="L118" s="246"/>
      <c r="M118" s="134">
        <v>1.0</v>
      </c>
      <c r="N118" s="251" t="s">
        <v>197</v>
      </c>
      <c r="O118" s="171"/>
      <c r="P118" s="171"/>
      <c r="Q118" s="171"/>
      <c r="R118" s="171"/>
      <c r="S118" s="171"/>
      <c r="T118" s="171"/>
      <c r="U118" s="269" t="str">
        <f>IMAGE("http://i.imgur.com/1atTEws.png",3)</f>
        <v/>
      </c>
      <c r="W118" s="134">
        <v>1.0</v>
      </c>
      <c r="X118" s="251" t="s">
        <v>198</v>
      </c>
      <c r="Y118" s="171"/>
      <c r="Z118" s="171"/>
      <c r="AA118" s="171"/>
      <c r="AB118" s="171"/>
      <c r="AC118" s="171"/>
      <c r="AD118" s="171"/>
      <c r="AE118" s="269" t="str">
        <f>IMAGE("http://i.imgur.com/1atTEws.png",3)</f>
        <v/>
      </c>
      <c r="AG118" s="124">
        <v>0.0</v>
      </c>
      <c r="AH118" s="253"/>
      <c r="AI118" s="171"/>
      <c r="AJ118" s="171"/>
      <c r="AK118" s="171"/>
      <c r="AL118" s="171"/>
      <c r="AM118" s="171"/>
      <c r="AN118" s="171"/>
      <c r="AO118" s="245" t="str">
        <f>IMAGE("http://i.imgur.com/NNIwrh4.png",3)</f>
        <v/>
      </c>
      <c r="AP118" s="245"/>
      <c r="AQ118" s="3"/>
      <c r="AR118" s="3"/>
      <c r="AS118" s="3"/>
      <c r="AT118" s="3"/>
      <c r="AU118" s="3"/>
      <c r="AV118" s="3"/>
      <c r="AW118" s="3"/>
      <c r="AX118" s="3"/>
      <c r="AY118" s="7"/>
      <c r="AZ118" s="2"/>
      <c r="BA118" s="2"/>
      <c r="BB118" s="2"/>
      <c r="BC118" s="2"/>
    </row>
    <row r="119" ht="15.75" customHeight="1">
      <c r="A119" s="245"/>
      <c r="E119" s="265">
        <f>if(and($C$91&lt;&gt;"",sum(AQ119:AQ120)&gt;0),sum(AQ119:AQ120),"")</f>
        <v>2</v>
      </c>
      <c r="F119" s="25"/>
      <c r="I119" s="259" t="s">
        <v>199</v>
      </c>
      <c r="J119" s="25"/>
      <c r="L119" s="246"/>
      <c r="M119" s="124">
        <v>0.0</v>
      </c>
      <c r="N119" s="251" t="s">
        <v>200</v>
      </c>
      <c r="O119" s="171"/>
      <c r="P119" s="171"/>
      <c r="Q119" s="171"/>
      <c r="R119" s="171"/>
      <c r="S119" s="171"/>
      <c r="T119" s="171"/>
      <c r="W119" s="124">
        <v>0.0</v>
      </c>
      <c r="X119" s="253"/>
      <c r="Y119" s="171"/>
      <c r="Z119" s="171"/>
      <c r="AA119" s="171"/>
      <c r="AB119" s="171"/>
      <c r="AC119" s="171"/>
      <c r="AD119" s="171"/>
      <c r="AG119" s="124">
        <v>0.0</v>
      </c>
      <c r="AH119" s="253"/>
      <c r="AI119" s="171"/>
      <c r="AJ119" s="171"/>
      <c r="AK119" s="171"/>
      <c r="AL119" s="171"/>
      <c r="AM119" s="171"/>
      <c r="AN119" s="171"/>
      <c r="AP119" s="245"/>
      <c r="AQ119" s="3" t="str">
        <f>IFERROR(__xludf.DUMMYFUNCTION("if(countif(AX6:AX15,""Pact Magic""),if(sum(filter($AT$6:$AT$22,$AX$6:$AX$22=""Pact Magic"")),choose(sum(filter($AT$6:$AT$22,$AX$6:$AX$22=""Pact Magic"")),"""","""","""","""","""","""",2,2,"""","""","""","""","""","""","""","""","""","""","""",""""),""""),"&amp;""""")"),"")</f>
        <v/>
      </c>
      <c r="AR119" s="3"/>
      <c r="AS119" s="3"/>
      <c r="AT119" s="3"/>
      <c r="AU119" s="3"/>
      <c r="AV119" s="3"/>
      <c r="AW119" s="3"/>
      <c r="AX119" s="3"/>
      <c r="AY119" s="7"/>
      <c r="AZ119" s="2"/>
      <c r="BA119" s="2"/>
      <c r="BB119" s="2"/>
      <c r="BC119" s="2"/>
    </row>
    <row r="120" ht="15.75" customHeight="1">
      <c r="A120" s="245"/>
      <c r="E120" s="31"/>
      <c r="F120" s="31"/>
      <c r="I120" s="31"/>
      <c r="J120" s="31"/>
      <c r="L120" s="246"/>
      <c r="M120" s="134">
        <v>0.0</v>
      </c>
      <c r="N120" s="251" t="s">
        <v>201</v>
      </c>
      <c r="O120" s="171"/>
      <c r="P120" s="171"/>
      <c r="Q120" s="171"/>
      <c r="R120" s="171"/>
      <c r="S120" s="171"/>
      <c r="T120" s="171"/>
      <c r="W120" s="124">
        <v>0.0</v>
      </c>
      <c r="X120" s="253"/>
      <c r="Y120" s="171"/>
      <c r="Z120" s="171"/>
      <c r="AA120" s="171"/>
      <c r="AB120" s="171"/>
      <c r="AC120" s="171"/>
      <c r="AD120" s="171"/>
      <c r="AG120" s="124">
        <v>0.0</v>
      </c>
      <c r="AH120" s="253"/>
      <c r="AI120" s="171"/>
      <c r="AJ120" s="171"/>
      <c r="AK120" s="171"/>
      <c r="AL120" s="171"/>
      <c r="AM120" s="171"/>
      <c r="AN120" s="171"/>
      <c r="AP120" s="245"/>
      <c r="AQ120" s="3">
        <f>if(and(casterLevel&lt;&gt;"",casterLevel&gt;0),choose(casterLevel,"","","","","","",1,2,3,3,3,3,3,3,3,3,3,3,3,3),"")</f>
        <v>2</v>
      </c>
      <c r="AR120" s="3"/>
      <c r="AS120" s="3"/>
      <c r="AT120" s="3"/>
      <c r="AU120" s="3"/>
      <c r="AV120" s="3"/>
      <c r="AW120" s="3"/>
      <c r="AX120" s="3"/>
      <c r="AY120" s="7"/>
      <c r="AZ120" s="2"/>
      <c r="BA120" s="2"/>
      <c r="BB120" s="2"/>
      <c r="BC120" s="2"/>
    </row>
    <row r="121" ht="15.75" customHeight="1">
      <c r="A121" s="245"/>
      <c r="E121" s="246"/>
      <c r="F121" s="246"/>
      <c r="I121" s="246"/>
      <c r="J121" s="246"/>
      <c r="L121" s="246"/>
      <c r="M121" s="134">
        <v>0.0</v>
      </c>
      <c r="N121" s="251" t="s">
        <v>202</v>
      </c>
      <c r="O121" s="171"/>
      <c r="P121" s="171"/>
      <c r="Q121" s="171"/>
      <c r="R121" s="171"/>
      <c r="S121" s="171"/>
      <c r="T121" s="171"/>
      <c r="W121" s="124">
        <v>0.0</v>
      </c>
      <c r="X121" s="253"/>
      <c r="Y121" s="171"/>
      <c r="Z121" s="171"/>
      <c r="AA121" s="171"/>
      <c r="AB121" s="171"/>
      <c r="AC121" s="171"/>
      <c r="AD121" s="171"/>
      <c r="AG121" s="124">
        <v>0.0</v>
      </c>
      <c r="AH121" s="253"/>
      <c r="AI121" s="171"/>
      <c r="AJ121" s="171"/>
      <c r="AK121" s="171"/>
      <c r="AL121" s="171"/>
      <c r="AM121" s="171"/>
      <c r="AN121" s="171"/>
      <c r="AP121" s="245"/>
      <c r="AQ121" s="3"/>
      <c r="AR121" s="3"/>
      <c r="AS121" s="3"/>
      <c r="AT121" s="3"/>
      <c r="AU121" s="3"/>
      <c r="AV121" s="3"/>
      <c r="AW121" s="3"/>
      <c r="AX121" s="3"/>
      <c r="AY121" s="7"/>
      <c r="AZ121" s="2"/>
      <c r="BA121" s="2"/>
      <c r="BB121" s="2"/>
      <c r="BC121" s="2"/>
    </row>
    <row r="122" ht="15.75" customHeight="1">
      <c r="A122" s="245"/>
      <c r="C122" s="256"/>
      <c r="D122" s="256"/>
      <c r="E122" s="256"/>
      <c r="F122" s="256"/>
      <c r="G122" s="256"/>
      <c r="H122" s="256"/>
      <c r="I122" s="256"/>
      <c r="J122" s="256"/>
      <c r="K122" s="256"/>
      <c r="L122" s="256"/>
      <c r="M122" s="256"/>
      <c r="N122" s="256"/>
      <c r="O122" s="256"/>
      <c r="P122" s="256"/>
      <c r="Q122" s="256"/>
      <c r="R122" s="256"/>
      <c r="S122" s="256"/>
      <c r="T122" s="256"/>
      <c r="U122" s="256"/>
      <c r="V122" s="256"/>
      <c r="W122" s="256"/>
      <c r="X122" s="256"/>
      <c r="Y122" s="256"/>
      <c r="Z122" s="256"/>
      <c r="AA122" s="256"/>
      <c r="AB122" s="256"/>
      <c r="AC122" s="256"/>
      <c r="AD122" s="256"/>
      <c r="AE122" s="256"/>
      <c r="AF122" s="256"/>
      <c r="AG122" s="256"/>
      <c r="AH122" s="256"/>
      <c r="AI122" s="256"/>
      <c r="AJ122" s="256"/>
      <c r="AK122" s="256"/>
      <c r="AL122" s="256"/>
      <c r="AM122" s="256"/>
      <c r="AN122" s="256"/>
      <c r="AP122" s="245"/>
      <c r="AQ122" s="3"/>
      <c r="AR122" s="3"/>
      <c r="AS122" s="3"/>
      <c r="AT122" s="3"/>
      <c r="AU122" s="3"/>
      <c r="AV122" s="3"/>
      <c r="AW122" s="3"/>
      <c r="AX122" s="3"/>
      <c r="AY122" s="7"/>
      <c r="AZ122" s="2"/>
      <c r="BA122" s="2"/>
      <c r="BB122" s="2"/>
      <c r="BC122" s="2"/>
    </row>
    <row r="123" ht="15.75" customHeight="1">
      <c r="A123" s="245"/>
      <c r="B123" s="245" t="str">
        <f>IMAGE("http://i.imgur.com/DhOsDAQ.png")</f>
        <v/>
      </c>
      <c r="C123" s="124">
        <v>0.0</v>
      </c>
      <c r="D123" s="253"/>
      <c r="E123" s="171"/>
      <c r="F123" s="171"/>
      <c r="G123" s="171"/>
      <c r="H123" s="171"/>
      <c r="I123" s="171"/>
      <c r="J123" s="171"/>
      <c r="K123" s="269" t="str">
        <f>IMAGE("http://i.imgur.com/1atTEws.png",3)</f>
        <v/>
      </c>
      <c r="M123" s="124">
        <v>0.0</v>
      </c>
      <c r="N123" s="253"/>
      <c r="O123" s="171"/>
      <c r="P123" s="171"/>
      <c r="Q123" s="171"/>
      <c r="R123" s="171"/>
      <c r="S123" s="171"/>
      <c r="T123" s="171"/>
      <c r="U123" s="269" t="str">
        <f>IMAGE("http://i.imgur.com/1atTEws.png",3)</f>
        <v/>
      </c>
      <c r="W123" s="124">
        <v>0.0</v>
      </c>
      <c r="X123" s="253"/>
      <c r="Y123" s="171"/>
      <c r="Z123" s="171"/>
      <c r="AA123" s="171"/>
      <c r="AB123" s="171"/>
      <c r="AC123" s="171"/>
      <c r="AD123" s="171"/>
      <c r="AE123" s="245"/>
      <c r="AF123" s="245" t="str">
        <f>IMAGE("http://i.imgur.com/4gaCjL0.png",2)</f>
        <v/>
      </c>
      <c r="AG123" s="267"/>
      <c r="AH123" s="267"/>
      <c r="AI123" s="245" t="str">
        <f>IMAGE("http://i.imgur.com/6jVSPeC.png",2)</f>
        <v/>
      </c>
      <c r="AK123" s="267"/>
      <c r="AL123" s="267"/>
      <c r="AM123" s="245" t="str">
        <f>IMAGE("http://i.imgur.com/lP8Znaf.png",2)</f>
        <v/>
      </c>
      <c r="AO123" s="245" t="str">
        <f>IMAGE("http://i.imgur.com/NNIwrh4.png",3)</f>
        <v/>
      </c>
      <c r="AP123" s="245"/>
      <c r="AQ123" s="3"/>
      <c r="AR123" s="3"/>
      <c r="AS123" s="3"/>
      <c r="AT123" s="3"/>
      <c r="AU123" s="3"/>
      <c r="AV123" s="3"/>
      <c r="AW123" s="3"/>
      <c r="AX123" s="3"/>
      <c r="AY123" s="7"/>
      <c r="AZ123" s="2"/>
      <c r="BA123" s="2"/>
      <c r="BB123" s="2"/>
      <c r="BC123" s="2"/>
    </row>
    <row r="124" ht="15.75" customHeight="1">
      <c r="A124" s="245"/>
      <c r="C124" s="124">
        <v>0.0</v>
      </c>
      <c r="D124" s="253"/>
      <c r="E124" s="171"/>
      <c r="F124" s="171"/>
      <c r="G124" s="171"/>
      <c r="H124" s="171"/>
      <c r="I124" s="171"/>
      <c r="J124" s="171"/>
      <c r="M124" s="124">
        <v>0.0</v>
      </c>
      <c r="N124" s="253"/>
      <c r="O124" s="171"/>
      <c r="P124" s="171"/>
      <c r="Q124" s="171"/>
      <c r="R124" s="171"/>
      <c r="S124" s="171"/>
      <c r="T124" s="171"/>
      <c r="W124" s="124">
        <v>0.0</v>
      </c>
      <c r="X124" s="253"/>
      <c r="Y124" s="171"/>
      <c r="Z124" s="171"/>
      <c r="AA124" s="171"/>
      <c r="AB124" s="171"/>
      <c r="AC124" s="171"/>
      <c r="AD124" s="171"/>
      <c r="AE124" s="245"/>
      <c r="AG124" s="242"/>
      <c r="AH124" s="25"/>
      <c r="AK124" s="265" t="str">
        <f>if(and($C$91&lt;&gt;"",sum(AQ124:AQ125)&gt;0),sum(AQ124:AQ125),"")</f>
        <v/>
      </c>
      <c r="AL124" s="25"/>
      <c r="AP124" s="245"/>
      <c r="AQ124" s="3" t="str">
        <f>IFERROR(__xludf.DUMMYFUNCTION("if(countif(AX6:AX15,""Pact Magic""),if(sum(filter($AT$6:$AT$22,$AX$6:$AX$22=""Pact Magic"")),choose(sum(filter($AT$6:$AT$22,$AX$6:$AX$22=""Pact Magic"")),"""","""","""","""","""","""","""","""",2,2,3,3,3,3,3,3,4,4,4,4),""""),"""")"),"")</f>
        <v/>
      </c>
      <c r="AR124" s="3"/>
      <c r="AS124" s="3"/>
      <c r="AT124" s="3"/>
      <c r="AU124" s="3"/>
      <c r="AV124" s="3"/>
      <c r="AW124" s="3"/>
      <c r="AX124" s="3"/>
      <c r="AY124" s="7"/>
      <c r="AZ124" s="2"/>
      <c r="BA124" s="2"/>
      <c r="BB124" s="2"/>
      <c r="BC124" s="2"/>
    </row>
    <row r="125" ht="15.75" customHeight="1">
      <c r="A125" s="245"/>
      <c r="C125" s="124">
        <v>0.0</v>
      </c>
      <c r="D125" s="253"/>
      <c r="E125" s="171"/>
      <c r="F125" s="171"/>
      <c r="G125" s="171"/>
      <c r="H125" s="171"/>
      <c r="I125" s="171"/>
      <c r="J125" s="171"/>
      <c r="M125" s="124">
        <v>0.0</v>
      </c>
      <c r="N125" s="253"/>
      <c r="O125" s="171"/>
      <c r="P125" s="171"/>
      <c r="Q125" s="171"/>
      <c r="R125" s="171"/>
      <c r="S125" s="171"/>
      <c r="T125" s="171"/>
      <c r="W125" s="124">
        <v>0.0</v>
      </c>
      <c r="X125" s="253"/>
      <c r="Y125" s="171"/>
      <c r="Z125" s="171"/>
      <c r="AA125" s="171"/>
      <c r="AB125" s="171"/>
      <c r="AC125" s="171"/>
      <c r="AD125" s="171"/>
      <c r="AE125" s="245"/>
      <c r="AG125" s="31"/>
      <c r="AH125" s="31"/>
      <c r="AK125" s="31"/>
      <c r="AL125" s="31"/>
      <c r="AP125" s="245"/>
      <c r="AQ125" s="3" t="str">
        <f>if(and(casterLevel&lt;&gt;"",casterLevel&gt;0),choose(casterLevel,"","","","","","","","",1,2,2,2,2,2,2,2,2,3,3,3),"")</f>
        <v/>
      </c>
      <c r="AR125" s="3"/>
      <c r="AS125" s="3"/>
      <c r="AT125" s="3"/>
      <c r="AU125" s="3"/>
      <c r="AV125" s="3"/>
      <c r="AW125" s="3"/>
      <c r="AX125" s="3"/>
      <c r="AY125" s="7"/>
      <c r="AZ125" s="2"/>
      <c r="BA125" s="2"/>
      <c r="BB125" s="2"/>
      <c r="BC125" s="2"/>
    </row>
    <row r="126" ht="15.75" customHeight="1">
      <c r="A126" s="245"/>
      <c r="C126" s="124">
        <v>0.0</v>
      </c>
      <c r="D126" s="253"/>
      <c r="E126" s="171"/>
      <c r="F126" s="171"/>
      <c r="G126" s="171"/>
      <c r="H126" s="171"/>
      <c r="I126" s="171"/>
      <c r="J126" s="171"/>
      <c r="M126" s="124">
        <v>0.0</v>
      </c>
      <c r="N126" s="253"/>
      <c r="O126" s="171"/>
      <c r="P126" s="171"/>
      <c r="Q126" s="171"/>
      <c r="R126" s="171"/>
      <c r="S126" s="171"/>
      <c r="T126" s="171"/>
      <c r="W126" s="124">
        <v>0.0</v>
      </c>
      <c r="X126" s="253"/>
      <c r="Y126" s="171"/>
      <c r="Z126" s="171"/>
      <c r="AA126" s="171"/>
      <c r="AB126" s="171"/>
      <c r="AC126" s="171"/>
      <c r="AD126" s="171"/>
      <c r="AE126" s="245"/>
      <c r="AG126" s="245"/>
      <c r="AH126" s="245"/>
      <c r="AK126" s="245"/>
      <c r="AL126" s="245"/>
      <c r="AP126" s="245"/>
      <c r="AQ126" s="3"/>
      <c r="AR126" s="3"/>
      <c r="AS126" s="3"/>
      <c r="AT126" s="3"/>
      <c r="AU126" s="3"/>
      <c r="AV126" s="3"/>
      <c r="AW126" s="3"/>
      <c r="AX126" s="3"/>
      <c r="AY126" s="7"/>
      <c r="AZ126" s="2"/>
      <c r="BA126" s="2"/>
      <c r="BB126" s="2"/>
      <c r="BC126" s="2"/>
    </row>
    <row r="127" ht="15.75" customHeight="1">
      <c r="A127" s="245"/>
      <c r="C127" s="270"/>
      <c r="D127" s="256"/>
      <c r="E127" s="256"/>
      <c r="F127" s="256"/>
      <c r="G127" s="256"/>
      <c r="H127" s="256"/>
      <c r="I127" s="256"/>
      <c r="J127" s="256"/>
      <c r="K127" s="256"/>
      <c r="L127" s="256"/>
      <c r="M127" s="256"/>
      <c r="N127" s="256"/>
      <c r="O127" s="256"/>
      <c r="P127" s="256"/>
      <c r="Q127" s="256"/>
      <c r="R127" s="256"/>
      <c r="S127" s="256"/>
      <c r="T127" s="256"/>
      <c r="U127" s="256"/>
      <c r="V127" s="256"/>
      <c r="W127" s="256"/>
      <c r="X127" s="256"/>
      <c r="Y127" s="256"/>
      <c r="Z127" s="256"/>
      <c r="AA127" s="256"/>
      <c r="AB127" s="256"/>
      <c r="AC127" s="256"/>
      <c r="AD127" s="256"/>
      <c r="AE127" s="256"/>
      <c r="AF127" s="256"/>
      <c r="AG127" s="256"/>
      <c r="AH127" s="256"/>
      <c r="AI127" s="256"/>
      <c r="AJ127" s="256"/>
      <c r="AK127" s="256"/>
      <c r="AL127" s="256"/>
      <c r="AM127" s="256"/>
      <c r="AN127" s="256"/>
      <c r="AP127" s="245"/>
      <c r="AQ127" s="3"/>
      <c r="AR127" s="3"/>
      <c r="AS127" s="3"/>
      <c r="AT127" s="3"/>
      <c r="AU127" s="3"/>
      <c r="AV127" s="3"/>
      <c r="AW127" s="3"/>
      <c r="AX127" s="3"/>
      <c r="AY127" s="3"/>
      <c r="AZ127" s="3"/>
      <c r="BA127" s="3"/>
      <c r="BB127" s="3"/>
      <c r="BC127" s="3"/>
    </row>
    <row r="128" ht="15.75" customHeight="1">
      <c r="A128" s="245"/>
      <c r="B128" s="245" t="str">
        <f>IMAGE("http://i.imgur.com/DhOsDAQ.png")</f>
        <v/>
      </c>
      <c r="C128" s="263" t="str">
        <f>IMAGE("http://i.imgur.com/NJZrETt.png",2)</f>
        <v/>
      </c>
      <c r="E128" s="267"/>
      <c r="G128" s="264" t="str">
        <f>IMAGE("http://i.imgur.com/4ww92Ws.png",2)</f>
        <v/>
      </c>
      <c r="I128" s="267"/>
      <c r="K128" s="246" t="str">
        <f>IMAGE("http://i.imgur.com/GYlWKEy.png",2)</f>
        <v/>
      </c>
      <c r="L128" s="246"/>
      <c r="M128" s="124">
        <v>0.0</v>
      </c>
      <c r="N128" s="253"/>
      <c r="O128" s="171"/>
      <c r="P128" s="171"/>
      <c r="Q128" s="171"/>
      <c r="R128" s="171"/>
      <c r="S128" s="171"/>
      <c r="T128" s="171"/>
      <c r="U128" s="269" t="str">
        <f>IMAGE("http://i.imgur.com/1atTEws.png",3)</f>
        <v/>
      </c>
      <c r="W128" s="124">
        <v>0.0</v>
      </c>
      <c r="X128" s="253"/>
      <c r="Y128" s="171"/>
      <c r="Z128" s="171"/>
      <c r="AA128" s="171"/>
      <c r="AB128" s="171"/>
      <c r="AC128" s="171"/>
      <c r="AD128" s="171"/>
      <c r="AE128" s="269" t="str">
        <f>IMAGE("http://i.imgur.com/1atTEws.png",3)</f>
        <v/>
      </c>
      <c r="AG128" s="124">
        <v>0.0</v>
      </c>
      <c r="AH128" s="253"/>
      <c r="AI128" s="171"/>
      <c r="AJ128" s="171"/>
      <c r="AK128" s="171"/>
      <c r="AL128" s="171"/>
      <c r="AM128" s="171"/>
      <c r="AN128" s="171"/>
      <c r="AO128" s="245" t="str">
        <f>IMAGE("http://i.imgur.com/NNIwrh4.png",3)</f>
        <v/>
      </c>
      <c r="AP128" s="245"/>
      <c r="AQ128" s="3"/>
      <c r="AR128" s="3"/>
      <c r="AS128" s="3"/>
      <c r="AT128" s="3"/>
      <c r="AU128" s="3"/>
      <c r="AV128" s="3"/>
      <c r="AW128" s="3"/>
      <c r="AX128" s="3"/>
      <c r="AY128" s="3"/>
      <c r="AZ128" s="3"/>
      <c r="BA128" s="3"/>
      <c r="BB128" s="3"/>
      <c r="BC128" s="3"/>
    </row>
    <row r="129" ht="15.75" customHeight="1">
      <c r="A129" s="245"/>
      <c r="E129" s="265" t="str">
        <f>if(and(C$91&lt;&gt;"",casterLevel&lt;&gt;"",casterLevel&gt;0),choose(casterLevel,"","","","","","","","","","",1,1,1,1,1,1,1,1,2,2),"")</f>
        <v/>
      </c>
      <c r="F129" s="25"/>
      <c r="I129" s="242"/>
      <c r="J129" s="25"/>
      <c r="L129" s="246"/>
      <c r="M129" s="124">
        <v>0.0</v>
      </c>
      <c r="N129" s="253"/>
      <c r="O129" s="171"/>
      <c r="P129" s="171"/>
      <c r="Q129" s="171"/>
      <c r="R129" s="171"/>
      <c r="S129" s="171"/>
      <c r="T129" s="171"/>
      <c r="W129" s="124">
        <v>0.0</v>
      </c>
      <c r="X129" s="253"/>
      <c r="Y129" s="171"/>
      <c r="Z129" s="171"/>
      <c r="AA129" s="171"/>
      <c r="AB129" s="171"/>
      <c r="AC129" s="171"/>
      <c r="AD129" s="171"/>
      <c r="AG129" s="124">
        <v>0.0</v>
      </c>
      <c r="AH129" s="253"/>
      <c r="AI129" s="171"/>
      <c r="AJ129" s="171"/>
      <c r="AK129" s="171"/>
      <c r="AL129" s="171"/>
      <c r="AM129" s="171"/>
      <c r="AN129" s="171"/>
      <c r="AP129" s="245"/>
      <c r="AQ129" s="3"/>
      <c r="AR129" s="3"/>
      <c r="AS129" s="3"/>
      <c r="AT129" s="3"/>
      <c r="AU129" s="3"/>
      <c r="AV129" s="3"/>
      <c r="AW129" s="3"/>
      <c r="AX129" s="3"/>
      <c r="AY129" s="3"/>
      <c r="AZ129" s="3"/>
      <c r="BA129" s="3"/>
      <c r="BB129" s="3"/>
      <c r="BC129" s="3"/>
    </row>
    <row r="130" ht="15.75" customHeight="1">
      <c r="A130" s="245"/>
      <c r="E130" s="31"/>
      <c r="F130" s="31"/>
      <c r="I130" s="31"/>
      <c r="J130" s="31"/>
      <c r="L130" s="246"/>
      <c r="M130" s="124">
        <v>0.0</v>
      </c>
      <c r="N130" s="253"/>
      <c r="O130" s="171"/>
      <c r="P130" s="171"/>
      <c r="Q130" s="171"/>
      <c r="R130" s="171"/>
      <c r="S130" s="171"/>
      <c r="T130" s="171"/>
      <c r="W130" s="124">
        <v>0.0</v>
      </c>
      <c r="X130" s="253"/>
      <c r="Y130" s="171"/>
      <c r="Z130" s="171"/>
      <c r="AA130" s="171"/>
      <c r="AB130" s="171"/>
      <c r="AC130" s="171"/>
      <c r="AD130" s="171"/>
      <c r="AG130" s="124">
        <v>0.0</v>
      </c>
      <c r="AH130" s="253"/>
      <c r="AI130" s="171"/>
      <c r="AJ130" s="171"/>
      <c r="AK130" s="171"/>
      <c r="AL130" s="171"/>
      <c r="AM130" s="171"/>
      <c r="AN130" s="171"/>
      <c r="AP130" s="245"/>
      <c r="AQ130" s="3"/>
      <c r="AR130" s="3"/>
      <c r="AS130" s="3"/>
      <c r="AT130" s="3"/>
      <c r="AU130" s="3"/>
      <c r="AV130" s="3"/>
      <c r="AW130" s="3"/>
      <c r="AX130" s="3"/>
      <c r="AY130" s="3"/>
      <c r="AZ130" s="3"/>
      <c r="BA130" s="3"/>
      <c r="BB130" s="3"/>
      <c r="BC130" s="3"/>
    </row>
    <row r="131" ht="15.75" customHeight="1">
      <c r="A131" s="245"/>
      <c r="E131" s="246"/>
      <c r="F131" s="246"/>
      <c r="I131" s="246"/>
      <c r="J131" s="246"/>
      <c r="L131" s="246"/>
      <c r="M131" s="124">
        <v>0.0</v>
      </c>
      <c r="N131" s="253"/>
      <c r="O131" s="171"/>
      <c r="P131" s="171"/>
      <c r="Q131" s="171"/>
      <c r="R131" s="171"/>
      <c r="S131" s="171"/>
      <c r="T131" s="171"/>
      <c r="W131" s="124">
        <v>0.0</v>
      </c>
      <c r="X131" s="253"/>
      <c r="Y131" s="171"/>
      <c r="Z131" s="171"/>
      <c r="AA131" s="171"/>
      <c r="AB131" s="171"/>
      <c r="AC131" s="171"/>
      <c r="AD131" s="171"/>
      <c r="AG131" s="124">
        <v>0.0</v>
      </c>
      <c r="AH131" s="253"/>
      <c r="AI131" s="171"/>
      <c r="AJ131" s="171"/>
      <c r="AK131" s="171"/>
      <c r="AL131" s="171"/>
      <c r="AM131" s="171"/>
      <c r="AN131" s="171"/>
      <c r="AP131" s="245"/>
      <c r="AQ131" s="3"/>
      <c r="AR131" s="3"/>
      <c r="AS131" s="3"/>
      <c r="AT131" s="3"/>
      <c r="AU131" s="3"/>
      <c r="AV131" s="3"/>
      <c r="AW131" s="3"/>
      <c r="AX131" s="3"/>
      <c r="AY131" s="3"/>
      <c r="AZ131" s="3"/>
      <c r="BA131" s="3"/>
      <c r="BB131" s="3"/>
      <c r="BC131" s="3"/>
    </row>
    <row r="132" ht="15.75" customHeight="1">
      <c r="A132" s="245"/>
      <c r="C132" s="270"/>
      <c r="D132" s="256"/>
      <c r="E132" s="256"/>
      <c r="F132" s="256"/>
      <c r="G132" s="256"/>
      <c r="H132" s="256"/>
      <c r="I132" s="256"/>
      <c r="J132" s="256"/>
      <c r="K132" s="256"/>
      <c r="L132" s="256"/>
      <c r="M132" s="256"/>
      <c r="N132" s="256"/>
      <c r="O132" s="256"/>
      <c r="P132" s="256"/>
      <c r="Q132" s="256"/>
      <c r="R132" s="256"/>
      <c r="S132" s="256"/>
      <c r="T132" s="256"/>
      <c r="U132" s="256"/>
      <c r="V132" s="256"/>
      <c r="W132" s="256"/>
      <c r="X132" s="256"/>
      <c r="Y132" s="256"/>
      <c r="Z132" s="256"/>
      <c r="AA132" s="256"/>
      <c r="AB132" s="256"/>
      <c r="AC132" s="256"/>
      <c r="AD132" s="256"/>
      <c r="AE132" s="256"/>
      <c r="AF132" s="256"/>
      <c r="AG132" s="256"/>
      <c r="AH132" s="256"/>
      <c r="AI132" s="256"/>
      <c r="AJ132" s="256"/>
      <c r="AK132" s="256"/>
      <c r="AL132" s="256"/>
      <c r="AM132" s="256"/>
      <c r="AN132" s="256"/>
      <c r="AP132" s="245"/>
      <c r="AQ132" s="3"/>
      <c r="AR132" s="3"/>
      <c r="AS132" s="3"/>
      <c r="AT132" s="3"/>
      <c r="AU132" s="3"/>
      <c r="AV132" s="3"/>
      <c r="AW132" s="3"/>
      <c r="AX132" s="3"/>
      <c r="AY132" s="3"/>
      <c r="AZ132" s="3"/>
      <c r="BA132" s="3"/>
      <c r="BB132" s="3"/>
      <c r="BC132" s="3"/>
    </row>
    <row r="133" ht="15.75" customHeight="1">
      <c r="A133" s="245"/>
      <c r="B133" s="245" t="str">
        <f>IMAGE("http://i.imgur.com/BMbfOFs.png")</f>
        <v/>
      </c>
      <c r="C133" s="124">
        <v>0.0</v>
      </c>
      <c r="D133" s="253"/>
      <c r="E133" s="171"/>
      <c r="F133" s="171"/>
      <c r="G133" s="171"/>
      <c r="H133" s="171"/>
      <c r="I133" s="171"/>
      <c r="J133" s="171"/>
      <c r="K133" s="257" t="str">
        <f>IMAGE("http://i.imgur.com/1atTEws.png",3)</f>
        <v/>
      </c>
      <c r="M133" s="124">
        <v>0.0</v>
      </c>
      <c r="N133" s="253"/>
      <c r="O133" s="171"/>
      <c r="P133" s="171"/>
      <c r="Q133" s="171"/>
      <c r="R133" s="171"/>
      <c r="S133" s="171"/>
      <c r="T133" s="171"/>
      <c r="U133" s="257" t="str">
        <f>IMAGE("http://i.imgur.com/1atTEws.png",3)</f>
        <v/>
      </c>
      <c r="W133" s="124">
        <v>0.0</v>
      </c>
      <c r="X133" s="253"/>
      <c r="Y133" s="171"/>
      <c r="Z133" s="171"/>
      <c r="AA133" s="171"/>
      <c r="AB133" s="171"/>
      <c r="AC133" s="171"/>
      <c r="AD133" s="171"/>
      <c r="AE133" s="245"/>
      <c r="AF133" s="245" t="str">
        <f>IMAGE("http://i.imgur.com/4gaCjL0.png",2)</f>
        <v/>
      </c>
      <c r="AG133" s="267"/>
      <c r="AH133" s="267"/>
      <c r="AI133" s="245" t="str">
        <f>IMAGE("http://i.imgur.com/6jVSPeC.png",2)</f>
        <v/>
      </c>
      <c r="AK133" s="267"/>
      <c r="AL133" s="267"/>
      <c r="AM133" s="245" t="str">
        <f>IMAGE("http://i.imgur.com/OR783hS.png",2)</f>
        <v/>
      </c>
      <c r="AO133" s="245" t="str">
        <f>IMAGE("http://i.imgur.com/Pb1Q0X9.png")</f>
        <v/>
      </c>
      <c r="AP133" s="245"/>
      <c r="AQ133" s="3"/>
      <c r="AR133" s="3"/>
      <c r="AS133" s="3"/>
      <c r="AT133" s="3"/>
      <c r="AU133" s="3"/>
      <c r="AV133" s="3"/>
      <c r="AW133" s="3"/>
      <c r="AX133" s="3"/>
      <c r="AY133" s="3"/>
      <c r="AZ133" s="3"/>
      <c r="BA133" s="3"/>
      <c r="BB133" s="3"/>
      <c r="BC133" s="3"/>
    </row>
    <row r="134" ht="15.75" customHeight="1">
      <c r="A134" s="245"/>
      <c r="C134" s="124">
        <v>0.0</v>
      </c>
      <c r="D134" s="253"/>
      <c r="E134" s="171"/>
      <c r="F134" s="171"/>
      <c r="G134" s="171"/>
      <c r="H134" s="171"/>
      <c r="I134" s="171"/>
      <c r="J134" s="171"/>
      <c r="M134" s="124">
        <v>0.0</v>
      </c>
      <c r="N134" s="253"/>
      <c r="O134" s="171"/>
      <c r="P134" s="171"/>
      <c r="Q134" s="171"/>
      <c r="R134" s="171"/>
      <c r="S134" s="171"/>
      <c r="T134" s="171"/>
      <c r="W134" s="124">
        <v>0.0</v>
      </c>
      <c r="X134" s="253"/>
      <c r="Y134" s="171"/>
      <c r="Z134" s="171"/>
      <c r="AA134" s="171"/>
      <c r="AB134" s="171"/>
      <c r="AC134" s="171"/>
      <c r="AD134" s="171"/>
      <c r="AE134" s="245"/>
      <c r="AG134" s="242"/>
      <c r="AH134" s="25"/>
      <c r="AK134" s="265" t="str">
        <f>if(and(C$91&lt;&gt;"",casterLevel&lt;&gt;"",casterLevel&gt;0),choose(casterLevel,"","","","","","","","","","","","",1,1,1,1,1,1,1,2),"")</f>
        <v/>
      </c>
      <c r="AL134" s="25"/>
      <c r="AP134" s="245"/>
      <c r="AQ134" s="3"/>
      <c r="AR134" s="3"/>
      <c r="AS134" s="3"/>
      <c r="AT134" s="3"/>
      <c r="AU134" s="3"/>
      <c r="AV134" s="3"/>
      <c r="AW134" s="3"/>
      <c r="AX134" s="3"/>
      <c r="AY134" s="3"/>
      <c r="AZ134" s="3"/>
      <c r="BA134" s="3"/>
      <c r="BB134" s="3"/>
      <c r="BC134" s="3"/>
    </row>
    <row r="135" ht="15.75" customHeight="1">
      <c r="A135" s="245"/>
      <c r="C135" s="124">
        <v>0.0</v>
      </c>
      <c r="D135" s="253"/>
      <c r="E135" s="171"/>
      <c r="F135" s="171"/>
      <c r="G135" s="171"/>
      <c r="H135" s="171"/>
      <c r="I135" s="171"/>
      <c r="J135" s="171"/>
      <c r="M135" s="124">
        <v>0.0</v>
      </c>
      <c r="N135" s="253"/>
      <c r="O135" s="171"/>
      <c r="P135" s="171"/>
      <c r="Q135" s="171"/>
      <c r="R135" s="171"/>
      <c r="S135" s="171"/>
      <c r="T135" s="171"/>
      <c r="W135" s="124">
        <v>0.0</v>
      </c>
      <c r="X135" s="253"/>
      <c r="Y135" s="171"/>
      <c r="Z135" s="171"/>
      <c r="AA135" s="171"/>
      <c r="AB135" s="171"/>
      <c r="AC135" s="171"/>
      <c r="AD135" s="171"/>
      <c r="AE135" s="245"/>
      <c r="AG135" s="31"/>
      <c r="AH135" s="31"/>
      <c r="AK135" s="31"/>
      <c r="AL135" s="31"/>
      <c r="AP135" s="245"/>
      <c r="AQ135" s="3"/>
      <c r="AR135" s="3"/>
      <c r="AS135" s="3"/>
      <c r="AT135" s="3"/>
      <c r="AU135" s="3"/>
      <c r="AV135" s="3"/>
      <c r="AW135" s="3"/>
      <c r="AX135" s="3"/>
      <c r="AY135" s="3"/>
      <c r="AZ135" s="3"/>
      <c r="BA135" s="3"/>
      <c r="BB135" s="3"/>
      <c r="BC135" s="3"/>
    </row>
    <row r="136" ht="15.75" customHeight="1">
      <c r="A136" s="245"/>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c r="AA136" s="271"/>
      <c r="AB136" s="271"/>
      <c r="AC136" s="271"/>
      <c r="AD136" s="271"/>
      <c r="AE136" s="271"/>
      <c r="AF136" s="171"/>
      <c r="AG136" s="270"/>
      <c r="AH136" s="270"/>
      <c r="AI136" s="171"/>
      <c r="AJ136" s="171"/>
      <c r="AK136" s="270"/>
      <c r="AL136" s="270"/>
      <c r="AM136" s="171"/>
      <c r="AN136" s="171"/>
      <c r="AP136" s="245"/>
      <c r="AQ136" s="3"/>
      <c r="AR136" s="3"/>
      <c r="AS136" s="3"/>
      <c r="AT136" s="3"/>
      <c r="AU136" s="3"/>
      <c r="AV136" s="3"/>
      <c r="AW136" s="3"/>
      <c r="AX136" s="3"/>
      <c r="AY136" s="3"/>
      <c r="AZ136" s="3"/>
      <c r="BA136" s="3"/>
      <c r="BB136" s="3"/>
      <c r="BC136" s="3"/>
    </row>
    <row r="137" ht="15.75" customHeight="1">
      <c r="A137" s="245"/>
      <c r="B137" s="245" t="str">
        <f>IMAGE("http://i.imgur.com/BMbfOFs.png")</f>
        <v/>
      </c>
      <c r="C137" s="263" t="str">
        <f>IMAGE("http://i.imgur.com/L1yfsX1.png",2)</f>
        <v/>
      </c>
      <c r="E137" s="267"/>
      <c r="G137" s="264" t="str">
        <f>IMAGE("http://i.imgur.com/4ww92Ws.png",2)</f>
        <v/>
      </c>
      <c r="I137" s="267"/>
      <c r="K137" s="246" t="str">
        <f>IMAGE("http://i.imgur.com/GYlWKEy.png",2)</f>
        <v/>
      </c>
      <c r="L137" s="246"/>
      <c r="M137" s="124">
        <v>0.0</v>
      </c>
      <c r="N137" s="253"/>
      <c r="O137" s="171"/>
      <c r="P137" s="171"/>
      <c r="Q137" s="171"/>
      <c r="R137" s="171"/>
      <c r="S137" s="171"/>
      <c r="T137" s="171"/>
      <c r="U137" s="257" t="str">
        <f>IMAGE("http://i.imgur.com/1atTEws.png",3)</f>
        <v/>
      </c>
      <c r="W137" s="124">
        <v>0.0</v>
      </c>
      <c r="X137" s="253"/>
      <c r="Y137" s="171"/>
      <c r="Z137" s="171"/>
      <c r="AA137" s="171"/>
      <c r="AB137" s="171"/>
      <c r="AC137" s="171"/>
      <c r="AD137" s="171"/>
      <c r="AE137" s="257" t="str">
        <f>IMAGE("http://i.imgur.com/1atTEws.png",3)</f>
        <v/>
      </c>
      <c r="AG137" s="124">
        <v>0.0</v>
      </c>
      <c r="AH137" s="253"/>
      <c r="AI137" s="171"/>
      <c r="AJ137" s="171"/>
      <c r="AK137" s="171"/>
      <c r="AL137" s="171"/>
      <c r="AM137" s="171"/>
      <c r="AN137" s="171"/>
      <c r="AO137" s="245" t="str">
        <f>IMAGE("http://i.imgur.com/Pb1Q0X9.png")</f>
        <v/>
      </c>
      <c r="AP137" s="245"/>
      <c r="AQ137" s="3"/>
      <c r="AR137" s="3"/>
      <c r="AS137" s="3"/>
      <c r="AT137" s="3"/>
      <c r="AU137" s="3"/>
      <c r="AV137" s="3"/>
      <c r="AW137" s="3"/>
      <c r="AX137" s="3"/>
      <c r="AY137" s="3"/>
      <c r="AZ137" s="3"/>
      <c r="BA137" s="3"/>
      <c r="BB137" s="3"/>
      <c r="BC137" s="3"/>
    </row>
    <row r="138" ht="15.75" customHeight="1">
      <c r="A138" s="245"/>
      <c r="E138" s="265" t="str">
        <f>if(and(C$91&lt;&gt;"",casterLevel&lt;&gt;"",casterLevel&gt;0),choose(casterLevel,"","","","","","","","","","","","","","",1,1,1,1,1,1),"")</f>
        <v/>
      </c>
      <c r="F138" s="25"/>
      <c r="I138" s="242"/>
      <c r="J138" s="25"/>
      <c r="L138" s="246"/>
      <c r="M138" s="124">
        <v>0.0</v>
      </c>
      <c r="N138" s="253"/>
      <c r="O138" s="171"/>
      <c r="P138" s="171"/>
      <c r="Q138" s="171"/>
      <c r="R138" s="171"/>
      <c r="S138" s="171"/>
      <c r="T138" s="171"/>
      <c r="W138" s="124">
        <v>0.0</v>
      </c>
      <c r="X138" s="253"/>
      <c r="Y138" s="171"/>
      <c r="Z138" s="171"/>
      <c r="AA138" s="171"/>
      <c r="AB138" s="171"/>
      <c r="AC138" s="171"/>
      <c r="AD138" s="171"/>
      <c r="AG138" s="124">
        <v>0.0</v>
      </c>
      <c r="AH138" s="253"/>
      <c r="AI138" s="171"/>
      <c r="AJ138" s="171"/>
      <c r="AK138" s="171"/>
      <c r="AL138" s="171"/>
      <c r="AM138" s="171"/>
      <c r="AN138" s="171"/>
      <c r="AP138" s="245"/>
      <c r="AQ138" s="3"/>
      <c r="AR138" s="3"/>
      <c r="AS138" s="3"/>
      <c r="AT138" s="3"/>
      <c r="AU138" s="3"/>
      <c r="AV138" s="3"/>
      <c r="AW138" s="3"/>
      <c r="AX138" s="3"/>
      <c r="AY138" s="3"/>
      <c r="AZ138" s="3"/>
      <c r="BA138" s="3"/>
      <c r="BB138" s="3"/>
      <c r="BC138" s="3"/>
    </row>
    <row r="139" ht="15.75" customHeight="1">
      <c r="A139" s="245"/>
      <c r="E139" s="31"/>
      <c r="F139" s="31"/>
      <c r="I139" s="31"/>
      <c r="J139" s="31"/>
      <c r="L139" s="246"/>
      <c r="M139" s="124">
        <v>0.0</v>
      </c>
      <c r="N139" s="253"/>
      <c r="O139" s="171"/>
      <c r="P139" s="171"/>
      <c r="Q139" s="171"/>
      <c r="R139" s="171"/>
      <c r="S139" s="171"/>
      <c r="T139" s="171"/>
      <c r="W139" s="124">
        <v>0.0</v>
      </c>
      <c r="X139" s="253"/>
      <c r="Y139" s="171"/>
      <c r="Z139" s="171"/>
      <c r="AA139" s="171"/>
      <c r="AB139" s="171"/>
      <c r="AC139" s="171"/>
      <c r="AD139" s="171"/>
      <c r="AG139" s="124">
        <v>0.0</v>
      </c>
      <c r="AH139" s="253"/>
      <c r="AI139" s="171"/>
      <c r="AJ139" s="171"/>
      <c r="AK139" s="171"/>
      <c r="AL139" s="171"/>
      <c r="AM139" s="171"/>
      <c r="AN139" s="171"/>
      <c r="AP139" s="245"/>
      <c r="AQ139" s="3"/>
      <c r="AR139" s="3"/>
      <c r="AS139" s="3"/>
      <c r="AT139" s="3"/>
      <c r="AU139" s="3"/>
      <c r="AV139" s="3"/>
      <c r="AW139" s="3"/>
      <c r="AX139" s="3"/>
      <c r="AY139" s="3"/>
      <c r="AZ139" s="3"/>
      <c r="BA139" s="3"/>
      <c r="BB139" s="3"/>
      <c r="BC139" s="3"/>
    </row>
    <row r="140" ht="15.75" customHeight="1">
      <c r="A140" s="245"/>
      <c r="C140" s="171"/>
      <c r="D140" s="171"/>
      <c r="E140" s="255"/>
      <c r="F140" s="255"/>
      <c r="G140" s="171"/>
      <c r="H140" s="171"/>
      <c r="I140" s="255"/>
      <c r="J140" s="255"/>
      <c r="K140" s="171"/>
      <c r="L140" s="271"/>
      <c r="M140" s="271"/>
      <c r="N140" s="271"/>
      <c r="O140" s="271"/>
      <c r="P140" s="271"/>
      <c r="Q140" s="271"/>
      <c r="R140" s="271"/>
      <c r="S140" s="271"/>
      <c r="T140" s="271"/>
      <c r="U140" s="271"/>
      <c r="V140" s="271"/>
      <c r="W140" s="271"/>
      <c r="X140" s="271"/>
      <c r="Y140" s="271"/>
      <c r="Z140" s="271"/>
      <c r="AA140" s="271"/>
      <c r="AB140" s="271"/>
      <c r="AC140" s="271"/>
      <c r="AD140" s="271"/>
      <c r="AE140" s="271"/>
      <c r="AF140" s="271"/>
      <c r="AG140" s="271"/>
      <c r="AH140" s="271"/>
      <c r="AI140" s="271"/>
      <c r="AJ140" s="271"/>
      <c r="AK140" s="271"/>
      <c r="AL140" s="271"/>
      <c r="AM140" s="271"/>
      <c r="AN140" s="271"/>
      <c r="AP140" s="245"/>
      <c r="AQ140" s="3"/>
      <c r="AR140" s="3"/>
      <c r="AS140" s="3"/>
      <c r="AT140" s="3"/>
      <c r="AU140" s="3"/>
      <c r="AV140" s="3"/>
      <c r="AW140" s="3"/>
      <c r="AX140" s="3"/>
      <c r="AY140" s="3"/>
      <c r="AZ140" s="3"/>
      <c r="BA140" s="3"/>
      <c r="BB140" s="3"/>
      <c r="BC140" s="3"/>
    </row>
    <row r="141" ht="15.75" customHeight="1">
      <c r="A141" s="245"/>
      <c r="B141" s="245" t="str">
        <f>IMAGE("http://i.imgur.com/BMbfOFs.png")</f>
        <v/>
      </c>
      <c r="C141" s="124">
        <v>0.0</v>
      </c>
      <c r="D141" s="253"/>
      <c r="E141" s="171"/>
      <c r="F141" s="171"/>
      <c r="G141" s="171"/>
      <c r="H141" s="171"/>
      <c r="I141" s="171"/>
      <c r="J141" s="171"/>
      <c r="K141" s="257" t="str">
        <f>IMAGE("http://i.imgur.com/1atTEws.png",3)</f>
        <v/>
      </c>
      <c r="M141" s="124">
        <v>0.0</v>
      </c>
      <c r="N141" s="253"/>
      <c r="O141" s="171"/>
      <c r="P141" s="171"/>
      <c r="Q141" s="171"/>
      <c r="R141" s="171"/>
      <c r="S141" s="171"/>
      <c r="T141" s="171"/>
      <c r="U141" s="257" t="str">
        <f>IMAGE("http://i.imgur.com/1atTEws.png",3)</f>
        <v/>
      </c>
      <c r="W141" s="124">
        <v>0.0</v>
      </c>
      <c r="X141" s="253"/>
      <c r="Y141" s="171"/>
      <c r="Z141" s="171"/>
      <c r="AA141" s="171"/>
      <c r="AB141" s="171"/>
      <c r="AC141" s="171"/>
      <c r="AD141" s="171"/>
      <c r="AE141" s="245"/>
      <c r="AF141" s="245" t="str">
        <f>IMAGE("http://i.imgur.com/4gaCjL0.png",2)</f>
        <v/>
      </c>
      <c r="AG141" s="267"/>
      <c r="AH141" s="267"/>
      <c r="AI141" s="245" t="str">
        <f>IMAGE("http://i.imgur.com/6jVSPeC.png",2)</f>
        <v/>
      </c>
      <c r="AK141" s="267"/>
      <c r="AL141" s="267"/>
      <c r="AM141" s="245" t="str">
        <f>IMAGE("http://i.imgur.com/xud2MwT.png",2)</f>
        <v/>
      </c>
      <c r="AO141" s="245" t="str">
        <f>IMAGE("http://i.imgur.com/Pb1Q0X9.png")</f>
        <v/>
      </c>
      <c r="AP141" s="245"/>
      <c r="AQ141" s="3"/>
      <c r="AR141" s="3"/>
      <c r="AS141" s="3"/>
      <c r="AT141" s="3"/>
      <c r="AU141" s="3"/>
      <c r="AV141" s="3"/>
      <c r="AW141" s="3"/>
      <c r="AX141" s="3"/>
      <c r="AY141" s="3"/>
      <c r="AZ141" s="3"/>
      <c r="BA141" s="3"/>
      <c r="BB141" s="3"/>
      <c r="BC141" s="3"/>
    </row>
    <row r="142" ht="15.75" customHeight="1">
      <c r="A142" s="245"/>
      <c r="C142" s="124">
        <v>0.0</v>
      </c>
      <c r="D142" s="253"/>
      <c r="E142" s="171"/>
      <c r="F142" s="171"/>
      <c r="G142" s="171"/>
      <c r="H142" s="171"/>
      <c r="I142" s="171"/>
      <c r="J142" s="171"/>
      <c r="M142" s="124">
        <v>0.0</v>
      </c>
      <c r="N142" s="253"/>
      <c r="O142" s="171"/>
      <c r="P142" s="171"/>
      <c r="Q142" s="171"/>
      <c r="R142" s="171"/>
      <c r="S142" s="171"/>
      <c r="T142" s="171"/>
      <c r="W142" s="124">
        <v>0.0</v>
      </c>
      <c r="X142" s="253"/>
      <c r="Y142" s="171"/>
      <c r="Z142" s="171"/>
      <c r="AA142" s="171"/>
      <c r="AB142" s="171"/>
      <c r="AC142" s="171"/>
      <c r="AD142" s="171"/>
      <c r="AE142" s="245"/>
      <c r="AG142" s="242"/>
      <c r="AH142" s="25"/>
      <c r="AK142" s="265" t="str">
        <f>if(and(C$91&lt;&gt;"",casterLevel&lt;&gt;"",casterLevel&gt;0),choose(casterLevel,"","","","","","","","","","","","","","","","",1,1,1,1),"")</f>
        <v/>
      </c>
      <c r="AL142" s="25"/>
      <c r="AP142" s="245"/>
      <c r="AQ142" s="3"/>
      <c r="AR142" s="3"/>
      <c r="AS142" s="3"/>
      <c r="AT142" s="3"/>
      <c r="AU142" s="3"/>
      <c r="AV142" s="3"/>
      <c r="AW142" s="3"/>
      <c r="AX142" s="3"/>
      <c r="AY142" s="3"/>
      <c r="AZ142" s="3"/>
      <c r="BA142" s="3"/>
      <c r="BB142" s="3"/>
      <c r="BC142" s="3"/>
    </row>
    <row r="143" ht="15.75" customHeight="1">
      <c r="A143" s="245"/>
      <c r="C143" s="124">
        <v>0.0</v>
      </c>
      <c r="D143" s="253"/>
      <c r="E143" s="171"/>
      <c r="F143" s="171"/>
      <c r="G143" s="171"/>
      <c r="H143" s="171"/>
      <c r="I143" s="171"/>
      <c r="J143" s="171"/>
      <c r="M143" s="124">
        <v>0.0</v>
      </c>
      <c r="N143" s="253"/>
      <c r="O143" s="171"/>
      <c r="P143" s="171"/>
      <c r="Q143" s="171"/>
      <c r="R143" s="171"/>
      <c r="S143" s="171"/>
      <c r="T143" s="171"/>
      <c r="W143" s="124">
        <v>0.0</v>
      </c>
      <c r="X143" s="253"/>
      <c r="Y143" s="171"/>
      <c r="Z143" s="171"/>
      <c r="AA143" s="171"/>
      <c r="AB143" s="171"/>
      <c r="AC143" s="171"/>
      <c r="AD143" s="171"/>
      <c r="AE143" s="245"/>
      <c r="AG143" s="31"/>
      <c r="AH143" s="31"/>
      <c r="AK143" s="31"/>
      <c r="AL143" s="31"/>
      <c r="AP143" s="245"/>
      <c r="AQ143" s="3"/>
      <c r="AR143" s="3"/>
      <c r="AS143" s="3"/>
      <c r="AT143" s="3"/>
      <c r="AU143" s="3"/>
      <c r="AV143" s="3"/>
      <c r="AW143" s="3"/>
      <c r="AX143" s="3"/>
      <c r="AY143" s="3"/>
      <c r="AZ143" s="3"/>
      <c r="BA143" s="3"/>
      <c r="BB143" s="3"/>
      <c r="BC143" s="3"/>
    </row>
    <row r="144" ht="15.75" customHeight="1">
      <c r="A144" s="245"/>
      <c r="C144" s="271"/>
      <c r="D144" s="256"/>
      <c r="E144" s="256"/>
      <c r="F144" s="256"/>
      <c r="G144" s="256"/>
      <c r="H144" s="256"/>
      <c r="I144" s="256"/>
      <c r="J144" s="256"/>
      <c r="K144" s="256"/>
      <c r="L144" s="256"/>
      <c r="M144" s="271"/>
      <c r="N144" s="256"/>
      <c r="O144" s="256"/>
      <c r="P144" s="256"/>
      <c r="Q144" s="256"/>
      <c r="R144" s="256"/>
      <c r="S144" s="256"/>
      <c r="T144" s="256"/>
      <c r="U144" s="256"/>
      <c r="V144" s="256"/>
      <c r="W144" s="271"/>
      <c r="X144" s="256"/>
      <c r="Y144" s="256"/>
      <c r="Z144" s="256"/>
      <c r="AA144" s="256"/>
      <c r="AB144" s="256"/>
      <c r="AC144" s="256"/>
      <c r="AD144" s="256"/>
      <c r="AE144" s="256"/>
      <c r="AF144" s="171"/>
      <c r="AG144" s="270"/>
      <c r="AH144" s="270"/>
      <c r="AI144" s="171"/>
      <c r="AJ144" s="171"/>
      <c r="AK144" s="270"/>
      <c r="AL144" s="270"/>
      <c r="AM144" s="171"/>
      <c r="AN144" s="171"/>
      <c r="AP144" s="245"/>
      <c r="AQ144" s="3"/>
      <c r="AR144" s="3"/>
      <c r="AS144" s="3"/>
      <c r="AT144" s="3"/>
      <c r="AU144" s="3"/>
      <c r="AV144" s="3"/>
      <c r="AW144" s="3"/>
      <c r="AX144" s="3"/>
      <c r="AY144" s="3"/>
      <c r="AZ144" s="3"/>
      <c r="BA144" s="3"/>
      <c r="BB144" s="3"/>
      <c r="BC144" s="3"/>
    </row>
    <row r="145" ht="15.75" customHeight="1">
      <c r="A145" s="12"/>
      <c r="B145" s="245" t="str">
        <f>IMAGE("http://i.imgur.com/MaFA5BQ.png",2)</f>
        <v/>
      </c>
      <c r="AP145" s="12"/>
      <c r="AQ145" s="3"/>
      <c r="AR145" s="3"/>
      <c r="AS145" s="3"/>
      <c r="AT145" s="3"/>
      <c r="AU145" s="3"/>
      <c r="AV145" s="3"/>
      <c r="AW145" s="3"/>
      <c r="AX145" s="3"/>
      <c r="AY145" s="3"/>
      <c r="AZ145" s="3"/>
      <c r="BA145" s="3"/>
      <c r="BB145" s="3"/>
      <c r="BC145" s="3"/>
    </row>
    <row r="146" ht="15.75" customHeight="1">
      <c r="A146" s="272"/>
      <c r="B146" s="5"/>
      <c r="C146" s="5"/>
      <c r="D146" s="5"/>
      <c r="E146" s="5"/>
      <c r="F146" s="5"/>
      <c r="G146" s="5"/>
      <c r="H146" s="5"/>
      <c r="I146" s="5"/>
      <c r="J146" s="5"/>
      <c r="K146" s="5"/>
      <c r="L146" s="5"/>
      <c r="M146" s="5"/>
      <c r="N146" s="5"/>
      <c r="O146" s="5"/>
      <c r="P146" s="5"/>
      <c r="Q146" s="151" t="str">
        <f>IMAGE("http://i.imgur.com/lfl1OrE.png",4, 713, 20)</f>
        <v/>
      </c>
      <c r="R146" s="5"/>
      <c r="S146" s="5"/>
      <c r="T146" s="5"/>
      <c r="U146" s="5"/>
      <c r="V146" s="5"/>
      <c r="W146" s="5"/>
      <c r="X146" s="5"/>
      <c r="Y146" s="5"/>
      <c r="Z146" s="5"/>
      <c r="AA146" s="5"/>
      <c r="AB146" s="5"/>
      <c r="AC146" s="5"/>
      <c r="AD146" s="5"/>
      <c r="AE146" s="5"/>
      <c r="AF146" s="5"/>
      <c r="AG146" s="5"/>
      <c r="AH146" s="5"/>
      <c r="AI146" s="5"/>
      <c r="AJ146" s="5"/>
      <c r="AK146" s="5"/>
      <c r="AL146" s="5"/>
      <c r="AM146" s="5"/>
      <c r="AN146" s="5"/>
      <c r="AO146" s="151" t="str">
        <f>IMAGE("http://i.imgur.com/HPmeNxc.png",4, 713, 20)</f>
        <v/>
      </c>
      <c r="AP146" s="12"/>
      <c r="AQ146" s="3"/>
      <c r="AR146" s="3"/>
      <c r="AS146" s="3"/>
      <c r="AT146" s="3"/>
      <c r="AU146" s="3"/>
      <c r="AV146" s="3"/>
      <c r="AW146" s="3"/>
      <c r="AX146" s="3"/>
      <c r="AY146" s="3"/>
      <c r="AZ146" s="3"/>
      <c r="BA146" s="3"/>
      <c r="BB146" s="3"/>
      <c r="BC146" s="3"/>
    </row>
    <row r="147" ht="15.75" customHeight="1">
      <c r="A147" s="12"/>
      <c r="B147" s="273" t="str">
        <f>IMAGE("http://i.imgur.com/txQSaWP.png",2)</f>
        <v/>
      </c>
      <c r="O147" s="11"/>
      <c r="R147" s="274"/>
      <c r="S147" s="70"/>
      <c r="T147" s="70"/>
      <c r="U147" s="70"/>
      <c r="V147" s="70"/>
      <c r="W147" s="70"/>
      <c r="X147" s="70"/>
      <c r="Y147" s="70"/>
      <c r="Z147" s="70"/>
      <c r="AA147" s="70"/>
      <c r="AB147" s="70"/>
      <c r="AC147" s="275" t="str">
        <f>IMAGE("http://i.imgur.com/YThwbjs.png",3)</f>
        <v/>
      </c>
      <c r="AD147" s="276" t="str">
        <f>IMAGE("http://i.imgur.com/bTrqe1T.png",2)</f>
        <v/>
      </c>
      <c r="AE147" s="25"/>
      <c r="AF147" s="25"/>
      <c r="AG147" s="25"/>
      <c r="AH147" s="25"/>
      <c r="AI147" s="25"/>
      <c r="AJ147" s="25"/>
      <c r="AK147" s="25"/>
      <c r="AL147" s="25"/>
      <c r="AM147" s="25"/>
      <c r="AN147" s="277"/>
      <c r="AP147" s="12"/>
      <c r="AQ147" s="3"/>
      <c r="AR147" s="3"/>
      <c r="AS147" s="3"/>
      <c r="AT147" s="3"/>
      <c r="AU147" s="3"/>
      <c r="AV147" s="3"/>
      <c r="AW147" s="3"/>
      <c r="AX147" s="3"/>
      <c r="AY147" s="3"/>
      <c r="AZ147" s="3"/>
      <c r="BA147" s="3"/>
      <c r="BB147" s="3"/>
      <c r="BC147" s="3"/>
    </row>
    <row r="148" ht="15.75" customHeight="1">
      <c r="A148" s="12"/>
      <c r="B148" s="273"/>
      <c r="C148" s="278"/>
      <c r="D148" s="16"/>
      <c r="E148" s="16"/>
      <c r="F148" s="279"/>
      <c r="G148" s="16"/>
      <c r="H148" s="16"/>
      <c r="I148" s="280"/>
      <c r="J148" s="16"/>
      <c r="K148" s="16"/>
      <c r="L148" s="281"/>
      <c r="M148" s="16"/>
      <c r="N148" s="16"/>
      <c r="O148" s="19"/>
      <c r="R148" s="282"/>
      <c r="S148" s="74"/>
      <c r="T148" s="74"/>
      <c r="U148" s="74"/>
      <c r="V148" s="74"/>
      <c r="W148" s="74"/>
      <c r="X148" s="74"/>
      <c r="Y148" s="74"/>
      <c r="Z148" s="74"/>
      <c r="AA148" s="74"/>
      <c r="AB148" s="74"/>
      <c r="AD148" s="61"/>
      <c r="AN148" s="63"/>
      <c r="AP148" s="12"/>
      <c r="AQ148" s="3"/>
      <c r="AR148" s="3"/>
      <c r="AS148" s="3"/>
      <c r="AT148" s="3"/>
      <c r="AU148" s="3"/>
      <c r="AV148" s="3"/>
      <c r="AW148" s="3"/>
      <c r="AX148" s="3"/>
      <c r="AY148" s="3"/>
      <c r="AZ148" s="3"/>
      <c r="BA148" s="3"/>
      <c r="BB148" s="3"/>
      <c r="BC148" s="3"/>
    </row>
    <row r="149" ht="15.75" customHeight="1">
      <c r="A149" s="12"/>
      <c r="B149" s="27"/>
      <c r="C149" s="23" t="s">
        <v>203</v>
      </c>
      <c r="F149" s="23" t="s">
        <v>204</v>
      </c>
      <c r="I149" s="23" t="s">
        <v>205</v>
      </c>
      <c r="L149" s="23" t="s">
        <v>206</v>
      </c>
      <c r="O149" s="11"/>
      <c r="R149" s="282"/>
      <c r="S149" s="74"/>
      <c r="T149" s="74"/>
      <c r="U149" s="74"/>
      <c r="V149" s="74"/>
      <c r="W149" s="74"/>
      <c r="X149" s="74"/>
      <c r="Y149" s="74"/>
      <c r="Z149" s="74"/>
      <c r="AA149" s="74"/>
      <c r="AB149" s="74"/>
      <c r="AD149" s="283"/>
      <c r="AE149" s="284" t="str">
        <f>IMAGE("http://i.imgur.com/RPBcjfQ.png",2)</f>
        <v/>
      </c>
      <c r="AF149" s="285"/>
      <c r="AG149" s="156"/>
      <c r="AH149" s="156"/>
      <c r="AI149" s="156"/>
      <c r="AJ149" s="156"/>
      <c r="AK149" s="156"/>
      <c r="AL149" s="156"/>
      <c r="AM149" s="19" t="str">
        <f>IMAGE("http://i.imgur.com/9TzSPZd.png",2)</f>
        <v/>
      </c>
      <c r="AN149" s="286"/>
      <c r="AP149" s="12"/>
      <c r="AQ149" s="3"/>
      <c r="AR149" s="3"/>
      <c r="AS149" s="3"/>
      <c r="AT149" s="3"/>
      <c r="AU149" s="3"/>
      <c r="AV149" s="3"/>
      <c r="AW149" s="3"/>
      <c r="AX149" s="3"/>
      <c r="AY149" s="3"/>
      <c r="AZ149" s="3"/>
      <c r="BA149" s="3"/>
      <c r="BB149" s="3"/>
      <c r="BC149" s="3"/>
    </row>
    <row r="150" ht="15.75" customHeight="1">
      <c r="A150" s="12"/>
      <c r="B150" s="27"/>
      <c r="C150" s="281"/>
      <c r="D150" s="16"/>
      <c r="E150" s="16"/>
      <c r="F150" s="281"/>
      <c r="G150" s="16"/>
      <c r="H150" s="16"/>
      <c r="I150" s="281"/>
      <c r="J150" s="16"/>
      <c r="K150" s="16"/>
      <c r="L150" s="281"/>
      <c r="M150" s="16"/>
      <c r="N150" s="16"/>
      <c r="O150" s="11"/>
      <c r="R150" s="282"/>
      <c r="S150" s="74"/>
      <c r="T150" s="74"/>
      <c r="U150" s="74"/>
      <c r="V150" s="74"/>
      <c r="W150" s="74"/>
      <c r="X150" s="74"/>
      <c r="Y150" s="74"/>
      <c r="Z150" s="74"/>
      <c r="AA150" s="74"/>
      <c r="AB150" s="74"/>
      <c r="AD150" s="61"/>
      <c r="AE150" s="287" t="str">
        <f>if(I176&lt;&gt;"",IMAGE(I176), if(AF149="Harpers",IMAGE("http://i.imgur.com/spbk1zO.png"),if(AF149="Order of the Gauntlet",IMAGE("http://i.imgur.com/zmBYzRZ.png"),if(AF149="Emerald Enclave",IMAGE("http://i.imgur.com/tlMXGVU.png"),if(AF149="Lords' Alliance",IMAGE("http://i.imgur.com/PkmgEis.png"),if(AF149="Zhentarim",IMAGE("http://i.imgur.com/K4P91yD.png"),"[188x188+]"))))))</f>
        <v>[188x188+]</v>
      </c>
      <c r="AF150" s="35"/>
      <c r="AG150" s="35"/>
      <c r="AH150" s="35"/>
      <c r="AI150" s="35"/>
      <c r="AJ150" s="35"/>
      <c r="AK150" s="35"/>
      <c r="AL150" s="35"/>
      <c r="AM150" s="288"/>
      <c r="AN150" s="63"/>
      <c r="AP150" s="12"/>
      <c r="AQ150" s="3"/>
      <c r="AR150" s="3"/>
      <c r="AS150" s="3"/>
      <c r="AT150" s="3"/>
      <c r="AU150" s="3"/>
      <c r="AV150" s="3"/>
      <c r="AW150" s="3"/>
      <c r="AX150" s="3"/>
      <c r="AY150" s="3"/>
      <c r="AZ150" s="3"/>
      <c r="BA150" s="3"/>
      <c r="BB150" s="3"/>
      <c r="BC150" s="3"/>
    </row>
    <row r="151" ht="15.75" customHeight="1">
      <c r="A151" s="12"/>
      <c r="B151" s="27"/>
      <c r="C151" s="23" t="s">
        <v>207</v>
      </c>
      <c r="F151" s="23" t="s">
        <v>208</v>
      </c>
      <c r="I151" s="23" t="s">
        <v>209</v>
      </c>
      <c r="L151" s="23" t="s">
        <v>210</v>
      </c>
      <c r="O151" s="11"/>
      <c r="R151" s="282"/>
      <c r="S151" s="74"/>
      <c r="T151" s="74"/>
      <c r="U151" s="74"/>
      <c r="V151" s="74"/>
      <c r="W151" s="74"/>
      <c r="X151" s="74"/>
      <c r="Y151" s="74"/>
      <c r="Z151" s="74"/>
      <c r="AA151" s="74"/>
      <c r="AB151" s="74"/>
      <c r="AD151" s="61"/>
      <c r="AE151" s="27"/>
      <c r="AM151" s="11"/>
      <c r="AN151" s="63"/>
      <c r="AP151" s="12"/>
      <c r="AQ151" s="3"/>
      <c r="AR151" s="3"/>
      <c r="AS151" s="3"/>
      <c r="AT151" s="3"/>
      <c r="AU151" s="3"/>
      <c r="AV151" s="3"/>
      <c r="AW151" s="3"/>
      <c r="AX151" s="3"/>
      <c r="AY151" s="3"/>
      <c r="AZ151" s="3"/>
      <c r="BA151" s="3"/>
      <c r="BB151" s="3"/>
      <c r="BC151" s="3"/>
    </row>
    <row r="152" ht="15.75" customHeight="1">
      <c r="A152" s="12"/>
      <c r="B152" s="289" t="str">
        <f>IMAGE("http://i.imgur.com/g03ok4e.png",2)</f>
        <v/>
      </c>
      <c r="O152" s="11"/>
      <c r="R152" s="282"/>
      <c r="S152" s="74"/>
      <c r="T152" s="74"/>
      <c r="U152" s="74"/>
      <c r="V152" s="74"/>
      <c r="W152" s="74"/>
      <c r="X152" s="74"/>
      <c r="Y152" s="74"/>
      <c r="Z152" s="74"/>
      <c r="AA152" s="74"/>
      <c r="AB152" s="74"/>
      <c r="AD152" s="61"/>
      <c r="AE152" s="27"/>
      <c r="AM152" s="11"/>
      <c r="AN152" s="63"/>
      <c r="AP152" s="12"/>
      <c r="AQ152" s="3"/>
      <c r="AR152" s="3"/>
      <c r="AS152" s="3"/>
      <c r="AT152" s="3"/>
      <c r="AU152" s="3"/>
      <c r="AV152" s="3"/>
      <c r="AW152" s="3"/>
      <c r="AX152" s="3"/>
      <c r="AY152" s="3"/>
      <c r="AZ152" s="3"/>
      <c r="BA152" s="3"/>
      <c r="BB152" s="3"/>
      <c r="BC152" s="3"/>
    </row>
    <row r="153" ht="15.75" customHeight="1">
      <c r="A153" s="272"/>
      <c r="B153" s="5"/>
      <c r="C153" s="5"/>
      <c r="D153" s="5"/>
      <c r="E153" s="5"/>
      <c r="F153" s="5"/>
      <c r="G153" s="5"/>
      <c r="H153" s="5"/>
      <c r="I153" s="5"/>
      <c r="J153" s="5"/>
      <c r="K153" s="5"/>
      <c r="L153" s="5"/>
      <c r="M153" s="5"/>
      <c r="N153" s="5"/>
      <c r="O153" s="5"/>
      <c r="P153" s="272"/>
      <c r="R153" s="282"/>
      <c r="S153" s="74"/>
      <c r="T153" s="74"/>
      <c r="U153" s="74"/>
      <c r="V153" s="74"/>
      <c r="W153" s="74"/>
      <c r="X153" s="74"/>
      <c r="Y153" s="74"/>
      <c r="Z153" s="74"/>
      <c r="AA153" s="74"/>
      <c r="AB153" s="74"/>
      <c r="AD153" s="61"/>
      <c r="AE153" s="27"/>
      <c r="AM153" s="11"/>
      <c r="AN153" s="63"/>
      <c r="AP153" s="12"/>
      <c r="AQ153" s="3"/>
      <c r="AR153" s="3"/>
      <c r="AS153" s="3"/>
      <c r="AT153" s="3"/>
      <c r="AU153" s="3"/>
      <c r="AV153" s="3"/>
      <c r="AW153" s="3"/>
      <c r="AX153" s="3"/>
      <c r="AY153" s="3"/>
      <c r="AZ153" s="3"/>
      <c r="BA153" s="3"/>
      <c r="BB153" s="3"/>
      <c r="BC153" s="3"/>
    </row>
    <row r="154" ht="15.75" customHeight="1">
      <c r="A154" s="12"/>
      <c r="B154" s="151" t="str">
        <f>IMAGE("http://i.imgur.com/KIP2tYo.png",2)</f>
        <v/>
      </c>
      <c r="C154" s="191" t="str">
        <f>IMAGE("https://i.imgur.com/IxRRFOd.png",2)</f>
        <v/>
      </c>
      <c r="O154" s="151" t="str">
        <f>IMAGE("http://i.imgur.com/uMJMbFU.png",2)</f>
        <v/>
      </c>
      <c r="P154" s="12"/>
      <c r="R154" s="282"/>
      <c r="S154" s="74"/>
      <c r="T154" s="74"/>
      <c r="U154" s="74"/>
      <c r="V154" s="74"/>
      <c r="W154" s="74"/>
      <c r="X154" s="74"/>
      <c r="Y154" s="74"/>
      <c r="Z154" s="74"/>
      <c r="AA154" s="74"/>
      <c r="AB154" s="74"/>
      <c r="AD154" s="61"/>
      <c r="AE154" s="27"/>
      <c r="AM154" s="11"/>
      <c r="AN154" s="63"/>
      <c r="AP154" s="12"/>
      <c r="AQ154" s="3"/>
      <c r="AR154" s="3"/>
      <c r="AS154" s="3"/>
      <c r="AT154" s="3"/>
      <c r="AU154" s="3"/>
      <c r="AV154" s="3"/>
      <c r="AW154" s="3"/>
      <c r="AX154" s="3"/>
      <c r="AY154" s="3"/>
      <c r="AZ154" s="3"/>
      <c r="BA154" s="3"/>
      <c r="BB154" s="3"/>
      <c r="BC154" s="3"/>
    </row>
    <row r="155" ht="15.75" customHeight="1">
      <c r="A155" s="12"/>
      <c r="C155" s="290" t="str">
        <f>if(C176="","[251x335+]",IMAGE(C176))</f>
        <v>[251x335+]</v>
      </c>
      <c r="D155" s="25"/>
      <c r="E155" s="25"/>
      <c r="F155" s="25"/>
      <c r="G155" s="25"/>
      <c r="H155" s="25"/>
      <c r="I155" s="25"/>
      <c r="J155" s="25"/>
      <c r="K155" s="25"/>
      <c r="L155" s="25"/>
      <c r="M155" s="25"/>
      <c r="N155" s="277"/>
      <c r="P155" s="203"/>
      <c r="R155" s="282"/>
      <c r="S155" s="74"/>
      <c r="T155" s="74"/>
      <c r="U155" s="74"/>
      <c r="V155" s="74"/>
      <c r="W155" s="74"/>
      <c r="X155" s="74"/>
      <c r="Y155" s="74"/>
      <c r="Z155" s="74"/>
      <c r="AA155" s="74"/>
      <c r="AB155" s="74"/>
      <c r="AD155" s="61"/>
      <c r="AE155" s="27"/>
      <c r="AM155" s="11"/>
      <c r="AN155" s="63"/>
      <c r="AP155" s="12"/>
      <c r="AQ155" s="3" t="s">
        <v>211</v>
      </c>
      <c r="AR155" s="3" t="s">
        <v>212</v>
      </c>
      <c r="AS155" s="2" t="s">
        <v>213</v>
      </c>
      <c r="AT155" s="3"/>
      <c r="AU155" s="3"/>
      <c r="AV155" s="3"/>
      <c r="AW155" s="3"/>
      <c r="AX155" s="3"/>
      <c r="AY155" s="3"/>
      <c r="AZ155" s="3"/>
      <c r="BA155" s="3"/>
      <c r="BB155" s="3"/>
      <c r="BC155" s="3"/>
    </row>
    <row r="156" ht="15.75" customHeight="1">
      <c r="A156" s="12"/>
      <c r="C156" s="61"/>
      <c r="N156" s="63"/>
      <c r="P156" s="203"/>
      <c r="R156" s="282"/>
      <c r="S156" s="74"/>
      <c r="T156" s="74"/>
      <c r="U156" s="74"/>
      <c r="V156" s="74"/>
      <c r="W156" s="74"/>
      <c r="X156" s="74"/>
      <c r="Y156" s="74"/>
      <c r="Z156" s="74"/>
      <c r="AA156" s="74"/>
      <c r="AB156" s="74"/>
      <c r="AD156" s="61"/>
      <c r="AE156" s="27"/>
      <c r="AM156" s="11"/>
      <c r="AN156" s="63"/>
      <c r="AP156" s="12"/>
      <c r="AQ156" s="13" t="s">
        <v>214</v>
      </c>
      <c r="AR156" s="291" t="s">
        <v>215</v>
      </c>
      <c r="AS156" s="292" t="s">
        <v>216</v>
      </c>
      <c r="AT156" s="3"/>
      <c r="AU156" s="3"/>
      <c r="AV156" s="3"/>
      <c r="AW156" s="3"/>
      <c r="AX156" s="3"/>
      <c r="AY156" s="3"/>
      <c r="AZ156" s="3"/>
      <c r="BA156" s="3"/>
      <c r="BB156" s="3"/>
      <c r="BC156" s="3"/>
    </row>
    <row r="157" ht="15.75" customHeight="1">
      <c r="A157" s="12"/>
      <c r="C157" s="61"/>
      <c r="N157" s="63"/>
      <c r="P157" s="203"/>
      <c r="R157" s="282"/>
      <c r="S157" s="74"/>
      <c r="T157" s="74"/>
      <c r="U157" s="74"/>
      <c r="V157" s="74"/>
      <c r="W157" s="74"/>
      <c r="X157" s="74"/>
      <c r="Y157" s="74"/>
      <c r="Z157" s="74"/>
      <c r="AA157" s="74"/>
      <c r="AB157" s="74"/>
      <c r="AD157" s="61"/>
      <c r="AE157" s="27"/>
      <c r="AM157" s="11"/>
      <c r="AN157" s="63"/>
      <c r="AP157" s="12"/>
      <c r="AQ157" s="293" t="s">
        <v>217</v>
      </c>
      <c r="AR157" s="294" t="s">
        <v>218</v>
      </c>
      <c r="AS157" s="295" t="s">
        <v>219</v>
      </c>
      <c r="AT157" s="3"/>
      <c r="AU157" s="3"/>
      <c r="AV157" s="3"/>
      <c r="AW157" s="3"/>
      <c r="AX157" s="3"/>
      <c r="AY157" s="3"/>
      <c r="AZ157" s="3"/>
      <c r="BA157" s="3"/>
      <c r="BB157" s="3"/>
      <c r="BC157" s="3"/>
    </row>
    <row r="158" ht="15.75" customHeight="1">
      <c r="A158" s="12"/>
      <c r="C158" s="61"/>
      <c r="N158" s="63"/>
      <c r="P158" s="203"/>
      <c r="R158" s="282"/>
      <c r="S158" s="74"/>
      <c r="T158" s="74"/>
      <c r="U158" s="74"/>
      <c r="V158" s="74"/>
      <c r="W158" s="74"/>
      <c r="X158" s="74"/>
      <c r="Y158" s="74"/>
      <c r="Z158" s="74"/>
      <c r="AA158" s="74"/>
      <c r="AB158" s="74"/>
      <c r="AD158" s="296"/>
      <c r="AE158" s="297"/>
      <c r="AF158" s="160"/>
      <c r="AG158" s="160"/>
      <c r="AH158" s="160"/>
      <c r="AI158" s="160"/>
      <c r="AJ158" s="160"/>
      <c r="AK158" s="160"/>
      <c r="AL158" s="160"/>
      <c r="AM158" s="298"/>
      <c r="AN158" s="299"/>
      <c r="AP158" s="12"/>
      <c r="AQ158" s="293" t="s">
        <v>220</v>
      </c>
      <c r="AR158" s="294" t="s">
        <v>221</v>
      </c>
      <c r="AS158" s="295" t="s">
        <v>219</v>
      </c>
      <c r="AT158" s="3"/>
      <c r="AU158" s="3"/>
      <c r="AV158" s="3"/>
      <c r="AW158" s="3"/>
      <c r="AX158" s="3"/>
      <c r="AY158" s="3"/>
      <c r="AZ158" s="3"/>
      <c r="BA158" s="3"/>
      <c r="BB158" s="3"/>
      <c r="BC158" s="3"/>
    </row>
    <row r="159" ht="15.75" customHeight="1">
      <c r="A159" s="12"/>
      <c r="C159" s="61"/>
      <c r="N159" s="63"/>
      <c r="P159" s="203"/>
      <c r="R159" s="282"/>
      <c r="S159" s="74"/>
      <c r="T159" s="74"/>
      <c r="U159" s="74"/>
      <c r="V159" s="74"/>
      <c r="W159" s="74"/>
      <c r="X159" s="74"/>
      <c r="Y159" s="74"/>
      <c r="Z159" s="74"/>
      <c r="AA159" s="74"/>
      <c r="AB159" s="74"/>
      <c r="AD159" s="57" t="str">
        <f>IMAGE("http://i.imgur.com/NNZ6JYf.png",2)</f>
        <v/>
      </c>
      <c r="AN159" s="63"/>
      <c r="AP159" s="12"/>
      <c r="AQ159" s="293" t="s">
        <v>222</v>
      </c>
      <c r="AR159" s="294" t="s">
        <v>223</v>
      </c>
      <c r="AS159" s="295" t="s">
        <v>219</v>
      </c>
      <c r="AT159" s="3"/>
      <c r="AU159" s="3"/>
      <c r="AV159" s="3"/>
      <c r="AW159" s="3"/>
      <c r="AX159" s="3"/>
      <c r="AY159" s="3"/>
      <c r="AZ159" s="3"/>
      <c r="BA159" s="3"/>
      <c r="BB159" s="3"/>
      <c r="BC159" s="3"/>
    </row>
    <row r="160" ht="15.75" customHeight="1">
      <c r="A160" s="12"/>
      <c r="C160" s="61"/>
      <c r="N160" s="63"/>
      <c r="P160" s="203"/>
      <c r="R160" s="282"/>
      <c r="S160" s="74"/>
      <c r="T160" s="74"/>
      <c r="U160" s="74"/>
      <c r="V160" s="74"/>
      <c r="W160" s="74"/>
      <c r="X160" s="74"/>
      <c r="Y160" s="74"/>
      <c r="Z160" s="74"/>
      <c r="AA160" s="74"/>
      <c r="AB160" s="74"/>
      <c r="AD160" s="61"/>
      <c r="AN160" s="63"/>
      <c r="AP160" s="12"/>
      <c r="AQ160" s="3" t="s">
        <v>224</v>
      </c>
      <c r="AR160" s="300" t="s">
        <v>225</v>
      </c>
      <c r="AS160" s="295" t="s">
        <v>219</v>
      </c>
      <c r="AT160" s="3"/>
      <c r="AU160" s="3"/>
      <c r="AV160" s="3"/>
      <c r="AW160" s="3"/>
      <c r="AX160" s="3"/>
      <c r="AY160" s="3"/>
      <c r="AZ160" s="3"/>
      <c r="BA160" s="3"/>
      <c r="BB160" s="3"/>
      <c r="BC160" s="3"/>
    </row>
    <row r="161" ht="15.75" customHeight="1">
      <c r="A161" s="12"/>
      <c r="C161" s="61"/>
      <c r="N161" s="63"/>
      <c r="P161" s="203"/>
      <c r="R161" s="282"/>
      <c r="S161" s="74"/>
      <c r="T161" s="74"/>
      <c r="U161" s="74"/>
      <c r="V161" s="74"/>
      <c r="W161" s="74"/>
      <c r="X161" s="74"/>
      <c r="Y161" s="74"/>
      <c r="Z161" s="74"/>
      <c r="AA161" s="74"/>
      <c r="AB161" s="74"/>
      <c r="AD161" s="172"/>
      <c r="AE161" s="171"/>
      <c r="AF161" s="171"/>
      <c r="AG161" s="171"/>
      <c r="AH161" s="171"/>
      <c r="AI161" s="171"/>
      <c r="AJ161" s="171"/>
      <c r="AK161" s="171"/>
      <c r="AL161" s="171"/>
      <c r="AM161" s="171"/>
      <c r="AN161" s="171"/>
      <c r="AP161" s="12"/>
      <c r="AQ161" s="3" t="s">
        <v>226</v>
      </c>
      <c r="AR161" s="300" t="s">
        <v>227</v>
      </c>
      <c r="AS161" s="295" t="s">
        <v>219</v>
      </c>
      <c r="AT161" s="3"/>
      <c r="AU161" s="3"/>
      <c r="AV161" s="3"/>
      <c r="AW161" s="3"/>
      <c r="AX161" s="3"/>
      <c r="AY161" s="3"/>
      <c r="AZ161" s="3"/>
      <c r="BA161" s="3"/>
      <c r="BB161" s="3"/>
      <c r="BC161" s="3"/>
    </row>
    <row r="162" ht="15.75" customHeight="1">
      <c r="A162" s="12"/>
      <c r="C162" s="61"/>
      <c r="N162" s="63"/>
      <c r="P162" s="203"/>
      <c r="R162" s="282"/>
      <c r="S162" s="74"/>
      <c r="T162" s="74"/>
      <c r="U162" s="74"/>
      <c r="V162" s="74"/>
      <c r="W162" s="74"/>
      <c r="X162" s="74"/>
      <c r="Y162" s="74"/>
      <c r="Z162" s="74"/>
      <c r="AA162" s="74"/>
      <c r="AB162" s="74"/>
      <c r="AD162" s="282"/>
      <c r="AE162" s="74"/>
      <c r="AF162" s="74"/>
      <c r="AG162" s="74"/>
      <c r="AH162" s="74"/>
      <c r="AI162" s="74"/>
      <c r="AJ162" s="74"/>
      <c r="AK162" s="74"/>
      <c r="AL162" s="74"/>
      <c r="AM162" s="74"/>
      <c r="AN162" s="74"/>
      <c r="AP162" s="12"/>
      <c r="AQ162" s="3" t="s">
        <v>228</v>
      </c>
      <c r="AR162" s="300" t="s">
        <v>229</v>
      </c>
      <c r="AS162" s="295" t="s">
        <v>219</v>
      </c>
      <c r="AT162" s="3"/>
      <c r="AU162" s="3"/>
      <c r="AV162" s="3"/>
      <c r="AW162" s="3"/>
      <c r="AX162" s="3"/>
      <c r="AY162" s="3"/>
      <c r="AZ162" s="3"/>
      <c r="BA162" s="3"/>
      <c r="BB162" s="3"/>
      <c r="BC162" s="3"/>
    </row>
    <row r="163" ht="15.75" customHeight="1">
      <c r="A163" s="12"/>
      <c r="C163" s="61"/>
      <c r="N163" s="63"/>
      <c r="P163" s="203"/>
      <c r="R163" s="180" t="s">
        <v>230</v>
      </c>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P163" s="12"/>
      <c r="AQ163" s="3" t="s">
        <v>231</v>
      </c>
      <c r="AR163" s="300" t="s">
        <v>232</v>
      </c>
      <c r="AS163" s="295" t="s">
        <v>219</v>
      </c>
      <c r="AT163" s="3"/>
      <c r="AU163" s="3"/>
      <c r="AV163" s="3"/>
      <c r="AW163" s="3"/>
      <c r="AX163" s="3"/>
      <c r="AY163" s="3"/>
      <c r="AZ163" s="3"/>
      <c r="BA163" s="3"/>
      <c r="BB163" s="3"/>
      <c r="BC163" s="3"/>
    </row>
    <row r="164" ht="15.75" customHeight="1">
      <c r="A164" s="12"/>
      <c r="C164" s="61"/>
      <c r="N164" s="63"/>
      <c r="P164" s="203"/>
      <c r="R164" s="5"/>
      <c r="S164" s="5"/>
      <c r="T164" s="5"/>
      <c r="U164" s="5"/>
      <c r="V164" s="5"/>
      <c r="W164" s="5"/>
      <c r="X164" s="5"/>
      <c r="Y164" s="5"/>
      <c r="Z164" s="5"/>
      <c r="AA164" s="5"/>
      <c r="AB164" s="5"/>
      <c r="AC164" s="5"/>
      <c r="AD164" s="5"/>
      <c r="AE164" s="5"/>
      <c r="AF164" s="5"/>
      <c r="AG164" s="5"/>
      <c r="AH164" s="5"/>
      <c r="AI164" s="5"/>
      <c r="AJ164" s="5"/>
      <c r="AK164" s="5"/>
      <c r="AL164" s="5"/>
      <c r="AM164" s="5"/>
      <c r="AN164" s="5"/>
      <c r="AP164" s="12"/>
      <c r="AQ164" s="3" t="s">
        <v>233</v>
      </c>
      <c r="AR164" s="300" t="s">
        <v>234</v>
      </c>
      <c r="AS164" s="295" t="s">
        <v>219</v>
      </c>
      <c r="AT164" s="3"/>
      <c r="AU164" s="3"/>
      <c r="AV164" s="3"/>
      <c r="AW164" s="3"/>
      <c r="AX164" s="3"/>
      <c r="AY164" s="3"/>
      <c r="AZ164" s="3"/>
      <c r="BA164" s="3"/>
      <c r="BB164" s="3"/>
      <c r="BC164" s="3"/>
    </row>
    <row r="165" ht="15.75" customHeight="1">
      <c r="A165" s="12"/>
      <c r="C165" s="61"/>
      <c r="N165" s="63"/>
      <c r="P165" s="203"/>
      <c r="R165" s="301"/>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P165" s="12"/>
      <c r="AQ165" s="3" t="s">
        <v>235</v>
      </c>
      <c r="AR165" s="300" t="s">
        <v>236</v>
      </c>
      <c r="AS165" s="295" t="s">
        <v>219</v>
      </c>
      <c r="AT165" s="3"/>
      <c r="AU165" s="3"/>
      <c r="AV165" s="3"/>
      <c r="AW165" s="3"/>
      <c r="AX165" s="3"/>
      <c r="AY165" s="3"/>
      <c r="AZ165" s="3"/>
      <c r="BA165" s="3"/>
      <c r="BB165" s="3"/>
      <c r="BC165" s="3"/>
    </row>
    <row r="166" ht="15.75" customHeight="1">
      <c r="C166" s="61"/>
      <c r="N166" s="63"/>
      <c r="R166" s="302"/>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P166" s="12"/>
      <c r="AQ166" s="3" t="s">
        <v>237</v>
      </c>
      <c r="AR166" s="300" t="s">
        <v>238</v>
      </c>
      <c r="AS166" s="295" t="s">
        <v>219</v>
      </c>
      <c r="AT166" s="3"/>
      <c r="AU166" s="3"/>
      <c r="AV166" s="3"/>
      <c r="AW166" s="3"/>
      <c r="AX166" s="3"/>
      <c r="AY166" s="3"/>
      <c r="AZ166" s="3"/>
      <c r="BA166" s="3"/>
      <c r="BB166" s="3"/>
      <c r="BC166" s="3"/>
    </row>
    <row r="167" ht="15.75" customHeight="1">
      <c r="C167" s="61"/>
      <c r="N167" s="63"/>
      <c r="R167" s="302"/>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P167" s="12"/>
      <c r="AQ167" s="3" t="s">
        <v>239</v>
      </c>
      <c r="AR167" s="300" t="s">
        <v>240</v>
      </c>
      <c r="AS167" s="295" t="s">
        <v>219</v>
      </c>
      <c r="AT167" s="3"/>
      <c r="AU167" s="3"/>
      <c r="AV167" s="3"/>
      <c r="AW167" s="3"/>
      <c r="AX167" s="3"/>
      <c r="AY167" s="3"/>
      <c r="AZ167" s="3"/>
      <c r="BA167" s="3"/>
      <c r="BB167" s="3"/>
      <c r="BC167" s="3"/>
    </row>
    <row r="168" ht="15.75" customHeight="1">
      <c r="C168" s="61"/>
      <c r="N168" s="63"/>
      <c r="R168" s="302"/>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P168" s="12"/>
      <c r="AQ168" s="3" t="s">
        <v>241</v>
      </c>
      <c r="AR168" s="300" t="s">
        <v>242</v>
      </c>
      <c r="AS168" s="295" t="s">
        <v>219</v>
      </c>
      <c r="AT168" s="3"/>
      <c r="AU168" s="3"/>
      <c r="AV168" s="3"/>
      <c r="AW168" s="3"/>
      <c r="AX168" s="3"/>
      <c r="AY168" s="3"/>
      <c r="AZ168" s="3"/>
      <c r="BA168" s="3"/>
      <c r="BB168" s="3"/>
      <c r="BC168" s="3"/>
    </row>
    <row r="169" ht="15.75" customHeight="1">
      <c r="C169" s="61"/>
      <c r="N169" s="63"/>
      <c r="R169" s="302"/>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P169" s="12"/>
      <c r="AQ169" s="3" t="s">
        <v>243</v>
      </c>
      <c r="AR169" s="300" t="s">
        <v>244</v>
      </c>
      <c r="AS169" s="295" t="s">
        <v>219</v>
      </c>
      <c r="AT169" s="3"/>
      <c r="AU169" s="3"/>
      <c r="AV169" s="3"/>
      <c r="AW169" s="3"/>
      <c r="AX169" s="3"/>
      <c r="AY169" s="3"/>
      <c r="AZ169" s="3"/>
      <c r="BA169" s="3"/>
      <c r="BB169" s="3"/>
      <c r="BC169" s="3"/>
    </row>
    <row r="170" ht="15.75" customHeight="1">
      <c r="C170" s="303"/>
      <c r="D170" s="160"/>
      <c r="E170" s="160"/>
      <c r="F170" s="160"/>
      <c r="G170" s="160"/>
      <c r="H170" s="160"/>
      <c r="I170" s="160"/>
      <c r="J170" s="160"/>
      <c r="K170" s="160"/>
      <c r="L170" s="160"/>
      <c r="M170" s="160"/>
      <c r="N170" s="177"/>
      <c r="R170" s="304"/>
      <c r="AP170" s="12"/>
      <c r="AQ170" s="3" t="s">
        <v>245</v>
      </c>
      <c r="AR170" s="300" t="s">
        <v>246</v>
      </c>
      <c r="AS170" s="295" t="s">
        <v>219</v>
      </c>
      <c r="AT170" s="3"/>
      <c r="AU170" s="3"/>
      <c r="AV170" s="3"/>
      <c r="AW170" s="3"/>
      <c r="AX170" s="3"/>
      <c r="AY170" s="3"/>
      <c r="AZ170" s="3"/>
      <c r="BA170" s="3"/>
      <c r="BB170" s="3"/>
      <c r="BC170" s="3"/>
    </row>
    <row r="171" ht="15.75" customHeight="1">
      <c r="C171" s="180" t="s">
        <v>247</v>
      </c>
      <c r="D171" s="31"/>
      <c r="E171" s="31"/>
      <c r="F171" s="31"/>
      <c r="G171" s="31"/>
      <c r="H171" s="31"/>
      <c r="I171" s="31"/>
      <c r="J171" s="31"/>
      <c r="K171" s="31"/>
      <c r="L171" s="31"/>
      <c r="M171" s="31"/>
      <c r="N171" s="31"/>
      <c r="R171" s="302"/>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P171" s="12"/>
      <c r="AQ171" s="3" t="s">
        <v>248</v>
      </c>
      <c r="AR171" s="300" t="s">
        <v>249</v>
      </c>
      <c r="AS171" s="295" t="s">
        <v>219</v>
      </c>
      <c r="AT171" s="8"/>
      <c r="AU171" s="8"/>
      <c r="AV171" s="8"/>
      <c r="AW171" s="8"/>
      <c r="AX171" s="3"/>
      <c r="AY171" s="3"/>
      <c r="AZ171" s="3"/>
      <c r="BA171" s="3"/>
      <c r="BB171" s="3"/>
      <c r="BC171" s="3"/>
    </row>
    <row r="172" ht="15.75" customHeight="1">
      <c r="C172" s="203" t="str">
        <f>IMAGE("https://i.imgur.com/Prga8uY.png",2)</f>
        <v/>
      </c>
      <c r="R172" s="302"/>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P172" s="12"/>
      <c r="AQ172" s="3" t="s">
        <v>150</v>
      </c>
      <c r="AR172" s="300" t="s">
        <v>250</v>
      </c>
      <c r="AS172" s="295" t="s">
        <v>219</v>
      </c>
      <c r="AT172" s="8"/>
      <c r="AU172" s="8"/>
      <c r="AV172" s="8"/>
      <c r="AW172" s="8"/>
      <c r="AX172" s="3"/>
      <c r="AY172" s="3"/>
      <c r="AZ172" s="3"/>
      <c r="BA172" s="3"/>
      <c r="BB172" s="3"/>
      <c r="BC172" s="3"/>
    </row>
    <row r="173" ht="15.75" customHeight="1">
      <c r="A173" s="12"/>
      <c r="B173" s="151" t="str">
        <f>IMAGE("http://i.imgur.com/msQfMwc.png",2)</f>
        <v/>
      </c>
      <c r="C173" s="5"/>
      <c r="D173" s="5"/>
      <c r="E173" s="5"/>
      <c r="F173" s="5"/>
      <c r="G173" s="5"/>
      <c r="H173" s="5"/>
      <c r="I173" s="5"/>
      <c r="J173" s="5"/>
      <c r="K173" s="5"/>
      <c r="L173" s="5"/>
      <c r="M173" s="5"/>
      <c r="N173" s="5"/>
      <c r="O173" s="151" t="str">
        <f>IMAGE("http://i.imgur.com/546FbwO.png",2)</f>
        <v/>
      </c>
      <c r="P173" s="203"/>
      <c r="R173" s="302"/>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P173" s="12"/>
      <c r="AQ173" s="3" t="s">
        <v>251</v>
      </c>
      <c r="AR173" s="300" t="s">
        <v>252</v>
      </c>
      <c r="AS173" s="295" t="s">
        <v>219</v>
      </c>
      <c r="AT173" s="8"/>
      <c r="AU173" s="8"/>
      <c r="AV173" s="8"/>
      <c r="AW173" s="8"/>
      <c r="AX173" s="3"/>
      <c r="AY173" s="3"/>
      <c r="AZ173" s="3"/>
      <c r="BA173" s="3"/>
      <c r="BB173" s="3"/>
      <c r="BC173" s="3"/>
    </row>
    <row r="174" ht="15.75" customHeight="1">
      <c r="A174" s="12"/>
      <c r="C174" s="305" t="s">
        <v>150</v>
      </c>
      <c r="D174" s="70"/>
      <c r="E174" s="70"/>
      <c r="F174" s="70"/>
      <c r="G174" s="70"/>
      <c r="H174" s="70"/>
      <c r="I174" s="306" t="s">
        <v>253</v>
      </c>
      <c r="J174" s="70"/>
      <c r="K174" s="70"/>
      <c r="L174" s="70"/>
      <c r="M174" s="70"/>
      <c r="N174" s="70"/>
      <c r="P174" s="203"/>
      <c r="R174" s="302"/>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P174" s="12"/>
      <c r="AQ174" s="3" t="s">
        <v>254</v>
      </c>
      <c r="AR174" s="300" t="s">
        <v>255</v>
      </c>
      <c r="AS174" s="295" t="s">
        <v>219</v>
      </c>
      <c r="AT174" s="8"/>
      <c r="AU174" s="8"/>
      <c r="AV174" s="8"/>
      <c r="AW174" s="8"/>
      <c r="AX174" s="3"/>
      <c r="AY174" s="3"/>
      <c r="AZ174" s="3"/>
      <c r="BA174" s="3"/>
      <c r="BB174" s="3"/>
      <c r="BC174" s="3"/>
    </row>
    <row r="175" ht="15.75" customHeight="1">
      <c r="A175" s="12"/>
      <c r="C175" s="23" t="s">
        <v>256</v>
      </c>
      <c r="I175" s="23" t="s">
        <v>257</v>
      </c>
      <c r="P175" s="203"/>
      <c r="R175" s="302"/>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P175" s="12"/>
      <c r="AQ175" s="13" t="s">
        <v>258</v>
      </c>
      <c r="AR175" s="291" t="s">
        <v>259</v>
      </c>
      <c r="AS175" s="295" t="s">
        <v>219</v>
      </c>
      <c r="AT175" s="3"/>
      <c r="AU175" s="3"/>
      <c r="AV175" s="3"/>
      <c r="AW175" s="3"/>
      <c r="AX175" s="3"/>
      <c r="AY175" s="3"/>
      <c r="AZ175" s="3"/>
      <c r="BA175" s="3"/>
      <c r="BB175" s="3"/>
      <c r="BC175" s="3"/>
    </row>
    <row r="176" ht="15.75" customHeight="1">
      <c r="A176" s="12"/>
      <c r="C176" s="307"/>
      <c r="D176" s="171"/>
      <c r="E176" s="171"/>
      <c r="F176" s="171"/>
      <c r="G176" s="171"/>
      <c r="H176" s="171"/>
      <c r="I176" s="307"/>
      <c r="J176" s="171"/>
      <c r="K176" s="171"/>
      <c r="L176" s="171"/>
      <c r="M176" s="171"/>
      <c r="N176" s="171"/>
      <c r="P176" s="203"/>
      <c r="R176" s="302"/>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P176" s="12"/>
      <c r="AQ176" s="13"/>
      <c r="AR176" s="13"/>
      <c r="AS176" s="13"/>
      <c r="AT176" s="3"/>
      <c r="AU176" s="3"/>
      <c r="AV176" s="3"/>
      <c r="AW176" s="3"/>
      <c r="AX176" s="3"/>
      <c r="AY176" s="3"/>
      <c r="AZ176" s="3"/>
      <c r="BA176" s="3"/>
      <c r="BB176" s="3"/>
      <c r="BC176" s="3"/>
    </row>
    <row r="177" ht="15.75" customHeight="1">
      <c r="A177" s="12"/>
      <c r="C177" s="23" t="s">
        <v>260</v>
      </c>
      <c r="I177" s="23" t="s">
        <v>261</v>
      </c>
      <c r="P177" s="203"/>
      <c r="R177" s="302"/>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P177" s="12"/>
      <c r="AQ177" s="13"/>
      <c r="AR177" s="13"/>
      <c r="AS177" s="13"/>
      <c r="AT177" s="3"/>
      <c r="AU177" s="3"/>
      <c r="AV177" s="3"/>
      <c r="AW177" s="3"/>
      <c r="AX177" s="3"/>
      <c r="AY177" s="3"/>
      <c r="AZ177" s="3"/>
      <c r="BA177" s="3"/>
      <c r="BB177" s="3"/>
      <c r="BC177" s="3"/>
    </row>
    <row r="178" ht="15.75" customHeight="1">
      <c r="A178" s="12"/>
      <c r="C178" s="180" t="s">
        <v>262</v>
      </c>
      <c r="D178" s="31"/>
      <c r="E178" s="31"/>
      <c r="F178" s="31"/>
      <c r="G178" s="31"/>
      <c r="H178" s="31"/>
      <c r="I178" s="31"/>
      <c r="J178" s="31"/>
      <c r="K178" s="31"/>
      <c r="L178" s="31"/>
      <c r="M178" s="31"/>
      <c r="N178" s="31"/>
      <c r="P178" s="203"/>
      <c r="R178" s="202" t="s">
        <v>263</v>
      </c>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P178" s="12"/>
      <c r="AQ178" s="13"/>
      <c r="AR178" s="13"/>
      <c r="AS178" s="13"/>
      <c r="AT178" s="3"/>
      <c r="AU178" s="3"/>
      <c r="AV178" s="3"/>
      <c r="AW178" s="3"/>
      <c r="AX178" s="3"/>
      <c r="AY178" s="3"/>
      <c r="AZ178" s="3"/>
      <c r="BA178" s="3"/>
      <c r="BB178" s="3"/>
      <c r="BC178" s="3"/>
    </row>
    <row r="179" ht="15.75" customHeight="1">
      <c r="A179" s="12"/>
      <c r="C179" s="5"/>
      <c r="D179" s="5"/>
      <c r="E179" s="5"/>
      <c r="F179" s="5"/>
      <c r="G179" s="5"/>
      <c r="H179" s="5"/>
      <c r="I179" s="5"/>
      <c r="J179" s="5"/>
      <c r="K179" s="5"/>
      <c r="L179" s="5"/>
      <c r="M179" s="5"/>
      <c r="N179" s="5"/>
      <c r="P179" s="308"/>
      <c r="R179" s="5"/>
      <c r="S179" s="5"/>
      <c r="T179" s="5"/>
      <c r="U179" s="5"/>
      <c r="V179" s="5"/>
      <c r="W179" s="5"/>
      <c r="X179" s="5"/>
      <c r="Y179" s="5"/>
      <c r="Z179" s="5"/>
      <c r="AA179" s="5"/>
      <c r="AB179" s="5"/>
      <c r="AC179" s="5"/>
      <c r="AD179" s="5"/>
      <c r="AE179" s="5"/>
      <c r="AF179" s="5"/>
      <c r="AG179" s="5"/>
      <c r="AH179" s="5"/>
      <c r="AI179" s="5"/>
      <c r="AJ179" s="5"/>
      <c r="AK179" s="5"/>
      <c r="AL179" s="5"/>
      <c r="AM179" s="5"/>
      <c r="AN179" s="5"/>
      <c r="AP179" s="12"/>
      <c r="AQ179" s="3">
        <v>1.0</v>
      </c>
      <c r="AR179" s="3">
        <v>4.0</v>
      </c>
      <c r="AS179" s="3"/>
      <c r="AT179" s="309">
        <f>VLOOKUP($AL$6,AQ179:AR198,2,FALSE)</f>
        <v>44</v>
      </c>
      <c r="AU179" s="3"/>
      <c r="AV179" s="3"/>
      <c r="AW179" s="3"/>
      <c r="AX179" s="3"/>
      <c r="AY179" s="3"/>
      <c r="AZ179" s="3"/>
      <c r="BA179" s="3"/>
      <c r="BB179" s="3"/>
      <c r="BC179" s="3"/>
    </row>
    <row r="180" ht="15.75" customHeight="1">
      <c r="A180" s="12"/>
      <c r="B180" s="310" t="s">
        <v>264</v>
      </c>
      <c r="AP180" s="12"/>
      <c r="AQ180" s="3">
        <v>2.0</v>
      </c>
      <c r="AR180" s="3">
        <v>6.0</v>
      </c>
      <c r="AS180" s="3"/>
      <c r="AT180" s="3"/>
      <c r="AU180" s="3"/>
      <c r="AV180" s="3"/>
      <c r="AW180" s="3"/>
      <c r="AX180" s="3"/>
      <c r="AY180" s="3"/>
      <c r="AZ180" s="3"/>
      <c r="BA180" s="3"/>
      <c r="BB180" s="3"/>
      <c r="BC180" s="3"/>
    </row>
    <row r="181" ht="15.75" customHeight="1">
      <c r="A181" s="12"/>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c r="AA181" s="310"/>
      <c r="AB181" s="310"/>
      <c r="AC181" s="310"/>
      <c r="AD181" s="310"/>
      <c r="AE181" s="310"/>
      <c r="AF181" s="310"/>
      <c r="AG181" s="310"/>
      <c r="AH181" s="310"/>
      <c r="AI181" s="310"/>
      <c r="AJ181" s="310"/>
      <c r="AK181" s="310"/>
      <c r="AL181" s="310"/>
      <c r="AM181" s="310"/>
      <c r="AN181" s="310"/>
      <c r="AO181" s="310"/>
      <c r="AP181" s="12"/>
      <c r="AQ181" s="3">
        <v>3.0</v>
      </c>
      <c r="AR181" s="3">
        <v>14.0</v>
      </c>
      <c r="AS181" s="3"/>
      <c r="AT181" s="3"/>
      <c r="AU181" s="3"/>
      <c r="AV181" s="3"/>
      <c r="AW181" s="3"/>
      <c r="AX181" s="3"/>
      <c r="AY181" s="3"/>
      <c r="AZ181" s="3"/>
      <c r="BA181" s="3"/>
      <c r="BB181" s="3"/>
      <c r="BC181" s="3"/>
    </row>
    <row r="182" ht="15.75" customHeight="1">
      <c r="A182" s="12"/>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c r="AA182" s="310"/>
      <c r="AB182" s="310"/>
      <c r="AC182" s="310"/>
      <c r="AD182" s="310"/>
      <c r="AE182" s="310"/>
      <c r="AF182" s="310"/>
      <c r="AG182" s="310"/>
      <c r="AH182" s="310"/>
      <c r="AI182" s="310"/>
      <c r="AJ182" s="310"/>
      <c r="AK182" s="310"/>
      <c r="AL182" s="310"/>
      <c r="AM182" s="310"/>
      <c r="AN182" s="310"/>
      <c r="AO182" s="310"/>
      <c r="AP182" s="12"/>
      <c r="AQ182" s="3">
        <v>4.0</v>
      </c>
      <c r="AR182" s="3">
        <v>17.0</v>
      </c>
      <c r="AS182" s="3"/>
      <c r="AT182" s="3"/>
      <c r="AU182" s="3"/>
      <c r="AV182" s="3"/>
      <c r="AW182" s="3"/>
      <c r="AX182" s="3"/>
      <c r="AY182" s="3"/>
      <c r="AZ182" s="3"/>
      <c r="BA182" s="3"/>
      <c r="BB182" s="3"/>
      <c r="BC182" s="3"/>
    </row>
    <row r="183" ht="15.75" customHeight="1">
      <c r="A183" s="12"/>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c r="AA183" s="310"/>
      <c r="AB183" s="310"/>
      <c r="AC183" s="310"/>
      <c r="AD183" s="310"/>
      <c r="AE183" s="310"/>
      <c r="AF183" s="310"/>
      <c r="AG183" s="310"/>
      <c r="AH183" s="310"/>
      <c r="AI183" s="310"/>
      <c r="AJ183" s="310"/>
      <c r="AK183" s="310"/>
      <c r="AL183" s="310"/>
      <c r="AM183" s="310"/>
      <c r="AN183" s="310"/>
      <c r="AO183" s="310"/>
      <c r="AP183" s="12"/>
      <c r="AQ183" s="3">
        <v>5.0</v>
      </c>
      <c r="AR183" s="3">
        <v>27.0</v>
      </c>
      <c r="AS183" s="3"/>
      <c r="AT183" s="3"/>
      <c r="AU183" s="3"/>
      <c r="AV183" s="3"/>
      <c r="AW183" s="3"/>
      <c r="AX183" s="3"/>
      <c r="AY183" s="3"/>
      <c r="AZ183" s="3"/>
      <c r="BA183" s="3"/>
      <c r="BB183" s="3"/>
      <c r="BC183" s="3"/>
    </row>
    <row r="184" ht="15.75" customHeight="1">
      <c r="A184" s="12"/>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c r="AA184" s="310"/>
      <c r="AB184" s="310"/>
      <c r="AC184" s="310"/>
      <c r="AD184" s="310"/>
      <c r="AE184" s="310"/>
      <c r="AF184" s="310"/>
      <c r="AG184" s="310"/>
      <c r="AH184" s="310"/>
      <c r="AI184" s="310"/>
      <c r="AJ184" s="310"/>
      <c r="AK184" s="310"/>
      <c r="AL184" s="310"/>
      <c r="AM184" s="310"/>
      <c r="AN184" s="310"/>
      <c r="AO184" s="310"/>
      <c r="AP184" s="12"/>
      <c r="AQ184" s="3">
        <v>6.0</v>
      </c>
      <c r="AR184" s="3">
        <v>32.0</v>
      </c>
      <c r="AS184" s="3"/>
      <c r="AT184" s="3"/>
      <c r="AU184" s="3"/>
      <c r="AV184" s="3"/>
      <c r="AW184" s="3"/>
      <c r="AX184" s="3"/>
      <c r="AY184" s="3"/>
      <c r="AZ184" s="3"/>
      <c r="BA184" s="3"/>
      <c r="BB184" s="3"/>
      <c r="BC184" s="3"/>
    </row>
    <row r="185" ht="15.75" customHeight="1">
      <c r="A185" s="12"/>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c r="AA185" s="310"/>
      <c r="AB185" s="310"/>
      <c r="AC185" s="310"/>
      <c r="AD185" s="310"/>
      <c r="AE185" s="310"/>
      <c r="AF185" s="310"/>
      <c r="AG185" s="310"/>
      <c r="AH185" s="310"/>
      <c r="AI185" s="310"/>
      <c r="AJ185" s="310"/>
      <c r="AK185" s="310"/>
      <c r="AL185" s="310"/>
      <c r="AM185" s="310"/>
      <c r="AN185" s="310"/>
      <c r="AO185" s="310"/>
      <c r="AP185" s="12"/>
      <c r="AQ185" s="3">
        <v>7.0</v>
      </c>
      <c r="AR185" s="3">
        <v>38.0</v>
      </c>
      <c r="AS185" s="3"/>
      <c r="AT185" s="3"/>
      <c r="AU185" s="3"/>
      <c r="AV185" s="3"/>
      <c r="AW185" s="3"/>
      <c r="AX185" s="3"/>
      <c r="AY185" s="3"/>
      <c r="AZ185" s="3"/>
      <c r="BA185" s="3"/>
      <c r="BB185" s="3"/>
      <c r="BC185" s="3"/>
    </row>
    <row r="186" ht="15.75" customHeight="1">
      <c r="A186" s="12"/>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c r="AA186" s="310"/>
      <c r="AB186" s="310"/>
      <c r="AC186" s="310"/>
      <c r="AD186" s="310"/>
      <c r="AE186" s="310"/>
      <c r="AF186" s="310"/>
      <c r="AG186" s="310"/>
      <c r="AH186" s="310"/>
      <c r="AI186" s="310"/>
      <c r="AJ186" s="310"/>
      <c r="AK186" s="310"/>
      <c r="AL186" s="310"/>
      <c r="AM186" s="310"/>
      <c r="AN186" s="310"/>
      <c r="AO186" s="310"/>
      <c r="AP186" s="12"/>
      <c r="AQ186" s="3">
        <v>8.0</v>
      </c>
      <c r="AR186" s="3">
        <v>44.0</v>
      </c>
      <c r="AS186" s="3"/>
      <c r="AT186" s="3"/>
      <c r="AU186" s="3"/>
      <c r="AV186" s="3"/>
      <c r="AW186" s="3"/>
      <c r="AX186" s="3"/>
      <c r="AY186" s="3"/>
      <c r="AZ186" s="3"/>
      <c r="BA186" s="3"/>
      <c r="BB186" s="3"/>
      <c r="BC186" s="3"/>
    </row>
    <row r="187" ht="15.75" customHeight="1">
      <c r="A187" s="12"/>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c r="AA187" s="310"/>
      <c r="AB187" s="310"/>
      <c r="AC187" s="310"/>
      <c r="AD187" s="310"/>
      <c r="AE187" s="310"/>
      <c r="AF187" s="310"/>
      <c r="AG187" s="310"/>
      <c r="AH187" s="310"/>
      <c r="AI187" s="310"/>
      <c r="AJ187" s="310"/>
      <c r="AK187" s="310"/>
      <c r="AL187" s="310"/>
      <c r="AM187" s="310"/>
      <c r="AN187" s="310"/>
      <c r="AO187" s="310"/>
      <c r="AP187" s="12"/>
      <c r="AQ187" s="3">
        <v>9.0</v>
      </c>
      <c r="AR187" s="3">
        <v>57.0</v>
      </c>
      <c r="AS187" s="3"/>
      <c r="AT187" s="3"/>
      <c r="AU187" s="3"/>
      <c r="AV187" s="3"/>
      <c r="AW187" s="3"/>
      <c r="AX187" s="3"/>
      <c r="AY187" s="3"/>
      <c r="AZ187" s="3"/>
      <c r="BA187" s="3"/>
      <c r="BB187" s="3"/>
      <c r="BC187" s="3"/>
    </row>
    <row r="188" ht="15.75" customHeight="1">
      <c r="A188" s="12"/>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c r="AA188" s="310"/>
      <c r="AB188" s="310"/>
      <c r="AC188" s="310"/>
      <c r="AD188" s="310"/>
      <c r="AE188" s="310"/>
      <c r="AF188" s="310"/>
      <c r="AG188" s="310"/>
      <c r="AH188" s="310"/>
      <c r="AI188" s="310"/>
      <c r="AJ188" s="310"/>
      <c r="AK188" s="310"/>
      <c r="AL188" s="310"/>
      <c r="AM188" s="310"/>
      <c r="AN188" s="310"/>
      <c r="AO188" s="310"/>
      <c r="AP188" s="12"/>
      <c r="AQ188" s="3">
        <v>10.0</v>
      </c>
      <c r="AR188" s="3">
        <v>64.0</v>
      </c>
      <c r="AS188" s="3"/>
      <c r="AT188" s="3"/>
      <c r="AU188" s="3"/>
      <c r="AV188" s="3"/>
      <c r="AW188" s="3"/>
      <c r="AX188" s="3"/>
      <c r="AY188" s="3"/>
      <c r="AZ188" s="3"/>
      <c r="BA188" s="3"/>
      <c r="BB188" s="3"/>
      <c r="BC188" s="3"/>
    </row>
    <row r="189" ht="15.75" customHeight="1">
      <c r="A189" s="12"/>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c r="AA189" s="310"/>
      <c r="AB189" s="310"/>
      <c r="AC189" s="310"/>
      <c r="AD189" s="310"/>
      <c r="AE189" s="310"/>
      <c r="AF189" s="310"/>
      <c r="AG189" s="310"/>
      <c r="AH189" s="310"/>
      <c r="AI189" s="310"/>
      <c r="AJ189" s="310"/>
      <c r="AK189" s="310"/>
      <c r="AL189" s="310"/>
      <c r="AM189" s="310"/>
      <c r="AN189" s="310"/>
      <c r="AO189" s="310"/>
      <c r="AP189" s="12"/>
      <c r="AQ189" s="3">
        <v>11.0</v>
      </c>
      <c r="AR189" s="3">
        <v>73.0</v>
      </c>
      <c r="AS189" s="3"/>
      <c r="AT189" s="3"/>
      <c r="AU189" s="3"/>
      <c r="AV189" s="3"/>
      <c r="AW189" s="3"/>
      <c r="AX189" s="3"/>
      <c r="AY189" s="3"/>
      <c r="AZ189" s="3"/>
      <c r="BA189" s="3"/>
      <c r="BB189" s="3"/>
      <c r="BC189" s="3"/>
    </row>
    <row r="190" ht="15.75" customHeight="1">
      <c r="A190" s="12"/>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c r="AA190" s="310"/>
      <c r="AB190" s="310"/>
      <c r="AC190" s="310"/>
      <c r="AD190" s="310"/>
      <c r="AE190" s="310"/>
      <c r="AF190" s="310"/>
      <c r="AG190" s="310"/>
      <c r="AH190" s="310"/>
      <c r="AI190" s="310"/>
      <c r="AJ190" s="310"/>
      <c r="AK190" s="310"/>
      <c r="AL190" s="310"/>
      <c r="AM190" s="310"/>
      <c r="AN190" s="310"/>
      <c r="AO190" s="310"/>
      <c r="AP190" s="12"/>
      <c r="AQ190" s="3">
        <v>12.0</v>
      </c>
      <c r="AR190" s="3">
        <v>73.0</v>
      </c>
      <c r="AS190" s="3"/>
      <c r="AT190" s="3"/>
      <c r="AU190" s="3"/>
      <c r="AV190" s="3"/>
      <c r="AW190" s="3"/>
      <c r="AX190" s="3"/>
      <c r="AY190" s="3"/>
      <c r="AZ190" s="3"/>
      <c r="BA190" s="3"/>
      <c r="BB190" s="3"/>
      <c r="BC190" s="3"/>
    </row>
    <row r="191" ht="15.75" customHeight="1">
      <c r="A191" s="12"/>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c r="AA191" s="310"/>
      <c r="AB191" s="310"/>
      <c r="AC191" s="310"/>
      <c r="AD191" s="310"/>
      <c r="AE191" s="310"/>
      <c r="AF191" s="310"/>
      <c r="AG191" s="310"/>
      <c r="AH191" s="310"/>
      <c r="AI191" s="310"/>
      <c r="AJ191" s="310"/>
      <c r="AK191" s="310"/>
      <c r="AL191" s="310"/>
      <c r="AM191" s="310"/>
      <c r="AN191" s="310"/>
      <c r="AO191" s="310"/>
      <c r="AP191" s="12"/>
      <c r="AQ191" s="3">
        <v>13.0</v>
      </c>
      <c r="AR191" s="3">
        <v>83.0</v>
      </c>
      <c r="AS191" s="3"/>
      <c r="AT191" s="3"/>
      <c r="AU191" s="3"/>
      <c r="AV191" s="3"/>
      <c r="AW191" s="3"/>
      <c r="AX191" s="3"/>
      <c r="AY191" s="3"/>
      <c r="AZ191" s="3"/>
      <c r="BA191" s="3"/>
      <c r="BB191" s="3"/>
      <c r="BC191" s="3"/>
    </row>
    <row r="192" ht="15.75" customHeight="1">
      <c r="A192" s="12"/>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c r="AB192" s="310"/>
      <c r="AC192" s="310"/>
      <c r="AD192" s="310"/>
      <c r="AE192" s="310"/>
      <c r="AF192" s="310"/>
      <c r="AG192" s="310"/>
      <c r="AH192" s="310"/>
      <c r="AI192" s="310"/>
      <c r="AJ192" s="310"/>
      <c r="AK192" s="310"/>
      <c r="AL192" s="310"/>
      <c r="AM192" s="310"/>
      <c r="AN192" s="310"/>
      <c r="AO192" s="310"/>
      <c r="AP192" s="12"/>
      <c r="AQ192" s="3">
        <v>14.0</v>
      </c>
      <c r="AR192" s="3">
        <v>83.0</v>
      </c>
      <c r="AS192" s="3"/>
      <c r="AT192" s="3"/>
      <c r="AU192" s="3"/>
      <c r="AV192" s="3"/>
      <c r="AW192" s="3"/>
      <c r="AX192" s="3"/>
      <c r="AY192" s="3"/>
      <c r="AZ192" s="3"/>
      <c r="BA192" s="3"/>
      <c r="BB192" s="3"/>
      <c r="BC192" s="3"/>
    </row>
    <row r="193" ht="15.75" customHeight="1">
      <c r="A193" s="12"/>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c r="AA193" s="310"/>
      <c r="AB193" s="310"/>
      <c r="AC193" s="310"/>
      <c r="AD193" s="310"/>
      <c r="AE193" s="310"/>
      <c r="AF193" s="310"/>
      <c r="AG193" s="310"/>
      <c r="AH193" s="310"/>
      <c r="AI193" s="310"/>
      <c r="AJ193" s="310"/>
      <c r="AK193" s="310"/>
      <c r="AL193" s="310"/>
      <c r="AM193" s="310"/>
      <c r="AN193" s="310"/>
      <c r="AO193" s="310"/>
      <c r="AP193" s="12"/>
      <c r="AQ193" s="3">
        <v>15.0</v>
      </c>
      <c r="AR193" s="3">
        <v>94.0</v>
      </c>
      <c r="AS193" s="3"/>
      <c r="AT193" s="3"/>
      <c r="AU193" s="3"/>
      <c r="AV193" s="3"/>
      <c r="AW193" s="3"/>
      <c r="AX193" s="3"/>
      <c r="AY193" s="3"/>
      <c r="AZ193" s="3"/>
      <c r="BA193" s="3"/>
      <c r="BB193" s="3"/>
      <c r="BC193" s="3"/>
    </row>
    <row r="194" ht="15.75" customHeight="1">
      <c r="A194" s="12"/>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c r="AB194" s="310"/>
      <c r="AC194" s="310"/>
      <c r="AD194" s="310"/>
      <c r="AE194" s="310"/>
      <c r="AF194" s="310"/>
      <c r="AG194" s="310"/>
      <c r="AH194" s="310"/>
      <c r="AI194" s="310"/>
      <c r="AJ194" s="310"/>
      <c r="AK194" s="310"/>
      <c r="AL194" s="310"/>
      <c r="AM194" s="310"/>
      <c r="AN194" s="310"/>
      <c r="AO194" s="310"/>
      <c r="AP194" s="12"/>
      <c r="AQ194" s="3">
        <v>16.0</v>
      </c>
      <c r="AR194" s="3">
        <v>94.0</v>
      </c>
      <c r="AS194" s="3"/>
      <c r="AT194" s="3"/>
      <c r="AU194" s="3"/>
      <c r="AV194" s="3"/>
      <c r="AW194" s="3"/>
      <c r="AX194" s="3"/>
      <c r="AY194" s="3"/>
      <c r="AZ194" s="3"/>
      <c r="BA194" s="3"/>
      <c r="BB194" s="3"/>
      <c r="BC194" s="3"/>
    </row>
    <row r="195" ht="15.75" customHeight="1">
      <c r="A195" s="12"/>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c r="AB195" s="310"/>
      <c r="AC195" s="310"/>
      <c r="AD195" s="310"/>
      <c r="AE195" s="310"/>
      <c r="AF195" s="310"/>
      <c r="AG195" s="310"/>
      <c r="AH195" s="310"/>
      <c r="AI195" s="310"/>
      <c r="AJ195" s="310"/>
      <c r="AK195" s="310"/>
      <c r="AL195" s="310"/>
      <c r="AM195" s="310"/>
      <c r="AN195" s="310"/>
      <c r="AO195" s="310"/>
      <c r="AP195" s="12"/>
      <c r="AQ195" s="3">
        <v>17.0</v>
      </c>
      <c r="AR195" s="3">
        <v>107.0</v>
      </c>
      <c r="AS195" s="3"/>
      <c r="AT195" s="3"/>
      <c r="AU195" s="3"/>
      <c r="AV195" s="3"/>
      <c r="AW195" s="3"/>
      <c r="AX195" s="3"/>
      <c r="AY195" s="3"/>
      <c r="AZ195" s="3"/>
      <c r="BA195" s="3"/>
      <c r="BB195" s="3"/>
      <c r="BC195" s="3"/>
    </row>
    <row r="196" ht="15.75" customHeight="1">
      <c r="A196" s="12"/>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c r="AB196" s="310"/>
      <c r="AC196" s="310"/>
      <c r="AD196" s="310"/>
      <c r="AE196" s="310"/>
      <c r="AF196" s="310"/>
      <c r="AG196" s="310"/>
      <c r="AH196" s="310"/>
      <c r="AI196" s="310"/>
      <c r="AJ196" s="310"/>
      <c r="AK196" s="310"/>
      <c r="AL196" s="310"/>
      <c r="AM196" s="310"/>
      <c r="AN196" s="310"/>
      <c r="AO196" s="310"/>
      <c r="AP196" s="12"/>
      <c r="AQ196" s="3">
        <v>18.0</v>
      </c>
      <c r="AR196" s="3">
        <v>114.0</v>
      </c>
      <c r="AS196" s="3"/>
      <c r="AT196" s="3"/>
      <c r="AU196" s="3"/>
      <c r="AV196" s="3"/>
      <c r="AW196" s="3"/>
      <c r="AX196" s="3"/>
      <c r="AY196" s="3"/>
      <c r="AZ196" s="3"/>
      <c r="BA196" s="3"/>
      <c r="BB196" s="3"/>
      <c r="BC196" s="3"/>
    </row>
    <row r="197" ht="15.75" customHeight="1">
      <c r="A197" s="12"/>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c r="AA197" s="310"/>
      <c r="AB197" s="310"/>
      <c r="AC197" s="310"/>
      <c r="AD197" s="310"/>
      <c r="AE197" s="310"/>
      <c r="AF197" s="310"/>
      <c r="AG197" s="310"/>
      <c r="AH197" s="310"/>
      <c r="AI197" s="310"/>
      <c r="AJ197" s="310"/>
      <c r="AK197" s="310"/>
      <c r="AL197" s="310"/>
      <c r="AM197" s="310"/>
      <c r="AN197" s="310"/>
      <c r="AO197" s="310"/>
      <c r="AP197" s="12"/>
      <c r="AQ197" s="3">
        <v>19.0</v>
      </c>
      <c r="AR197" s="3">
        <v>123.0</v>
      </c>
      <c r="AS197" s="3"/>
      <c r="AT197" s="3"/>
      <c r="AU197" s="3"/>
      <c r="AV197" s="3"/>
      <c r="AW197" s="3"/>
      <c r="AX197" s="3"/>
      <c r="AY197" s="3"/>
      <c r="AZ197" s="3"/>
      <c r="BA197" s="3"/>
      <c r="BB197" s="3"/>
      <c r="BC197" s="3"/>
    </row>
    <row r="198" ht="15.75" customHeight="1">
      <c r="A198" s="12"/>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310"/>
      <c r="AH198" s="310"/>
      <c r="AI198" s="310"/>
      <c r="AJ198" s="310"/>
      <c r="AK198" s="310"/>
      <c r="AL198" s="310"/>
      <c r="AM198" s="310"/>
      <c r="AN198" s="310"/>
      <c r="AO198" s="310"/>
      <c r="AP198" s="12"/>
      <c r="AQ198" s="3">
        <v>20.0</v>
      </c>
      <c r="AR198" s="3">
        <v>133.0</v>
      </c>
      <c r="AS198" s="3"/>
      <c r="AT198" s="3"/>
      <c r="AU198" s="3"/>
      <c r="AV198" s="3"/>
      <c r="AW198" s="3"/>
      <c r="AX198" s="3"/>
      <c r="AY198" s="3"/>
      <c r="AZ198" s="3"/>
      <c r="BA198" s="3"/>
      <c r="BB198" s="3"/>
      <c r="BC198" s="3"/>
    </row>
    <row r="199" ht="15.75" customHeight="1">
      <c r="A199" s="12"/>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c r="AA199" s="310"/>
      <c r="AB199" s="310"/>
      <c r="AC199" s="310"/>
      <c r="AD199" s="310"/>
      <c r="AE199" s="310"/>
      <c r="AF199" s="310"/>
      <c r="AG199" s="310"/>
      <c r="AH199" s="310"/>
      <c r="AI199" s="310"/>
      <c r="AJ199" s="310"/>
      <c r="AK199" s="310"/>
      <c r="AL199" s="310"/>
      <c r="AM199" s="310"/>
      <c r="AN199" s="310"/>
      <c r="AO199" s="310"/>
      <c r="AP199" s="12"/>
      <c r="AQ199" s="3"/>
      <c r="AR199" s="3"/>
      <c r="AS199" s="3"/>
      <c r="AT199" s="3"/>
      <c r="AU199" s="3"/>
      <c r="AV199" s="3"/>
      <c r="AW199" s="3"/>
      <c r="AX199" s="3"/>
      <c r="AY199" s="3"/>
      <c r="AZ199" s="3"/>
      <c r="BA199" s="3"/>
      <c r="BB199" s="3"/>
      <c r="BC199" s="3"/>
    </row>
    <row r="200" ht="15.75" customHeight="1">
      <c r="A200" s="12"/>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c r="AB200" s="310"/>
      <c r="AC200" s="310"/>
      <c r="AD200" s="310"/>
      <c r="AE200" s="310"/>
      <c r="AF200" s="310"/>
      <c r="AG200" s="310"/>
      <c r="AH200" s="310"/>
      <c r="AI200" s="310"/>
      <c r="AJ200" s="310"/>
      <c r="AK200" s="310"/>
      <c r="AL200" s="310"/>
      <c r="AM200" s="310"/>
      <c r="AN200" s="310"/>
      <c r="AO200" s="310"/>
      <c r="AP200" s="12"/>
      <c r="AQ200" s="3"/>
      <c r="AR200" s="3"/>
      <c r="AS200" s="3"/>
      <c r="AT200" s="3"/>
      <c r="AU200" s="3"/>
      <c r="AV200" s="3"/>
      <c r="AW200" s="3"/>
      <c r="AX200" s="3"/>
      <c r="AY200" s="3"/>
      <c r="AZ200" s="3"/>
      <c r="BA200" s="3"/>
      <c r="BB200" s="3"/>
      <c r="BC200" s="3"/>
    </row>
    <row r="201" ht="15.75" customHeight="1">
      <c r="A201" s="12"/>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310"/>
      <c r="AH201" s="310"/>
      <c r="AI201" s="310"/>
      <c r="AJ201" s="310"/>
      <c r="AK201" s="310"/>
      <c r="AL201" s="310"/>
      <c r="AM201" s="310"/>
      <c r="AN201" s="310"/>
      <c r="AO201" s="310"/>
      <c r="AP201" s="12"/>
      <c r="AQ201" s="3"/>
      <c r="AR201" s="3"/>
      <c r="AS201" s="3"/>
      <c r="AT201" s="3"/>
      <c r="AU201" s="3"/>
      <c r="AV201" s="3"/>
      <c r="AW201" s="3"/>
      <c r="AX201" s="3"/>
      <c r="AY201" s="3"/>
      <c r="AZ201" s="3"/>
      <c r="BA201" s="3"/>
      <c r="BB201" s="3"/>
      <c r="BC201" s="3"/>
    </row>
    <row r="202" ht="15.75" customHeight="1">
      <c r="A202" s="12"/>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0"/>
      <c r="AM202" s="310"/>
      <c r="AN202" s="310"/>
      <c r="AO202" s="310"/>
      <c r="AP202" s="12"/>
      <c r="AQ202" s="3"/>
      <c r="AR202" s="3"/>
      <c r="AS202" s="3"/>
      <c r="AT202" s="3"/>
      <c r="AU202" s="3"/>
      <c r="AV202" s="3"/>
      <c r="AW202" s="3"/>
      <c r="AX202" s="3"/>
      <c r="AY202" s="3"/>
      <c r="AZ202" s="3"/>
      <c r="BA202" s="3"/>
      <c r="BB202" s="3"/>
      <c r="BC202" s="3"/>
    </row>
    <row r="203" ht="15.75" customHeight="1">
      <c r="A203" s="12"/>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c r="AH203" s="310"/>
      <c r="AI203" s="310"/>
      <c r="AJ203" s="310"/>
      <c r="AK203" s="310"/>
      <c r="AL203" s="310"/>
      <c r="AM203" s="310"/>
      <c r="AN203" s="310"/>
      <c r="AO203" s="310"/>
      <c r="AP203" s="12"/>
      <c r="AQ203" s="3"/>
      <c r="AR203" s="3"/>
      <c r="AS203" s="3"/>
      <c r="AT203" s="3"/>
      <c r="AU203" s="3"/>
      <c r="AV203" s="3"/>
      <c r="AW203" s="3"/>
      <c r="AX203" s="3"/>
      <c r="AY203" s="3"/>
      <c r="AZ203" s="3"/>
      <c r="BA203" s="3"/>
      <c r="BB203" s="3"/>
      <c r="BC203" s="3"/>
    </row>
    <row r="204" ht="15.75" customHeight="1">
      <c r="A204" s="12"/>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c r="AB204" s="310"/>
      <c r="AC204" s="310"/>
      <c r="AD204" s="310"/>
      <c r="AE204" s="310"/>
      <c r="AF204" s="310"/>
      <c r="AG204" s="310"/>
      <c r="AH204" s="310"/>
      <c r="AI204" s="310"/>
      <c r="AJ204" s="310"/>
      <c r="AK204" s="310"/>
      <c r="AL204" s="310"/>
      <c r="AM204" s="310"/>
      <c r="AN204" s="310"/>
      <c r="AO204" s="310"/>
      <c r="AP204" s="12"/>
      <c r="AQ204" s="3"/>
      <c r="AR204" s="3"/>
      <c r="AS204" s="3"/>
      <c r="AT204" s="3"/>
      <c r="AU204" s="3"/>
      <c r="AV204" s="3"/>
      <c r="AW204" s="3"/>
      <c r="AX204" s="3"/>
      <c r="AY204" s="3"/>
      <c r="AZ204" s="3"/>
      <c r="BA204" s="3"/>
      <c r="BB204" s="3"/>
      <c r="BC204" s="3"/>
    </row>
    <row r="205" ht="15.75" customHeight="1">
      <c r="A205" s="12"/>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c r="AG205" s="310"/>
      <c r="AH205" s="310"/>
      <c r="AI205" s="310"/>
      <c r="AJ205" s="310"/>
      <c r="AK205" s="310"/>
      <c r="AL205" s="310"/>
      <c r="AM205" s="310"/>
      <c r="AN205" s="310"/>
      <c r="AO205" s="310"/>
      <c r="AP205" s="12"/>
      <c r="AQ205" s="3"/>
      <c r="AR205" s="3"/>
      <c r="AS205" s="3"/>
      <c r="AT205" s="3"/>
      <c r="AU205" s="3"/>
      <c r="AV205" s="3"/>
      <c r="AW205" s="3"/>
      <c r="AX205" s="3"/>
      <c r="AY205" s="3"/>
      <c r="AZ205" s="3"/>
      <c r="BA205" s="3"/>
      <c r="BB205" s="3"/>
      <c r="BC205" s="3"/>
    </row>
    <row r="206" ht="15.75" customHeight="1">
      <c r="A206" s="12"/>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c r="AB206" s="310"/>
      <c r="AC206" s="310"/>
      <c r="AD206" s="310"/>
      <c r="AE206" s="310"/>
      <c r="AF206" s="310"/>
      <c r="AG206" s="310"/>
      <c r="AH206" s="310"/>
      <c r="AI206" s="310"/>
      <c r="AJ206" s="310"/>
      <c r="AK206" s="310"/>
      <c r="AL206" s="310"/>
      <c r="AM206" s="310"/>
      <c r="AN206" s="310"/>
      <c r="AO206" s="310"/>
      <c r="AP206" s="12"/>
      <c r="AQ206" s="3"/>
      <c r="AR206" s="3"/>
      <c r="AS206" s="3"/>
      <c r="AT206" s="3"/>
      <c r="AU206" s="3"/>
      <c r="AV206" s="3"/>
      <c r="AW206" s="3"/>
      <c r="AX206" s="3"/>
      <c r="AY206" s="3"/>
      <c r="AZ206" s="3"/>
      <c r="BA206" s="3"/>
      <c r="BB206" s="3"/>
      <c r="BC206" s="3"/>
    </row>
    <row r="207" ht="15.75" customHeight="1">
      <c r="A207" s="12"/>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0"/>
      <c r="AC207" s="310"/>
      <c r="AD207" s="310"/>
      <c r="AE207" s="310"/>
      <c r="AF207" s="310"/>
      <c r="AG207" s="310"/>
      <c r="AH207" s="310"/>
      <c r="AI207" s="310"/>
      <c r="AJ207" s="310"/>
      <c r="AK207" s="310"/>
      <c r="AL207" s="310"/>
      <c r="AM207" s="310"/>
      <c r="AN207" s="310"/>
      <c r="AO207" s="310"/>
      <c r="AP207" s="12"/>
      <c r="AQ207" s="3"/>
      <c r="AR207" s="3"/>
      <c r="AS207" s="3"/>
      <c r="AT207" s="3"/>
      <c r="AU207" s="3"/>
      <c r="AV207" s="3"/>
      <c r="AW207" s="3"/>
      <c r="AX207" s="3"/>
      <c r="AY207" s="3"/>
      <c r="AZ207" s="3"/>
      <c r="BA207" s="3"/>
      <c r="BB207" s="3"/>
      <c r="BC207" s="3"/>
    </row>
    <row r="208" ht="15.75" customHeight="1">
      <c r="A208" s="12"/>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c r="AG208" s="310"/>
      <c r="AH208" s="310"/>
      <c r="AI208" s="310"/>
      <c r="AJ208" s="310"/>
      <c r="AK208" s="310"/>
      <c r="AL208" s="310"/>
      <c r="AM208" s="310"/>
      <c r="AN208" s="310"/>
      <c r="AO208" s="310"/>
      <c r="AP208" s="12"/>
      <c r="AQ208" s="3"/>
      <c r="AR208" s="3"/>
      <c r="AS208" s="3"/>
      <c r="AT208" s="3"/>
      <c r="AU208" s="3"/>
      <c r="AV208" s="3"/>
      <c r="AW208" s="3"/>
      <c r="AX208" s="3"/>
      <c r="AY208" s="3"/>
      <c r="AZ208" s="3"/>
      <c r="BA208" s="3"/>
      <c r="BB208" s="3"/>
      <c r="BC208" s="3"/>
    </row>
    <row r="209" ht="15.75" customHeight="1">
      <c r="A209" s="12"/>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0"/>
      <c r="AF209" s="310"/>
      <c r="AG209" s="310"/>
      <c r="AH209" s="310"/>
      <c r="AI209" s="310"/>
      <c r="AJ209" s="310"/>
      <c r="AK209" s="310"/>
      <c r="AL209" s="310"/>
      <c r="AM209" s="310"/>
      <c r="AN209" s="310"/>
      <c r="AO209" s="310"/>
      <c r="AP209" s="12"/>
      <c r="AQ209" s="3"/>
      <c r="AR209" s="3"/>
      <c r="AS209" s="3"/>
      <c r="AT209" s="3"/>
      <c r="AU209" s="3"/>
      <c r="AV209" s="3"/>
      <c r="AW209" s="3"/>
      <c r="AX209" s="3"/>
      <c r="AY209" s="3"/>
      <c r="AZ209" s="3"/>
      <c r="BA209" s="3"/>
      <c r="BB209" s="3"/>
      <c r="BC209" s="3"/>
    </row>
    <row r="210" ht="15.75" customHeight="1">
      <c r="A210" s="12"/>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c r="AH210" s="310"/>
      <c r="AI210" s="310"/>
      <c r="AJ210" s="310"/>
      <c r="AK210" s="310"/>
      <c r="AL210" s="310"/>
      <c r="AM210" s="310"/>
      <c r="AN210" s="310"/>
      <c r="AO210" s="310"/>
      <c r="AP210" s="12"/>
      <c r="AQ210" s="3"/>
      <c r="AR210" s="3"/>
      <c r="AS210" s="3"/>
      <c r="AT210" s="3"/>
      <c r="AU210" s="3"/>
      <c r="AV210" s="3"/>
      <c r="AW210" s="3"/>
      <c r="AX210" s="3"/>
      <c r="AY210" s="3"/>
      <c r="AZ210" s="3"/>
      <c r="BA210" s="3"/>
      <c r="BB210" s="3"/>
      <c r="BC210" s="3"/>
    </row>
    <row r="211" ht="15.75" customHeight="1">
      <c r="A211" s="12"/>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c r="AG211" s="310"/>
      <c r="AH211" s="310"/>
      <c r="AI211" s="310"/>
      <c r="AJ211" s="310"/>
      <c r="AK211" s="310"/>
      <c r="AL211" s="310"/>
      <c r="AM211" s="310"/>
      <c r="AN211" s="310"/>
      <c r="AO211" s="310"/>
      <c r="AP211" s="12"/>
      <c r="AQ211" s="3"/>
      <c r="AR211" s="3"/>
      <c r="AS211" s="3"/>
      <c r="AT211" s="3"/>
      <c r="AU211" s="3"/>
      <c r="AV211" s="3"/>
      <c r="AW211" s="3"/>
      <c r="AX211" s="3"/>
      <c r="AY211" s="3"/>
      <c r="AZ211" s="3"/>
      <c r="BA211" s="3"/>
      <c r="BB211" s="3"/>
      <c r="BC211" s="3"/>
    </row>
    <row r="212" ht="15.75" customHeight="1">
      <c r="A212" s="12"/>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c r="AG212" s="310"/>
      <c r="AH212" s="310"/>
      <c r="AI212" s="310"/>
      <c r="AJ212" s="310"/>
      <c r="AK212" s="310"/>
      <c r="AL212" s="310"/>
      <c r="AM212" s="310"/>
      <c r="AN212" s="310"/>
      <c r="AO212" s="310"/>
      <c r="AP212" s="12"/>
      <c r="AQ212" s="3"/>
      <c r="AR212" s="3"/>
      <c r="AS212" s="3"/>
      <c r="AT212" s="3"/>
      <c r="AU212" s="3"/>
      <c r="AV212" s="3"/>
      <c r="AW212" s="3"/>
      <c r="AX212" s="3"/>
      <c r="AY212" s="3"/>
      <c r="AZ212" s="3"/>
      <c r="BA212" s="3"/>
      <c r="BB212" s="3"/>
      <c r="BC212" s="3"/>
    </row>
    <row r="213" ht="15.75" customHeight="1">
      <c r="A213" s="12"/>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c r="AG213" s="310"/>
      <c r="AH213" s="310"/>
      <c r="AI213" s="310"/>
      <c r="AJ213" s="310"/>
      <c r="AK213" s="310"/>
      <c r="AL213" s="310"/>
      <c r="AM213" s="310"/>
      <c r="AN213" s="310"/>
      <c r="AO213" s="310"/>
      <c r="AP213" s="12"/>
      <c r="AQ213" s="3"/>
      <c r="AR213" s="3"/>
      <c r="AS213" s="3"/>
      <c r="AT213" s="3"/>
      <c r="AU213" s="3"/>
      <c r="AV213" s="3"/>
      <c r="AW213" s="3"/>
      <c r="AX213" s="3"/>
      <c r="AY213" s="3"/>
      <c r="AZ213" s="3"/>
      <c r="BA213" s="3"/>
      <c r="BB213" s="3"/>
      <c r="BC213" s="3"/>
    </row>
    <row r="214" ht="15.75" customHeight="1">
      <c r="A214" s="12"/>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c r="AB214" s="310"/>
      <c r="AC214" s="310"/>
      <c r="AD214" s="310"/>
      <c r="AE214" s="310"/>
      <c r="AF214" s="310"/>
      <c r="AG214" s="310"/>
      <c r="AH214" s="310"/>
      <c r="AI214" s="310"/>
      <c r="AJ214" s="310"/>
      <c r="AK214" s="310"/>
      <c r="AL214" s="310"/>
      <c r="AM214" s="310"/>
      <c r="AN214" s="310"/>
      <c r="AO214" s="310"/>
      <c r="AP214" s="12"/>
      <c r="AQ214" s="3"/>
      <c r="AR214" s="3"/>
      <c r="AS214" s="3"/>
      <c r="AT214" s="3"/>
      <c r="AU214" s="3"/>
      <c r="AV214" s="3"/>
      <c r="AW214" s="3"/>
      <c r="AX214" s="3"/>
      <c r="AY214" s="3"/>
      <c r="AZ214" s="3"/>
      <c r="BA214" s="3"/>
      <c r="BB214" s="3"/>
      <c r="BC214" s="3"/>
    </row>
    <row r="215" ht="15.75" customHeight="1">
      <c r="A215" s="12"/>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c r="AB215" s="310"/>
      <c r="AC215" s="310"/>
      <c r="AD215" s="310"/>
      <c r="AE215" s="310"/>
      <c r="AF215" s="310"/>
      <c r="AG215" s="310"/>
      <c r="AH215" s="310"/>
      <c r="AI215" s="310"/>
      <c r="AJ215" s="310"/>
      <c r="AK215" s="310"/>
      <c r="AL215" s="310"/>
      <c r="AM215" s="310"/>
      <c r="AN215" s="310"/>
      <c r="AO215" s="310"/>
      <c r="AP215" s="12"/>
      <c r="AQ215" s="3"/>
      <c r="AR215" s="3"/>
      <c r="AS215" s="3"/>
      <c r="AT215" s="3"/>
      <c r="AU215" s="3"/>
      <c r="AV215" s="3"/>
      <c r="AW215" s="3"/>
      <c r="AX215" s="3"/>
      <c r="AY215" s="3"/>
      <c r="AZ215" s="3"/>
      <c r="BA215" s="3"/>
      <c r="BB215" s="3"/>
      <c r="BC215" s="3"/>
    </row>
    <row r="216" ht="15.75" customHeight="1">
      <c r="A216" s="12"/>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310"/>
      <c r="AH216" s="310"/>
      <c r="AI216" s="310"/>
      <c r="AJ216" s="310"/>
      <c r="AK216" s="310"/>
      <c r="AL216" s="310"/>
      <c r="AM216" s="310"/>
      <c r="AN216" s="310"/>
      <c r="AO216" s="310"/>
      <c r="AP216" s="12"/>
      <c r="AQ216" s="3"/>
      <c r="AR216" s="3"/>
      <c r="AS216" s="3"/>
      <c r="AT216" s="3"/>
      <c r="AU216" s="3"/>
      <c r="AV216" s="3"/>
      <c r="AW216" s="3"/>
      <c r="AX216" s="3"/>
      <c r="AY216" s="3"/>
      <c r="AZ216" s="3"/>
      <c r="BA216" s="3"/>
      <c r="BB216" s="3"/>
      <c r="BC216" s="3"/>
    </row>
    <row r="217" ht="15.75" customHeight="1">
      <c r="A217" s="12"/>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310"/>
      <c r="AH217" s="310"/>
      <c r="AI217" s="310"/>
      <c r="AJ217" s="310"/>
      <c r="AK217" s="310"/>
      <c r="AL217" s="310"/>
      <c r="AM217" s="310"/>
      <c r="AN217" s="310"/>
      <c r="AO217" s="310"/>
      <c r="AP217" s="12"/>
      <c r="AQ217" s="3"/>
      <c r="AR217" s="3"/>
      <c r="AS217" s="3"/>
      <c r="AT217" s="3"/>
      <c r="AU217" s="3"/>
      <c r="AV217" s="3"/>
      <c r="AW217" s="3"/>
      <c r="AX217" s="3"/>
      <c r="AY217" s="3"/>
      <c r="AZ217" s="3"/>
      <c r="BA217" s="3"/>
      <c r="BB217" s="3"/>
      <c r="BC217" s="3"/>
    </row>
    <row r="218" ht="15.75" customHeight="1">
      <c r="A218" s="12"/>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c r="AB218" s="310"/>
      <c r="AC218" s="310"/>
      <c r="AD218" s="310"/>
      <c r="AE218" s="310"/>
      <c r="AF218" s="310"/>
      <c r="AG218" s="310"/>
      <c r="AH218" s="310"/>
      <c r="AI218" s="310"/>
      <c r="AJ218" s="310"/>
      <c r="AK218" s="310"/>
      <c r="AL218" s="310"/>
      <c r="AM218" s="310"/>
      <c r="AN218" s="310"/>
      <c r="AO218" s="310"/>
      <c r="AP218" s="12"/>
      <c r="AQ218" s="3"/>
      <c r="AR218" s="3"/>
      <c r="AS218" s="3"/>
      <c r="AT218" s="3"/>
      <c r="AU218" s="3"/>
      <c r="AV218" s="3"/>
      <c r="AW218" s="3"/>
      <c r="AX218" s="3"/>
      <c r="AY218" s="3"/>
      <c r="AZ218" s="3"/>
      <c r="BA218" s="3"/>
      <c r="BB218" s="3"/>
      <c r="BC218" s="3"/>
    </row>
    <row r="219" ht="15.75" customHeight="1">
      <c r="A219" s="12"/>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c r="AB219" s="310"/>
      <c r="AC219" s="310"/>
      <c r="AD219" s="310"/>
      <c r="AE219" s="310"/>
      <c r="AF219" s="310"/>
      <c r="AG219" s="310"/>
      <c r="AH219" s="310"/>
      <c r="AI219" s="310"/>
      <c r="AJ219" s="310"/>
      <c r="AK219" s="310"/>
      <c r="AL219" s="310"/>
      <c r="AM219" s="310"/>
      <c r="AN219" s="310"/>
      <c r="AO219" s="310"/>
      <c r="AP219" s="12"/>
      <c r="AQ219" s="3"/>
      <c r="AR219" s="3"/>
      <c r="AS219" s="3"/>
      <c r="AT219" s="3"/>
      <c r="AU219" s="3"/>
      <c r="AV219" s="3"/>
      <c r="AW219" s="3"/>
      <c r="AX219" s="3"/>
      <c r="AY219" s="3"/>
      <c r="AZ219" s="3"/>
      <c r="BA219" s="3"/>
      <c r="BB219" s="3"/>
      <c r="BC219" s="3"/>
    </row>
    <row r="220" ht="15.75" customHeight="1">
      <c r="A220" s="12"/>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c r="AB220" s="310"/>
      <c r="AC220" s="310"/>
      <c r="AD220" s="310"/>
      <c r="AE220" s="310"/>
      <c r="AF220" s="310"/>
      <c r="AG220" s="310"/>
      <c r="AH220" s="310"/>
      <c r="AI220" s="310"/>
      <c r="AJ220" s="310"/>
      <c r="AK220" s="310"/>
      <c r="AL220" s="310"/>
      <c r="AM220" s="310"/>
      <c r="AN220" s="310"/>
      <c r="AO220" s="310"/>
      <c r="AP220" s="12"/>
      <c r="AQ220" s="3"/>
      <c r="AR220" s="3"/>
      <c r="AS220" s="3"/>
      <c r="AT220" s="3"/>
      <c r="AU220" s="3"/>
      <c r="AV220" s="3"/>
      <c r="AW220" s="3"/>
      <c r="AX220" s="3"/>
      <c r="AY220" s="3"/>
      <c r="AZ220" s="3"/>
      <c r="BA220" s="3"/>
      <c r="BB220" s="3"/>
      <c r="BC220" s="3"/>
    </row>
    <row r="221" ht="15.75" customHeight="1">
      <c r="A221" s="12"/>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c r="AA221" s="310"/>
      <c r="AB221" s="310"/>
      <c r="AC221" s="310"/>
      <c r="AD221" s="310"/>
      <c r="AE221" s="310"/>
      <c r="AF221" s="310"/>
      <c r="AG221" s="310"/>
      <c r="AH221" s="310"/>
      <c r="AI221" s="310"/>
      <c r="AJ221" s="310"/>
      <c r="AK221" s="310"/>
      <c r="AL221" s="310"/>
      <c r="AM221" s="310"/>
      <c r="AN221" s="310"/>
      <c r="AO221" s="310"/>
      <c r="AP221" s="12"/>
      <c r="AQ221" s="3"/>
      <c r="AR221" s="3"/>
      <c r="AS221" s="3"/>
      <c r="AT221" s="3"/>
      <c r="AU221" s="3"/>
      <c r="AV221" s="3"/>
      <c r="AW221" s="3"/>
      <c r="AX221" s="3"/>
      <c r="AY221" s="3"/>
      <c r="AZ221" s="3"/>
      <c r="BA221" s="3"/>
      <c r="BB221" s="3"/>
      <c r="BC221" s="3"/>
    </row>
    <row r="222" ht="15.75" customHeight="1">
      <c r="A222" s="12"/>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c r="AB222" s="310"/>
      <c r="AC222" s="310"/>
      <c r="AD222" s="310"/>
      <c r="AE222" s="310"/>
      <c r="AF222" s="310"/>
      <c r="AG222" s="310"/>
      <c r="AH222" s="310"/>
      <c r="AI222" s="310"/>
      <c r="AJ222" s="310"/>
      <c r="AK222" s="310"/>
      <c r="AL222" s="310"/>
      <c r="AM222" s="310"/>
      <c r="AN222" s="310"/>
      <c r="AO222" s="310"/>
      <c r="AP222" s="12"/>
      <c r="AQ222" s="3"/>
      <c r="AR222" s="3"/>
      <c r="AS222" s="3"/>
      <c r="AT222" s="3"/>
      <c r="AU222" s="3"/>
      <c r="AV222" s="3"/>
      <c r="AW222" s="3"/>
      <c r="AX222" s="3"/>
      <c r="AY222" s="3"/>
      <c r="AZ222" s="3"/>
      <c r="BA222" s="3"/>
      <c r="BB222" s="3"/>
      <c r="BC222" s="3"/>
    </row>
    <row r="223" ht="15.75" customHeight="1">
      <c r="A223" s="12"/>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c r="AA223" s="310"/>
      <c r="AB223" s="310"/>
      <c r="AC223" s="310"/>
      <c r="AD223" s="310"/>
      <c r="AE223" s="310"/>
      <c r="AF223" s="310"/>
      <c r="AG223" s="310"/>
      <c r="AH223" s="310"/>
      <c r="AI223" s="310"/>
      <c r="AJ223" s="310"/>
      <c r="AK223" s="310"/>
      <c r="AL223" s="310"/>
      <c r="AM223" s="310"/>
      <c r="AN223" s="310"/>
      <c r="AO223" s="310"/>
      <c r="AP223" s="12"/>
      <c r="AQ223" s="3"/>
      <c r="AR223" s="3"/>
      <c r="AS223" s="3"/>
      <c r="AT223" s="3"/>
      <c r="AU223" s="3"/>
      <c r="AV223" s="3"/>
      <c r="AW223" s="3"/>
      <c r="AX223" s="3"/>
      <c r="AY223" s="3"/>
      <c r="AZ223" s="3"/>
      <c r="BA223" s="3"/>
      <c r="BB223" s="3"/>
      <c r="BC223" s="3"/>
    </row>
    <row r="224" ht="15.75" customHeight="1">
      <c r="A224" s="12"/>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c r="AA224" s="310"/>
      <c r="AB224" s="310"/>
      <c r="AC224" s="310"/>
      <c r="AD224" s="310"/>
      <c r="AE224" s="310"/>
      <c r="AF224" s="310"/>
      <c r="AG224" s="310"/>
      <c r="AH224" s="310"/>
      <c r="AI224" s="310"/>
      <c r="AJ224" s="310"/>
      <c r="AK224" s="310"/>
      <c r="AL224" s="310"/>
      <c r="AM224" s="310"/>
      <c r="AN224" s="310"/>
      <c r="AO224" s="310"/>
      <c r="AP224" s="12"/>
      <c r="AQ224" s="3"/>
      <c r="AR224" s="3"/>
      <c r="AS224" s="3"/>
      <c r="AT224" s="3"/>
      <c r="AU224" s="3"/>
      <c r="AV224" s="3"/>
      <c r="AW224" s="3"/>
      <c r="AX224" s="3"/>
      <c r="AY224" s="3"/>
      <c r="AZ224" s="3"/>
      <c r="BA224" s="3"/>
      <c r="BB224" s="3"/>
      <c r="BC224" s="3"/>
    </row>
    <row r="225" ht="15.75" customHeight="1">
      <c r="A225" s="12"/>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310"/>
      <c r="AH225" s="310"/>
      <c r="AI225" s="310"/>
      <c r="AJ225" s="310"/>
      <c r="AK225" s="310"/>
      <c r="AL225" s="310"/>
      <c r="AM225" s="310"/>
      <c r="AN225" s="310"/>
      <c r="AO225" s="310"/>
      <c r="AP225" s="12"/>
      <c r="AQ225" s="3"/>
      <c r="AR225" s="3"/>
      <c r="AS225" s="3"/>
      <c r="AT225" s="3"/>
      <c r="AU225" s="3"/>
      <c r="AV225" s="3"/>
      <c r="AW225" s="3"/>
      <c r="AX225" s="3"/>
      <c r="AY225" s="3"/>
      <c r="AZ225" s="3"/>
      <c r="BA225" s="3"/>
      <c r="BB225" s="3"/>
      <c r="BC225" s="3"/>
    </row>
    <row r="226" ht="15.75" customHeight="1">
      <c r="A226" s="12"/>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c r="AA226" s="310"/>
      <c r="AB226" s="310"/>
      <c r="AC226" s="310"/>
      <c r="AD226" s="310"/>
      <c r="AE226" s="310"/>
      <c r="AF226" s="310"/>
      <c r="AG226" s="310"/>
      <c r="AH226" s="310"/>
      <c r="AI226" s="310"/>
      <c r="AJ226" s="310"/>
      <c r="AK226" s="310"/>
      <c r="AL226" s="310"/>
      <c r="AM226" s="310"/>
      <c r="AN226" s="310"/>
      <c r="AO226" s="310"/>
      <c r="AP226" s="12"/>
      <c r="AQ226" s="3"/>
      <c r="AR226" s="3"/>
      <c r="AS226" s="3"/>
      <c r="AT226" s="3"/>
      <c r="AU226" s="3"/>
      <c r="AV226" s="3"/>
      <c r="AW226" s="3"/>
      <c r="AX226" s="3"/>
      <c r="AY226" s="3"/>
      <c r="AZ226" s="3"/>
      <c r="BA226" s="3"/>
      <c r="BB226" s="3"/>
      <c r="BC226" s="3"/>
    </row>
    <row r="227" ht="15.75" customHeight="1">
      <c r="A227" s="12"/>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c r="AB227" s="310"/>
      <c r="AC227" s="310"/>
      <c r="AD227" s="310"/>
      <c r="AE227" s="310"/>
      <c r="AF227" s="310"/>
      <c r="AG227" s="310"/>
      <c r="AH227" s="310"/>
      <c r="AI227" s="310"/>
      <c r="AJ227" s="310"/>
      <c r="AK227" s="310"/>
      <c r="AL227" s="310"/>
      <c r="AM227" s="310"/>
      <c r="AN227" s="310"/>
      <c r="AO227" s="310"/>
      <c r="AP227" s="12"/>
      <c r="AQ227" s="3"/>
      <c r="AR227" s="3"/>
      <c r="AS227" s="3"/>
      <c r="AT227" s="3"/>
      <c r="AU227" s="3"/>
      <c r="AV227" s="3"/>
      <c r="AW227" s="3"/>
      <c r="AX227" s="3"/>
      <c r="AY227" s="3"/>
      <c r="AZ227" s="3"/>
      <c r="BA227" s="3"/>
      <c r="BB227" s="3"/>
      <c r="BC227" s="3"/>
    </row>
    <row r="228" ht="15.75" customHeight="1">
      <c r="A228" s="12"/>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c r="AB228" s="310"/>
      <c r="AC228" s="310"/>
      <c r="AD228" s="310"/>
      <c r="AE228" s="310"/>
      <c r="AF228" s="310"/>
      <c r="AG228" s="310"/>
      <c r="AH228" s="310"/>
      <c r="AI228" s="310"/>
      <c r="AJ228" s="310"/>
      <c r="AK228" s="310"/>
      <c r="AL228" s="310"/>
      <c r="AM228" s="310"/>
      <c r="AN228" s="310"/>
      <c r="AO228" s="310"/>
      <c r="AP228" s="12"/>
      <c r="AQ228" s="3"/>
      <c r="AR228" s="3"/>
      <c r="AS228" s="3"/>
      <c r="AT228" s="3"/>
      <c r="AU228" s="3"/>
      <c r="AV228" s="3"/>
      <c r="AW228" s="3"/>
      <c r="AX228" s="3"/>
      <c r="AY228" s="3"/>
      <c r="AZ228" s="3"/>
      <c r="BA228" s="3"/>
      <c r="BB228" s="3"/>
      <c r="BC228" s="3"/>
    </row>
    <row r="229" ht="15.75" customHeight="1">
      <c r="A229" s="12"/>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310"/>
      <c r="AH229" s="310"/>
      <c r="AI229" s="310"/>
      <c r="AJ229" s="310"/>
      <c r="AK229" s="310"/>
      <c r="AL229" s="310"/>
      <c r="AM229" s="310"/>
      <c r="AN229" s="310"/>
      <c r="AO229" s="310"/>
      <c r="AP229" s="12"/>
      <c r="AQ229" s="3"/>
      <c r="AR229" s="3"/>
      <c r="AS229" s="3"/>
      <c r="AT229" s="3"/>
      <c r="AU229" s="3"/>
      <c r="AV229" s="3"/>
      <c r="AW229" s="3"/>
      <c r="AX229" s="3"/>
      <c r="AY229" s="3"/>
      <c r="AZ229" s="3"/>
      <c r="BA229" s="3"/>
      <c r="BB229" s="3"/>
      <c r="BC229" s="3"/>
    </row>
    <row r="230" ht="15.75" customHeight="1">
      <c r="A230" s="12"/>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310"/>
      <c r="AH230" s="310"/>
      <c r="AI230" s="310"/>
      <c r="AJ230" s="310"/>
      <c r="AK230" s="310"/>
      <c r="AL230" s="310"/>
      <c r="AM230" s="310"/>
      <c r="AN230" s="310"/>
      <c r="AO230" s="310"/>
      <c r="AP230" s="12"/>
      <c r="AQ230" s="3"/>
      <c r="AR230" s="3"/>
      <c r="AS230" s="3"/>
      <c r="AT230" s="3"/>
      <c r="AU230" s="3"/>
      <c r="AV230" s="3"/>
      <c r="AW230" s="3"/>
      <c r="AX230" s="3"/>
      <c r="AY230" s="3"/>
      <c r="AZ230" s="3"/>
      <c r="BA230" s="3"/>
      <c r="BB230" s="3"/>
      <c r="BC230" s="3"/>
    </row>
    <row r="231" ht="15.75" customHeight="1">
      <c r="A231" s="12"/>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c r="AH231" s="310"/>
      <c r="AI231" s="310"/>
      <c r="AJ231" s="310"/>
      <c r="AK231" s="310"/>
      <c r="AL231" s="310"/>
      <c r="AM231" s="310"/>
      <c r="AN231" s="310"/>
      <c r="AO231" s="310"/>
      <c r="AP231" s="12"/>
      <c r="AQ231" s="3"/>
      <c r="AR231" s="3"/>
      <c r="AS231" s="3"/>
      <c r="AT231" s="3"/>
      <c r="AU231" s="3"/>
      <c r="AV231" s="3"/>
      <c r="AW231" s="3"/>
      <c r="AX231" s="3"/>
      <c r="AY231" s="3"/>
      <c r="AZ231" s="3"/>
      <c r="BA231" s="3"/>
      <c r="BB231" s="3"/>
      <c r="BC231" s="3"/>
    </row>
    <row r="232" ht="15.75" customHeight="1">
      <c r="A232" s="12"/>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c r="AB232" s="310"/>
      <c r="AC232" s="310"/>
      <c r="AD232" s="310"/>
      <c r="AE232" s="310"/>
      <c r="AF232" s="310"/>
      <c r="AG232" s="310"/>
      <c r="AH232" s="310"/>
      <c r="AI232" s="310"/>
      <c r="AJ232" s="310"/>
      <c r="AK232" s="310"/>
      <c r="AL232" s="310"/>
      <c r="AM232" s="310"/>
      <c r="AN232" s="310"/>
      <c r="AO232" s="310"/>
      <c r="AP232" s="12"/>
      <c r="AQ232" s="3"/>
      <c r="AR232" s="3"/>
      <c r="AS232" s="3"/>
      <c r="AT232" s="3"/>
      <c r="AU232" s="3"/>
      <c r="AV232" s="3"/>
      <c r="AW232" s="3"/>
      <c r="AX232" s="3"/>
      <c r="AY232" s="3"/>
      <c r="AZ232" s="3"/>
      <c r="BA232" s="3"/>
      <c r="BB232" s="3"/>
      <c r="BC232" s="3"/>
    </row>
    <row r="233" ht="15.75" customHeight="1">
      <c r="A233" s="12"/>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310"/>
      <c r="AH233" s="310"/>
      <c r="AI233" s="310"/>
      <c r="AJ233" s="310"/>
      <c r="AK233" s="310"/>
      <c r="AL233" s="310"/>
      <c r="AM233" s="310"/>
      <c r="AN233" s="310"/>
      <c r="AO233" s="310"/>
      <c r="AP233" s="12"/>
      <c r="AQ233" s="3"/>
      <c r="AR233" s="3"/>
      <c r="AS233" s="3"/>
      <c r="AT233" s="3"/>
      <c r="AU233" s="3"/>
      <c r="AV233" s="3"/>
      <c r="AW233" s="3"/>
      <c r="AX233" s="3"/>
      <c r="AY233" s="3"/>
      <c r="AZ233" s="3"/>
      <c r="BA233" s="3"/>
      <c r="BB233" s="3"/>
      <c r="BC233" s="3"/>
    </row>
    <row r="234" ht="15.75" customHeight="1">
      <c r="A234" s="12"/>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c r="AB234" s="310"/>
      <c r="AC234" s="310"/>
      <c r="AD234" s="310"/>
      <c r="AE234" s="310"/>
      <c r="AF234" s="310"/>
      <c r="AG234" s="310"/>
      <c r="AH234" s="310"/>
      <c r="AI234" s="310"/>
      <c r="AJ234" s="310"/>
      <c r="AK234" s="310"/>
      <c r="AL234" s="310"/>
      <c r="AM234" s="310"/>
      <c r="AN234" s="310"/>
      <c r="AO234" s="310"/>
      <c r="AP234" s="12"/>
      <c r="AQ234" s="3"/>
      <c r="AR234" s="3"/>
      <c r="AS234" s="3"/>
      <c r="AT234" s="3"/>
      <c r="AU234" s="3"/>
      <c r="AV234" s="3"/>
      <c r="AW234" s="3"/>
      <c r="AX234" s="3"/>
      <c r="AY234" s="3"/>
      <c r="AZ234" s="3"/>
      <c r="BA234" s="3"/>
      <c r="BB234" s="3"/>
      <c r="BC234" s="3"/>
    </row>
    <row r="235" ht="15.75" customHeight="1">
      <c r="A235" s="12"/>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c r="AB235" s="310"/>
      <c r="AC235" s="310"/>
      <c r="AD235" s="310"/>
      <c r="AE235" s="310"/>
      <c r="AF235" s="310"/>
      <c r="AG235" s="310"/>
      <c r="AH235" s="310"/>
      <c r="AI235" s="310"/>
      <c r="AJ235" s="310"/>
      <c r="AK235" s="310"/>
      <c r="AL235" s="310"/>
      <c r="AM235" s="310"/>
      <c r="AN235" s="310"/>
      <c r="AO235" s="310"/>
      <c r="AP235" s="12"/>
      <c r="AQ235" s="3"/>
      <c r="AR235" s="3"/>
      <c r="AS235" s="3"/>
      <c r="AT235" s="3"/>
      <c r="AU235" s="3"/>
      <c r="AV235" s="3"/>
      <c r="AW235" s="3"/>
      <c r="AX235" s="3"/>
      <c r="AY235" s="3"/>
      <c r="AZ235" s="3"/>
      <c r="BA235" s="3"/>
      <c r="BB235" s="3"/>
      <c r="BC235" s="3"/>
    </row>
    <row r="236" ht="15.75" customHeight="1">
      <c r="A236" s="12"/>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c r="AA236" s="310"/>
      <c r="AB236" s="310"/>
      <c r="AC236" s="310"/>
      <c r="AD236" s="310"/>
      <c r="AE236" s="310"/>
      <c r="AF236" s="310"/>
      <c r="AG236" s="310"/>
      <c r="AH236" s="310"/>
      <c r="AI236" s="310"/>
      <c r="AJ236" s="310"/>
      <c r="AK236" s="310"/>
      <c r="AL236" s="310"/>
      <c r="AM236" s="310"/>
      <c r="AN236" s="310"/>
      <c r="AO236" s="310"/>
      <c r="AP236" s="12"/>
      <c r="AQ236" s="3"/>
      <c r="AR236" s="3"/>
      <c r="AS236" s="3"/>
      <c r="AT236" s="3"/>
      <c r="AU236" s="3"/>
      <c r="AV236" s="3"/>
      <c r="AW236" s="3"/>
      <c r="AX236" s="3"/>
      <c r="AY236" s="3"/>
      <c r="AZ236" s="3"/>
      <c r="BA236" s="3"/>
      <c r="BB236" s="3"/>
      <c r="BC236" s="3"/>
    </row>
    <row r="237" ht="15.75" customHeight="1">
      <c r="A237" s="12"/>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c r="AA237" s="310"/>
      <c r="AB237" s="310"/>
      <c r="AC237" s="310"/>
      <c r="AD237" s="310"/>
      <c r="AE237" s="310"/>
      <c r="AF237" s="310"/>
      <c r="AG237" s="310"/>
      <c r="AH237" s="310"/>
      <c r="AI237" s="310"/>
      <c r="AJ237" s="310"/>
      <c r="AK237" s="310"/>
      <c r="AL237" s="310"/>
      <c r="AM237" s="310"/>
      <c r="AN237" s="310"/>
      <c r="AO237" s="310"/>
      <c r="AP237" s="12"/>
      <c r="AQ237" s="3"/>
      <c r="AR237" s="3"/>
      <c r="AS237" s="3"/>
      <c r="AT237" s="3"/>
      <c r="AU237" s="3"/>
      <c r="AV237" s="3"/>
      <c r="AW237" s="3"/>
      <c r="AX237" s="3"/>
      <c r="AY237" s="3"/>
      <c r="AZ237" s="3"/>
      <c r="BA237" s="3"/>
      <c r="BB237" s="3"/>
      <c r="BC237" s="3"/>
    </row>
    <row r="238" ht="15.75" customHeight="1">
      <c r="A238" s="12"/>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c r="AA238" s="310"/>
      <c r="AB238" s="310"/>
      <c r="AC238" s="310"/>
      <c r="AD238" s="310"/>
      <c r="AE238" s="310"/>
      <c r="AF238" s="310"/>
      <c r="AG238" s="310"/>
      <c r="AH238" s="310"/>
      <c r="AI238" s="310"/>
      <c r="AJ238" s="310"/>
      <c r="AK238" s="310"/>
      <c r="AL238" s="310"/>
      <c r="AM238" s="310"/>
      <c r="AN238" s="310"/>
      <c r="AO238" s="310"/>
      <c r="AP238" s="12"/>
      <c r="AQ238" s="3"/>
      <c r="AR238" s="3"/>
      <c r="AS238" s="3"/>
      <c r="AT238" s="3"/>
      <c r="AU238" s="3"/>
      <c r="AV238" s="3"/>
      <c r="AW238" s="3"/>
      <c r="AX238" s="3"/>
      <c r="AY238" s="3"/>
      <c r="AZ238" s="3"/>
      <c r="BA238" s="3"/>
      <c r="BB238" s="3"/>
      <c r="BC238" s="3"/>
    </row>
    <row r="239" ht="15.75" customHeight="1">
      <c r="A239" s="12"/>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c r="AB239" s="310"/>
      <c r="AC239" s="310"/>
      <c r="AD239" s="310"/>
      <c r="AE239" s="310"/>
      <c r="AF239" s="310"/>
      <c r="AG239" s="310"/>
      <c r="AH239" s="310"/>
      <c r="AI239" s="310"/>
      <c r="AJ239" s="310"/>
      <c r="AK239" s="310"/>
      <c r="AL239" s="310"/>
      <c r="AM239" s="310"/>
      <c r="AN239" s="310"/>
      <c r="AO239" s="310"/>
      <c r="AP239" s="12"/>
      <c r="AQ239" s="3"/>
      <c r="AR239" s="3"/>
      <c r="AS239" s="3"/>
      <c r="AT239" s="3"/>
      <c r="AU239" s="3"/>
      <c r="AV239" s="3"/>
      <c r="AW239" s="3"/>
      <c r="AX239" s="3"/>
      <c r="AY239" s="3"/>
      <c r="AZ239" s="3"/>
      <c r="BA239" s="3"/>
      <c r="BB239" s="3"/>
      <c r="BC239" s="3"/>
    </row>
    <row r="240" ht="15.75" customHeight="1">
      <c r="A240" s="12"/>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c r="AA240" s="310"/>
      <c r="AB240" s="310"/>
      <c r="AC240" s="310"/>
      <c r="AD240" s="310"/>
      <c r="AE240" s="310"/>
      <c r="AF240" s="310"/>
      <c r="AG240" s="310"/>
      <c r="AH240" s="310"/>
      <c r="AI240" s="310"/>
      <c r="AJ240" s="310"/>
      <c r="AK240" s="310"/>
      <c r="AL240" s="310"/>
      <c r="AM240" s="310"/>
      <c r="AN240" s="310"/>
      <c r="AO240" s="310"/>
      <c r="AP240" s="12"/>
      <c r="AQ240" s="3"/>
      <c r="AR240" s="3"/>
      <c r="AS240" s="3"/>
      <c r="AT240" s="3"/>
      <c r="AU240" s="3"/>
      <c r="AV240" s="3"/>
      <c r="AW240" s="3"/>
      <c r="AX240" s="3"/>
      <c r="AY240" s="3"/>
      <c r="AZ240" s="3"/>
      <c r="BA240" s="3"/>
      <c r="BB240" s="3"/>
      <c r="BC240" s="3"/>
    </row>
    <row r="241" ht="15.75" customHeight="1">
      <c r="A241" s="12"/>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c r="AB241" s="310"/>
      <c r="AC241" s="310"/>
      <c r="AD241" s="310"/>
      <c r="AE241" s="310"/>
      <c r="AF241" s="310"/>
      <c r="AG241" s="310"/>
      <c r="AH241" s="310"/>
      <c r="AI241" s="310"/>
      <c r="AJ241" s="310"/>
      <c r="AK241" s="310"/>
      <c r="AL241" s="310"/>
      <c r="AM241" s="310"/>
      <c r="AN241" s="310"/>
      <c r="AO241" s="310"/>
      <c r="AP241" s="12"/>
      <c r="AQ241" s="3"/>
      <c r="AR241" s="3"/>
      <c r="AS241" s="3"/>
      <c r="AT241" s="3"/>
      <c r="AU241" s="3"/>
      <c r="AV241" s="3"/>
      <c r="AW241" s="3"/>
      <c r="AX241" s="3"/>
      <c r="AY241" s="3"/>
      <c r="AZ241" s="3"/>
      <c r="BA241" s="3"/>
      <c r="BB241" s="3"/>
      <c r="BC241" s="3"/>
    </row>
    <row r="242" ht="15.75" customHeight="1">
      <c r="A242" s="12"/>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c r="AA242" s="310"/>
      <c r="AB242" s="310"/>
      <c r="AC242" s="310"/>
      <c r="AD242" s="310"/>
      <c r="AE242" s="310"/>
      <c r="AF242" s="310"/>
      <c r="AG242" s="310"/>
      <c r="AH242" s="310"/>
      <c r="AI242" s="310"/>
      <c r="AJ242" s="310"/>
      <c r="AK242" s="310"/>
      <c r="AL242" s="310"/>
      <c r="AM242" s="310"/>
      <c r="AN242" s="310"/>
      <c r="AO242" s="310"/>
      <c r="AP242" s="12"/>
      <c r="AQ242" s="3"/>
      <c r="AR242" s="3"/>
      <c r="AS242" s="3"/>
      <c r="AT242" s="3"/>
      <c r="AU242" s="3"/>
      <c r="AV242" s="3"/>
      <c r="AW242" s="3"/>
      <c r="AX242" s="3"/>
      <c r="AY242" s="3"/>
      <c r="AZ242" s="3"/>
      <c r="BA242" s="3"/>
      <c r="BB242" s="3"/>
      <c r="BC242" s="3"/>
    </row>
    <row r="243" ht="15.75" customHeight="1">
      <c r="A243" s="12"/>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c r="AB243" s="310"/>
      <c r="AC243" s="310"/>
      <c r="AD243" s="310"/>
      <c r="AE243" s="310"/>
      <c r="AF243" s="310"/>
      <c r="AG243" s="310"/>
      <c r="AH243" s="310"/>
      <c r="AI243" s="310"/>
      <c r="AJ243" s="310"/>
      <c r="AK243" s="310"/>
      <c r="AL243" s="310"/>
      <c r="AM243" s="310"/>
      <c r="AN243" s="310"/>
      <c r="AO243" s="310"/>
      <c r="AP243" s="12"/>
      <c r="AQ243" s="3"/>
      <c r="AR243" s="3"/>
      <c r="AS243" s="3"/>
      <c r="AT243" s="3"/>
      <c r="AU243" s="3"/>
      <c r="AV243" s="3"/>
      <c r="AW243" s="3"/>
      <c r="AX243" s="3"/>
      <c r="AY243" s="3"/>
      <c r="AZ243" s="3"/>
      <c r="BA243" s="3"/>
      <c r="BB243" s="3"/>
      <c r="BC243" s="3"/>
    </row>
    <row r="244" ht="15.75" customHeight="1">
      <c r="A244" s="12"/>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c r="AB244" s="310"/>
      <c r="AC244" s="310"/>
      <c r="AD244" s="310"/>
      <c r="AE244" s="310"/>
      <c r="AF244" s="310"/>
      <c r="AG244" s="310"/>
      <c r="AH244" s="310"/>
      <c r="AI244" s="310"/>
      <c r="AJ244" s="310"/>
      <c r="AK244" s="310"/>
      <c r="AL244" s="310"/>
      <c r="AM244" s="310"/>
      <c r="AN244" s="310"/>
      <c r="AO244" s="310"/>
      <c r="AP244" s="12"/>
      <c r="AQ244" s="3"/>
      <c r="AR244" s="3"/>
      <c r="AS244" s="3"/>
      <c r="AT244" s="3"/>
      <c r="AU244" s="3"/>
      <c r="AV244" s="3"/>
      <c r="AW244" s="3"/>
      <c r="AX244" s="3"/>
      <c r="AY244" s="3"/>
      <c r="AZ244" s="3"/>
      <c r="BA244" s="3"/>
      <c r="BB244" s="3"/>
      <c r="BC244" s="3"/>
    </row>
    <row r="245" ht="15.75" customHeight="1">
      <c r="A245" s="12"/>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c r="AA245" s="310"/>
      <c r="AB245" s="310"/>
      <c r="AC245" s="310"/>
      <c r="AD245" s="310"/>
      <c r="AE245" s="310"/>
      <c r="AF245" s="310"/>
      <c r="AG245" s="310"/>
      <c r="AH245" s="310"/>
      <c r="AI245" s="310"/>
      <c r="AJ245" s="310"/>
      <c r="AK245" s="310"/>
      <c r="AL245" s="310"/>
      <c r="AM245" s="310"/>
      <c r="AN245" s="310"/>
      <c r="AO245" s="310"/>
      <c r="AP245" s="12"/>
      <c r="AQ245" s="3"/>
      <c r="AR245" s="3"/>
      <c r="AS245" s="3"/>
      <c r="AT245" s="3"/>
      <c r="AU245" s="3"/>
      <c r="AV245" s="3"/>
      <c r="AW245" s="3"/>
      <c r="AX245" s="3"/>
      <c r="AY245" s="3"/>
      <c r="AZ245" s="3"/>
      <c r="BA245" s="3"/>
      <c r="BB245" s="3"/>
      <c r="BC245" s="3"/>
    </row>
    <row r="246" ht="15.75" customHeight="1">
      <c r="A246" s="12"/>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c r="AA246" s="310"/>
      <c r="AB246" s="310"/>
      <c r="AC246" s="310"/>
      <c r="AD246" s="310"/>
      <c r="AE246" s="310"/>
      <c r="AF246" s="310"/>
      <c r="AG246" s="310"/>
      <c r="AH246" s="310"/>
      <c r="AI246" s="310"/>
      <c r="AJ246" s="310"/>
      <c r="AK246" s="310"/>
      <c r="AL246" s="310"/>
      <c r="AM246" s="310"/>
      <c r="AN246" s="310"/>
      <c r="AO246" s="310"/>
      <c r="AP246" s="12"/>
      <c r="AQ246" s="3"/>
      <c r="AR246" s="3"/>
      <c r="AS246" s="3"/>
      <c r="AT246" s="3"/>
      <c r="AU246" s="3"/>
      <c r="AV246" s="3"/>
      <c r="AW246" s="3"/>
      <c r="AX246" s="3"/>
      <c r="AY246" s="3"/>
      <c r="AZ246" s="3"/>
      <c r="BA246" s="3"/>
      <c r="BB246" s="3"/>
      <c r="BC246" s="3"/>
    </row>
    <row r="247" ht="15.75" customHeight="1">
      <c r="A247" s="12"/>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c r="AA247" s="310"/>
      <c r="AB247" s="310"/>
      <c r="AC247" s="310"/>
      <c r="AD247" s="310"/>
      <c r="AE247" s="310"/>
      <c r="AF247" s="310"/>
      <c r="AG247" s="310"/>
      <c r="AH247" s="310"/>
      <c r="AI247" s="310"/>
      <c r="AJ247" s="310"/>
      <c r="AK247" s="310"/>
      <c r="AL247" s="310"/>
      <c r="AM247" s="310"/>
      <c r="AN247" s="310"/>
      <c r="AO247" s="310"/>
      <c r="AP247" s="12"/>
      <c r="AQ247" s="3"/>
      <c r="AR247" s="3"/>
      <c r="AS247" s="3"/>
      <c r="AT247" s="3"/>
      <c r="AU247" s="3"/>
      <c r="AV247" s="3"/>
      <c r="AW247" s="3"/>
      <c r="AX247" s="3"/>
      <c r="AY247" s="3"/>
      <c r="AZ247" s="3"/>
      <c r="BA247" s="3"/>
      <c r="BB247" s="3"/>
      <c r="BC247" s="3"/>
    </row>
    <row r="248" ht="15.75" customHeight="1">
      <c r="A248" s="12"/>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c r="AA248" s="310"/>
      <c r="AB248" s="310"/>
      <c r="AC248" s="310"/>
      <c r="AD248" s="310"/>
      <c r="AE248" s="310"/>
      <c r="AF248" s="310"/>
      <c r="AG248" s="310"/>
      <c r="AH248" s="310"/>
      <c r="AI248" s="310"/>
      <c r="AJ248" s="310"/>
      <c r="AK248" s="310"/>
      <c r="AL248" s="310"/>
      <c r="AM248" s="310"/>
      <c r="AN248" s="310"/>
      <c r="AO248" s="310"/>
      <c r="AP248" s="12"/>
      <c r="AQ248" s="3"/>
      <c r="AR248" s="3"/>
      <c r="AS248" s="3"/>
      <c r="AT248" s="3"/>
      <c r="AU248" s="3"/>
      <c r="AV248" s="3"/>
      <c r="AW248" s="3"/>
      <c r="AX248" s="3"/>
      <c r="AY248" s="3"/>
      <c r="AZ248" s="3"/>
      <c r="BA248" s="3"/>
      <c r="BB248" s="3"/>
      <c r="BC248" s="3"/>
    </row>
    <row r="249" ht="15.75" customHeight="1">
      <c r="A249" s="12"/>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c r="AB249" s="310"/>
      <c r="AC249" s="310"/>
      <c r="AD249" s="310"/>
      <c r="AE249" s="310"/>
      <c r="AF249" s="310"/>
      <c r="AG249" s="310"/>
      <c r="AH249" s="310"/>
      <c r="AI249" s="310"/>
      <c r="AJ249" s="310"/>
      <c r="AK249" s="310"/>
      <c r="AL249" s="310"/>
      <c r="AM249" s="310"/>
      <c r="AN249" s="310"/>
      <c r="AO249" s="310"/>
      <c r="AP249" s="12"/>
      <c r="AQ249" s="3"/>
      <c r="AR249" s="3"/>
      <c r="AS249" s="3"/>
      <c r="AT249" s="3"/>
      <c r="AU249" s="3"/>
      <c r="AV249" s="3"/>
      <c r="AW249" s="3"/>
      <c r="AX249" s="3"/>
      <c r="AY249" s="3"/>
      <c r="AZ249" s="3"/>
      <c r="BA249" s="3"/>
      <c r="BB249" s="3"/>
      <c r="BC249" s="3"/>
    </row>
    <row r="250" ht="15.75" customHeight="1">
      <c r="A250" s="12"/>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c r="AA250" s="310"/>
      <c r="AB250" s="310"/>
      <c r="AC250" s="310"/>
      <c r="AD250" s="310"/>
      <c r="AE250" s="310"/>
      <c r="AF250" s="310"/>
      <c r="AG250" s="310"/>
      <c r="AH250" s="310"/>
      <c r="AI250" s="310"/>
      <c r="AJ250" s="310"/>
      <c r="AK250" s="310"/>
      <c r="AL250" s="310"/>
      <c r="AM250" s="310"/>
      <c r="AN250" s="310"/>
      <c r="AO250" s="310"/>
      <c r="AP250" s="12"/>
      <c r="AQ250" s="3"/>
      <c r="AR250" s="3"/>
      <c r="AS250" s="3"/>
      <c r="AT250" s="3"/>
      <c r="AU250" s="3"/>
      <c r="AV250" s="3"/>
      <c r="AW250" s="3"/>
      <c r="AX250" s="3"/>
      <c r="AY250" s="3"/>
      <c r="AZ250" s="3"/>
      <c r="BA250" s="3"/>
      <c r="BB250" s="3"/>
      <c r="BC250" s="3"/>
    </row>
    <row r="251" ht="15.75" customHeight="1">
      <c r="A251" s="12"/>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c r="AA251" s="310"/>
      <c r="AB251" s="310"/>
      <c r="AC251" s="310"/>
      <c r="AD251" s="310"/>
      <c r="AE251" s="310"/>
      <c r="AF251" s="310"/>
      <c r="AG251" s="310"/>
      <c r="AH251" s="310"/>
      <c r="AI251" s="310"/>
      <c r="AJ251" s="310"/>
      <c r="AK251" s="310"/>
      <c r="AL251" s="310"/>
      <c r="AM251" s="310"/>
      <c r="AN251" s="310"/>
      <c r="AO251" s="310"/>
      <c r="AP251" s="12"/>
      <c r="AQ251" s="3"/>
      <c r="AR251" s="3"/>
      <c r="AS251" s="3"/>
      <c r="AT251" s="3"/>
      <c r="AU251" s="3"/>
      <c r="AV251" s="3"/>
      <c r="AW251" s="3"/>
      <c r="AX251" s="3"/>
      <c r="AY251" s="3"/>
      <c r="AZ251" s="3"/>
      <c r="BA251" s="3"/>
      <c r="BB251" s="3"/>
      <c r="BC251" s="3"/>
    </row>
    <row r="252" ht="15.75" customHeight="1">
      <c r="A252" s="12"/>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c r="AA252" s="310"/>
      <c r="AB252" s="310"/>
      <c r="AC252" s="310"/>
      <c r="AD252" s="310"/>
      <c r="AE252" s="310"/>
      <c r="AF252" s="310"/>
      <c r="AG252" s="310"/>
      <c r="AH252" s="310"/>
      <c r="AI252" s="310"/>
      <c r="AJ252" s="310"/>
      <c r="AK252" s="310"/>
      <c r="AL252" s="310"/>
      <c r="AM252" s="310"/>
      <c r="AN252" s="310"/>
      <c r="AO252" s="310"/>
      <c r="AP252" s="12"/>
      <c r="AQ252" s="3"/>
      <c r="AR252" s="3"/>
      <c r="AS252" s="3"/>
      <c r="AT252" s="3"/>
      <c r="AU252" s="3"/>
      <c r="AV252" s="3"/>
      <c r="AW252" s="3"/>
      <c r="AX252" s="3"/>
      <c r="AY252" s="3"/>
      <c r="AZ252" s="3"/>
      <c r="BA252" s="3"/>
      <c r="BB252" s="3"/>
      <c r="BC252" s="3"/>
    </row>
    <row r="253" ht="15.75" customHeight="1">
      <c r="A253" s="12"/>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c r="AA253" s="310"/>
      <c r="AB253" s="310"/>
      <c r="AC253" s="310"/>
      <c r="AD253" s="310"/>
      <c r="AE253" s="310"/>
      <c r="AF253" s="310"/>
      <c r="AG253" s="310"/>
      <c r="AH253" s="310"/>
      <c r="AI253" s="310"/>
      <c r="AJ253" s="310"/>
      <c r="AK253" s="310"/>
      <c r="AL253" s="310"/>
      <c r="AM253" s="310"/>
      <c r="AN253" s="310"/>
      <c r="AO253" s="310"/>
      <c r="AP253" s="12"/>
      <c r="AQ253" s="3"/>
      <c r="AR253" s="3"/>
      <c r="AS253" s="3"/>
      <c r="AT253" s="3"/>
      <c r="AU253" s="3"/>
      <c r="AV253" s="3"/>
      <c r="AW253" s="3"/>
      <c r="AX253" s="3"/>
      <c r="AY253" s="3"/>
      <c r="AZ253" s="3"/>
      <c r="BA253" s="3"/>
      <c r="BB253" s="3"/>
      <c r="BC253" s="3"/>
    </row>
    <row r="254" ht="15.75" customHeight="1">
      <c r="A254" s="12"/>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c r="AA254" s="310"/>
      <c r="AB254" s="310"/>
      <c r="AC254" s="310"/>
      <c r="AD254" s="310"/>
      <c r="AE254" s="310"/>
      <c r="AF254" s="310"/>
      <c r="AG254" s="310"/>
      <c r="AH254" s="310"/>
      <c r="AI254" s="310"/>
      <c r="AJ254" s="310"/>
      <c r="AK254" s="310"/>
      <c r="AL254" s="310"/>
      <c r="AM254" s="310"/>
      <c r="AN254" s="310"/>
      <c r="AO254" s="310"/>
      <c r="AP254" s="12"/>
      <c r="AQ254" s="3"/>
      <c r="AR254" s="3"/>
      <c r="AS254" s="3"/>
      <c r="AT254" s="3"/>
      <c r="AU254" s="3"/>
      <c r="AV254" s="3"/>
      <c r="AW254" s="3"/>
      <c r="AX254" s="3"/>
      <c r="AY254" s="3"/>
      <c r="AZ254" s="3"/>
      <c r="BA254" s="3"/>
      <c r="BB254" s="3"/>
      <c r="BC254" s="3"/>
    </row>
    <row r="255" ht="15.75" customHeight="1">
      <c r="A255" s="12"/>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c r="AA255" s="310"/>
      <c r="AB255" s="310"/>
      <c r="AC255" s="310"/>
      <c r="AD255" s="310"/>
      <c r="AE255" s="310"/>
      <c r="AF255" s="310"/>
      <c r="AG255" s="310"/>
      <c r="AH255" s="310"/>
      <c r="AI255" s="310"/>
      <c r="AJ255" s="310"/>
      <c r="AK255" s="310"/>
      <c r="AL255" s="310"/>
      <c r="AM255" s="310"/>
      <c r="AN255" s="310"/>
      <c r="AO255" s="310"/>
      <c r="AP255" s="12"/>
      <c r="AQ255" s="3"/>
      <c r="AR255" s="3"/>
      <c r="AS255" s="3"/>
      <c r="AT255" s="3"/>
      <c r="AU255" s="3"/>
      <c r="AV255" s="3"/>
      <c r="AW255" s="3"/>
      <c r="AX255" s="3"/>
      <c r="AY255" s="3"/>
      <c r="AZ255" s="3"/>
      <c r="BA255" s="3"/>
      <c r="BB255" s="3"/>
      <c r="BC255" s="3"/>
    </row>
    <row r="256" ht="15.75" customHeight="1">
      <c r="A256" s="12"/>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c r="AA256" s="310"/>
      <c r="AB256" s="310"/>
      <c r="AC256" s="310"/>
      <c r="AD256" s="310"/>
      <c r="AE256" s="310"/>
      <c r="AF256" s="310"/>
      <c r="AG256" s="310"/>
      <c r="AH256" s="310"/>
      <c r="AI256" s="310"/>
      <c r="AJ256" s="310"/>
      <c r="AK256" s="310"/>
      <c r="AL256" s="310"/>
      <c r="AM256" s="310"/>
      <c r="AN256" s="310"/>
      <c r="AO256" s="310"/>
      <c r="AP256" s="12"/>
      <c r="AQ256" s="3"/>
      <c r="AR256" s="3"/>
      <c r="AS256" s="3"/>
      <c r="AT256" s="3"/>
      <c r="AU256" s="3"/>
      <c r="AV256" s="3"/>
      <c r="AW256" s="3"/>
      <c r="AX256" s="3"/>
      <c r="AY256" s="3"/>
      <c r="AZ256" s="3"/>
      <c r="BA256" s="3"/>
      <c r="BB256" s="3"/>
      <c r="BC256" s="3"/>
    </row>
    <row r="257" ht="15.75" customHeight="1">
      <c r="A257" s="12"/>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c r="AB257" s="310"/>
      <c r="AC257" s="310"/>
      <c r="AD257" s="310"/>
      <c r="AE257" s="310"/>
      <c r="AF257" s="310"/>
      <c r="AG257" s="310"/>
      <c r="AH257" s="310"/>
      <c r="AI257" s="310"/>
      <c r="AJ257" s="310"/>
      <c r="AK257" s="310"/>
      <c r="AL257" s="310"/>
      <c r="AM257" s="310"/>
      <c r="AN257" s="310"/>
      <c r="AO257" s="310"/>
      <c r="AP257" s="12"/>
      <c r="AQ257" s="3"/>
      <c r="AR257" s="3"/>
      <c r="AS257" s="3"/>
      <c r="AT257" s="3"/>
      <c r="AU257" s="3"/>
      <c r="AV257" s="3"/>
      <c r="AW257" s="3"/>
      <c r="AX257" s="3"/>
      <c r="AY257" s="3"/>
      <c r="AZ257" s="3"/>
      <c r="BA257" s="3"/>
      <c r="BB257" s="3"/>
      <c r="BC257" s="3"/>
    </row>
    <row r="258" ht="15.75" customHeight="1">
      <c r="A258" s="12"/>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c r="AA258" s="310"/>
      <c r="AB258" s="310"/>
      <c r="AC258" s="310"/>
      <c r="AD258" s="310"/>
      <c r="AE258" s="310"/>
      <c r="AF258" s="310"/>
      <c r="AG258" s="310"/>
      <c r="AH258" s="310"/>
      <c r="AI258" s="310"/>
      <c r="AJ258" s="310"/>
      <c r="AK258" s="310"/>
      <c r="AL258" s="310"/>
      <c r="AM258" s="310"/>
      <c r="AN258" s="310"/>
      <c r="AO258" s="310"/>
      <c r="AP258" s="12"/>
      <c r="AQ258" s="3"/>
      <c r="AR258" s="3"/>
      <c r="AS258" s="3"/>
      <c r="AT258" s="3"/>
      <c r="AU258" s="3"/>
      <c r="AV258" s="3"/>
      <c r="AW258" s="3"/>
      <c r="AX258" s="3"/>
      <c r="AY258" s="3"/>
      <c r="AZ258" s="3"/>
      <c r="BA258" s="3"/>
      <c r="BB258" s="3"/>
      <c r="BC258" s="3"/>
    </row>
    <row r="259" ht="15.75" customHeight="1">
      <c r="A259" s="12"/>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c r="AA259" s="310"/>
      <c r="AB259" s="310"/>
      <c r="AC259" s="310"/>
      <c r="AD259" s="310"/>
      <c r="AE259" s="310"/>
      <c r="AF259" s="310"/>
      <c r="AG259" s="310"/>
      <c r="AH259" s="310"/>
      <c r="AI259" s="310"/>
      <c r="AJ259" s="310"/>
      <c r="AK259" s="310"/>
      <c r="AL259" s="310"/>
      <c r="AM259" s="310"/>
      <c r="AN259" s="310"/>
      <c r="AO259" s="310"/>
      <c r="AP259" s="12"/>
      <c r="AQ259" s="3"/>
      <c r="AR259" s="3"/>
      <c r="AS259" s="3"/>
      <c r="AT259" s="3"/>
      <c r="AU259" s="3"/>
      <c r="AV259" s="3"/>
      <c r="AW259" s="3"/>
      <c r="AX259" s="3"/>
      <c r="AY259" s="3"/>
      <c r="AZ259" s="3"/>
      <c r="BA259" s="3"/>
      <c r="BB259" s="3"/>
      <c r="BC259" s="3"/>
    </row>
    <row r="260" ht="15.75" customHeight="1">
      <c r="A260" s="12"/>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c r="AA260" s="310"/>
      <c r="AB260" s="310"/>
      <c r="AC260" s="310"/>
      <c r="AD260" s="310"/>
      <c r="AE260" s="310"/>
      <c r="AF260" s="310"/>
      <c r="AG260" s="310"/>
      <c r="AH260" s="310"/>
      <c r="AI260" s="310"/>
      <c r="AJ260" s="310"/>
      <c r="AK260" s="310"/>
      <c r="AL260" s="310"/>
      <c r="AM260" s="310"/>
      <c r="AN260" s="310"/>
      <c r="AO260" s="310"/>
      <c r="AP260" s="12"/>
      <c r="AQ260" s="3"/>
      <c r="AR260" s="3"/>
      <c r="AS260" s="3"/>
      <c r="AT260" s="3"/>
      <c r="AU260" s="3"/>
      <c r="AV260" s="3"/>
      <c r="AW260" s="3"/>
      <c r="AX260" s="3"/>
      <c r="AY260" s="3"/>
      <c r="AZ260" s="3"/>
      <c r="BA260" s="3"/>
      <c r="BB260" s="3"/>
      <c r="BC260" s="3"/>
    </row>
    <row r="261" ht="15.75" customHeight="1">
      <c r="A261" s="12"/>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c r="AA261" s="310"/>
      <c r="AB261" s="310"/>
      <c r="AC261" s="310"/>
      <c r="AD261" s="310"/>
      <c r="AE261" s="310"/>
      <c r="AF261" s="310"/>
      <c r="AG261" s="310"/>
      <c r="AH261" s="310"/>
      <c r="AI261" s="310"/>
      <c r="AJ261" s="310"/>
      <c r="AK261" s="310"/>
      <c r="AL261" s="310"/>
      <c r="AM261" s="310"/>
      <c r="AN261" s="310"/>
      <c r="AO261" s="310"/>
      <c r="AP261" s="12"/>
      <c r="AQ261" s="3"/>
      <c r="AR261" s="3"/>
      <c r="AS261" s="3"/>
      <c r="AT261" s="3"/>
      <c r="AU261" s="3"/>
      <c r="AV261" s="3"/>
      <c r="AW261" s="3"/>
      <c r="AX261" s="3"/>
      <c r="AY261" s="3"/>
      <c r="AZ261" s="3"/>
      <c r="BA261" s="3"/>
      <c r="BB261" s="3"/>
      <c r="BC261" s="3"/>
    </row>
    <row r="262" ht="15.75" customHeight="1">
      <c r="A262" s="12"/>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c r="AB262" s="310"/>
      <c r="AC262" s="310"/>
      <c r="AD262" s="310"/>
      <c r="AE262" s="310"/>
      <c r="AF262" s="310"/>
      <c r="AG262" s="310"/>
      <c r="AH262" s="310"/>
      <c r="AI262" s="310"/>
      <c r="AJ262" s="310"/>
      <c r="AK262" s="310"/>
      <c r="AL262" s="310"/>
      <c r="AM262" s="310"/>
      <c r="AN262" s="310"/>
      <c r="AO262" s="310"/>
      <c r="AP262" s="12"/>
      <c r="AQ262" s="3"/>
      <c r="AR262" s="3"/>
      <c r="AS262" s="3"/>
      <c r="AT262" s="3"/>
      <c r="AU262" s="3"/>
      <c r="AV262" s="3"/>
      <c r="AW262" s="3"/>
      <c r="AX262" s="3"/>
      <c r="AY262" s="3"/>
      <c r="AZ262" s="3"/>
      <c r="BA262" s="3"/>
      <c r="BB262" s="3"/>
      <c r="BC262" s="3"/>
    </row>
    <row r="263" ht="15.75" customHeight="1">
      <c r="A263" s="12"/>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c r="AB263" s="310"/>
      <c r="AC263" s="310"/>
      <c r="AD263" s="310"/>
      <c r="AE263" s="310"/>
      <c r="AF263" s="310"/>
      <c r="AG263" s="310"/>
      <c r="AH263" s="310"/>
      <c r="AI263" s="310"/>
      <c r="AJ263" s="310"/>
      <c r="AK263" s="310"/>
      <c r="AL263" s="310"/>
      <c r="AM263" s="310"/>
      <c r="AN263" s="310"/>
      <c r="AO263" s="310"/>
      <c r="AP263" s="12"/>
      <c r="AQ263" s="3"/>
      <c r="AR263" s="3"/>
      <c r="AS263" s="3"/>
      <c r="AT263" s="3"/>
      <c r="AU263" s="3"/>
      <c r="AV263" s="3"/>
      <c r="AW263" s="3"/>
      <c r="AX263" s="3"/>
      <c r="AY263" s="3"/>
      <c r="AZ263" s="3"/>
      <c r="BA263" s="3"/>
      <c r="BB263" s="3"/>
      <c r="BC263" s="3"/>
    </row>
    <row r="264" ht="15.75" customHeight="1">
      <c r="A264" s="12"/>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310"/>
      <c r="AH264" s="310"/>
      <c r="AI264" s="310"/>
      <c r="AJ264" s="310"/>
      <c r="AK264" s="310"/>
      <c r="AL264" s="310"/>
      <c r="AM264" s="310"/>
      <c r="AN264" s="310"/>
      <c r="AO264" s="310"/>
      <c r="AP264" s="12"/>
      <c r="AQ264" s="3"/>
      <c r="AR264" s="3"/>
      <c r="AS264" s="3"/>
      <c r="AT264" s="3"/>
      <c r="AU264" s="3"/>
      <c r="AV264" s="3"/>
      <c r="AW264" s="3"/>
      <c r="AX264" s="3"/>
      <c r="AY264" s="3"/>
      <c r="AZ264" s="3"/>
      <c r="BA264" s="3"/>
      <c r="BB264" s="3"/>
      <c r="BC264" s="3"/>
    </row>
    <row r="265" ht="15.75" customHeight="1">
      <c r="A265" s="12"/>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c r="AA265" s="310"/>
      <c r="AB265" s="310"/>
      <c r="AC265" s="310"/>
      <c r="AD265" s="310"/>
      <c r="AE265" s="310"/>
      <c r="AF265" s="310"/>
      <c r="AG265" s="310"/>
      <c r="AH265" s="310"/>
      <c r="AI265" s="310"/>
      <c r="AJ265" s="310"/>
      <c r="AK265" s="310"/>
      <c r="AL265" s="310"/>
      <c r="AM265" s="310"/>
      <c r="AN265" s="310"/>
      <c r="AO265" s="310"/>
      <c r="AP265" s="12"/>
      <c r="AQ265" s="3"/>
      <c r="AR265" s="3"/>
      <c r="AS265" s="3"/>
      <c r="AT265" s="3"/>
      <c r="AU265" s="3"/>
      <c r="AV265" s="3"/>
      <c r="AW265" s="3"/>
      <c r="AX265" s="3"/>
      <c r="AY265" s="3"/>
      <c r="AZ265" s="3"/>
      <c r="BA265" s="3"/>
      <c r="BB265" s="3"/>
      <c r="BC265" s="3"/>
    </row>
    <row r="266" ht="15.75" customHeight="1">
      <c r="A266" s="12"/>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310"/>
      <c r="AH266" s="310"/>
      <c r="AI266" s="310"/>
      <c r="AJ266" s="310"/>
      <c r="AK266" s="310"/>
      <c r="AL266" s="310"/>
      <c r="AM266" s="310"/>
      <c r="AN266" s="310"/>
      <c r="AO266" s="310"/>
      <c r="AP266" s="12"/>
      <c r="AQ266" s="3"/>
      <c r="AR266" s="3"/>
      <c r="AS266" s="3"/>
      <c r="AT266" s="3"/>
      <c r="AU266" s="3"/>
      <c r="AV266" s="3"/>
      <c r="AW266" s="3"/>
      <c r="AX266" s="3"/>
      <c r="AY266" s="3"/>
      <c r="AZ266" s="3"/>
      <c r="BA266" s="3"/>
      <c r="BB266" s="3"/>
      <c r="BC266" s="3"/>
    </row>
    <row r="267" ht="15.75" customHeight="1">
      <c r="A267" s="12"/>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c r="AB267" s="310"/>
      <c r="AC267" s="310"/>
      <c r="AD267" s="310"/>
      <c r="AE267" s="310"/>
      <c r="AF267" s="310"/>
      <c r="AG267" s="310"/>
      <c r="AH267" s="310"/>
      <c r="AI267" s="310"/>
      <c r="AJ267" s="310"/>
      <c r="AK267" s="310"/>
      <c r="AL267" s="310"/>
      <c r="AM267" s="310"/>
      <c r="AN267" s="310"/>
      <c r="AO267" s="310"/>
      <c r="AP267" s="12"/>
      <c r="AQ267" s="3"/>
      <c r="AR267" s="3"/>
      <c r="AS267" s="3"/>
      <c r="AT267" s="3"/>
      <c r="AU267" s="3"/>
      <c r="AV267" s="3"/>
      <c r="AW267" s="3"/>
      <c r="AX267" s="3"/>
      <c r="AY267" s="3"/>
      <c r="AZ267" s="3"/>
      <c r="BA267" s="3"/>
      <c r="BB267" s="3"/>
      <c r="BC267" s="3"/>
    </row>
    <row r="268" ht="15.75" customHeight="1">
      <c r="A268" s="12"/>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c r="AB268" s="310"/>
      <c r="AC268" s="310"/>
      <c r="AD268" s="310"/>
      <c r="AE268" s="310"/>
      <c r="AF268" s="310"/>
      <c r="AG268" s="310"/>
      <c r="AH268" s="310"/>
      <c r="AI268" s="310"/>
      <c r="AJ268" s="310"/>
      <c r="AK268" s="310"/>
      <c r="AL268" s="310"/>
      <c r="AM268" s="310"/>
      <c r="AN268" s="310"/>
      <c r="AO268" s="310"/>
      <c r="AP268" s="12"/>
      <c r="AQ268" s="3"/>
      <c r="AR268" s="3"/>
      <c r="AS268" s="3"/>
      <c r="AT268" s="3"/>
      <c r="AU268" s="3"/>
      <c r="AV268" s="3"/>
      <c r="AW268" s="3"/>
      <c r="AX268" s="3"/>
      <c r="AY268" s="3"/>
      <c r="AZ268" s="3"/>
      <c r="BA268" s="3"/>
      <c r="BB268" s="3"/>
      <c r="BC268" s="3"/>
    </row>
    <row r="269" ht="15.75" customHeight="1">
      <c r="A269" s="12"/>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310"/>
      <c r="AH269" s="310"/>
      <c r="AI269" s="310"/>
      <c r="AJ269" s="310"/>
      <c r="AK269" s="310"/>
      <c r="AL269" s="310"/>
      <c r="AM269" s="310"/>
      <c r="AN269" s="310"/>
      <c r="AO269" s="310"/>
      <c r="AP269" s="12"/>
      <c r="AQ269" s="3"/>
      <c r="AR269" s="3"/>
      <c r="AS269" s="3"/>
      <c r="AT269" s="3"/>
      <c r="AU269" s="3"/>
      <c r="AV269" s="3"/>
      <c r="AW269" s="3"/>
      <c r="AX269" s="3"/>
      <c r="AY269" s="3"/>
      <c r="AZ269" s="3"/>
      <c r="BA269" s="3"/>
      <c r="BB269" s="3"/>
      <c r="BC269" s="3"/>
    </row>
    <row r="270" ht="15.75" customHeight="1">
      <c r="A270" s="12"/>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c r="AA270" s="310"/>
      <c r="AB270" s="310"/>
      <c r="AC270" s="310"/>
      <c r="AD270" s="310"/>
      <c r="AE270" s="310"/>
      <c r="AF270" s="310"/>
      <c r="AG270" s="310"/>
      <c r="AH270" s="310"/>
      <c r="AI270" s="310"/>
      <c r="AJ270" s="310"/>
      <c r="AK270" s="310"/>
      <c r="AL270" s="310"/>
      <c r="AM270" s="310"/>
      <c r="AN270" s="310"/>
      <c r="AO270" s="310"/>
      <c r="AP270" s="12"/>
      <c r="AQ270" s="3"/>
      <c r="AR270" s="3"/>
      <c r="AS270" s="3"/>
      <c r="AT270" s="3"/>
      <c r="AU270" s="3"/>
      <c r="AV270" s="3"/>
      <c r="AW270" s="3"/>
      <c r="AX270" s="3"/>
      <c r="AY270" s="3"/>
      <c r="AZ270" s="3"/>
      <c r="BA270" s="3"/>
      <c r="BB270" s="3"/>
      <c r="BC270" s="3"/>
    </row>
    <row r="271" ht="15.75" customHeight="1">
      <c r="A271" s="12"/>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c r="AB271" s="310"/>
      <c r="AC271" s="310"/>
      <c r="AD271" s="310"/>
      <c r="AE271" s="310"/>
      <c r="AF271" s="310"/>
      <c r="AG271" s="310"/>
      <c r="AH271" s="310"/>
      <c r="AI271" s="310"/>
      <c r="AJ271" s="310"/>
      <c r="AK271" s="310"/>
      <c r="AL271" s="310"/>
      <c r="AM271" s="310"/>
      <c r="AN271" s="310"/>
      <c r="AO271" s="310"/>
      <c r="AP271" s="12"/>
      <c r="AQ271" s="3"/>
      <c r="AR271" s="3"/>
      <c r="AS271" s="3"/>
      <c r="AT271" s="3"/>
      <c r="AU271" s="3"/>
      <c r="AV271" s="3"/>
      <c r="AW271" s="3"/>
      <c r="AX271" s="3"/>
      <c r="AY271" s="3"/>
      <c r="AZ271" s="3"/>
      <c r="BA271" s="3"/>
      <c r="BB271" s="3"/>
      <c r="BC271" s="3"/>
    </row>
    <row r="272" ht="15.75" customHeight="1">
      <c r="A272" s="12"/>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c r="AA272" s="310"/>
      <c r="AB272" s="310"/>
      <c r="AC272" s="310"/>
      <c r="AD272" s="310"/>
      <c r="AE272" s="310"/>
      <c r="AF272" s="310"/>
      <c r="AG272" s="310"/>
      <c r="AH272" s="310"/>
      <c r="AI272" s="310"/>
      <c r="AJ272" s="310"/>
      <c r="AK272" s="310"/>
      <c r="AL272" s="310"/>
      <c r="AM272" s="310"/>
      <c r="AN272" s="310"/>
      <c r="AO272" s="310"/>
      <c r="AP272" s="12"/>
      <c r="AQ272" s="3"/>
      <c r="AR272" s="3"/>
      <c r="AS272" s="3"/>
      <c r="AT272" s="3"/>
      <c r="AU272" s="3"/>
      <c r="AV272" s="3"/>
      <c r="AW272" s="3"/>
      <c r="AX272" s="3"/>
      <c r="AY272" s="3"/>
      <c r="AZ272" s="3"/>
      <c r="BA272" s="3"/>
      <c r="BB272" s="3"/>
      <c r="BC272" s="3"/>
    </row>
    <row r="273" ht="15.75" customHeight="1">
      <c r="A273" s="12"/>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310"/>
      <c r="AH273" s="310"/>
      <c r="AI273" s="310"/>
      <c r="AJ273" s="310"/>
      <c r="AK273" s="310"/>
      <c r="AL273" s="310"/>
      <c r="AM273" s="310"/>
      <c r="AN273" s="310"/>
      <c r="AO273" s="310"/>
      <c r="AP273" s="12"/>
      <c r="AQ273" s="3"/>
      <c r="AR273" s="3"/>
      <c r="AS273" s="3"/>
      <c r="AT273" s="3"/>
      <c r="AU273" s="3"/>
      <c r="AV273" s="3"/>
      <c r="AW273" s="3"/>
      <c r="AX273" s="3"/>
      <c r="AY273" s="3"/>
      <c r="AZ273" s="3"/>
      <c r="BA273" s="3"/>
      <c r="BB273" s="3"/>
      <c r="BC273" s="3"/>
    </row>
    <row r="274" ht="15.75" customHeight="1">
      <c r="A274" s="12"/>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10"/>
      <c r="AC274" s="310"/>
      <c r="AD274" s="310"/>
      <c r="AE274" s="310"/>
      <c r="AF274" s="310"/>
      <c r="AG274" s="310"/>
      <c r="AH274" s="310"/>
      <c r="AI274" s="310"/>
      <c r="AJ274" s="310"/>
      <c r="AK274" s="310"/>
      <c r="AL274" s="310"/>
      <c r="AM274" s="310"/>
      <c r="AN274" s="310"/>
      <c r="AO274" s="310"/>
      <c r="AP274" s="12"/>
      <c r="AQ274" s="3"/>
      <c r="AR274" s="3"/>
      <c r="AS274" s="3"/>
      <c r="AT274" s="3"/>
      <c r="AU274" s="3"/>
      <c r="AV274" s="3"/>
      <c r="AW274" s="3"/>
      <c r="AX274" s="3"/>
      <c r="AY274" s="3"/>
      <c r="AZ274" s="3"/>
      <c r="BA274" s="3"/>
      <c r="BB274" s="3"/>
      <c r="BC274" s="3"/>
    </row>
    <row r="275" ht="15.75" customHeight="1">
      <c r="A275" s="12"/>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310"/>
      <c r="AH275" s="310"/>
      <c r="AI275" s="310"/>
      <c r="AJ275" s="310"/>
      <c r="AK275" s="310"/>
      <c r="AL275" s="310"/>
      <c r="AM275" s="310"/>
      <c r="AN275" s="310"/>
      <c r="AO275" s="310"/>
      <c r="AP275" s="12"/>
      <c r="AQ275" s="3"/>
      <c r="AR275" s="3"/>
      <c r="AS275" s="3"/>
      <c r="AT275" s="3"/>
      <c r="AU275" s="3"/>
      <c r="AV275" s="3"/>
      <c r="AW275" s="3"/>
      <c r="AX275" s="3"/>
      <c r="AY275" s="3"/>
      <c r="AZ275" s="3"/>
      <c r="BA275" s="3"/>
      <c r="BB275" s="3"/>
      <c r="BC275" s="3"/>
    </row>
    <row r="276" ht="15.75" customHeight="1">
      <c r="A276" s="12"/>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310"/>
      <c r="AH276" s="310"/>
      <c r="AI276" s="310"/>
      <c r="AJ276" s="310"/>
      <c r="AK276" s="310"/>
      <c r="AL276" s="310"/>
      <c r="AM276" s="310"/>
      <c r="AN276" s="310"/>
      <c r="AO276" s="310"/>
      <c r="AP276" s="12"/>
      <c r="AQ276" s="3"/>
      <c r="AR276" s="3"/>
      <c r="AS276" s="3"/>
      <c r="AT276" s="3"/>
      <c r="AU276" s="3"/>
      <c r="AV276" s="3"/>
      <c r="AW276" s="3"/>
      <c r="AX276" s="3"/>
      <c r="AY276" s="3"/>
      <c r="AZ276" s="3"/>
      <c r="BA276" s="3"/>
      <c r="BB276" s="3"/>
      <c r="BC276" s="3"/>
    </row>
    <row r="277" ht="15.75" customHeight="1">
      <c r="A277" s="12"/>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c r="AB277" s="310"/>
      <c r="AC277" s="310"/>
      <c r="AD277" s="310"/>
      <c r="AE277" s="310"/>
      <c r="AF277" s="310"/>
      <c r="AG277" s="310"/>
      <c r="AH277" s="310"/>
      <c r="AI277" s="310"/>
      <c r="AJ277" s="310"/>
      <c r="AK277" s="310"/>
      <c r="AL277" s="310"/>
      <c r="AM277" s="310"/>
      <c r="AN277" s="310"/>
      <c r="AO277" s="310"/>
      <c r="AP277" s="12"/>
      <c r="AQ277" s="3"/>
      <c r="AR277" s="3"/>
      <c r="AS277" s="3"/>
      <c r="AT277" s="3"/>
      <c r="AU277" s="3"/>
      <c r="AV277" s="3"/>
      <c r="AW277" s="3"/>
      <c r="AX277" s="3"/>
      <c r="AY277" s="3"/>
      <c r="AZ277" s="3"/>
      <c r="BA277" s="3"/>
      <c r="BB277" s="3"/>
      <c r="BC277" s="3"/>
    </row>
    <row r="278" ht="15.75" customHeight="1">
      <c r="A278" s="12"/>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310"/>
      <c r="AH278" s="310"/>
      <c r="AI278" s="310"/>
      <c r="AJ278" s="310"/>
      <c r="AK278" s="310"/>
      <c r="AL278" s="310"/>
      <c r="AM278" s="310"/>
      <c r="AN278" s="310"/>
      <c r="AO278" s="310"/>
      <c r="AP278" s="12"/>
      <c r="AQ278" s="3"/>
      <c r="AR278" s="3"/>
      <c r="AS278" s="3"/>
      <c r="AT278" s="3"/>
      <c r="AU278" s="3"/>
      <c r="AV278" s="3"/>
      <c r="AW278" s="3"/>
      <c r="AX278" s="3"/>
      <c r="AY278" s="3"/>
      <c r="AZ278" s="3"/>
      <c r="BA278" s="3"/>
      <c r="BB278" s="3"/>
      <c r="BC278" s="3"/>
    </row>
    <row r="279" ht="15.75" customHeight="1">
      <c r="A279" s="12"/>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c r="AB279" s="310"/>
      <c r="AC279" s="310"/>
      <c r="AD279" s="310"/>
      <c r="AE279" s="310"/>
      <c r="AF279" s="310"/>
      <c r="AG279" s="310"/>
      <c r="AH279" s="310"/>
      <c r="AI279" s="310"/>
      <c r="AJ279" s="310"/>
      <c r="AK279" s="310"/>
      <c r="AL279" s="310"/>
      <c r="AM279" s="310"/>
      <c r="AN279" s="310"/>
      <c r="AO279" s="310"/>
      <c r="AP279" s="12"/>
      <c r="AQ279" s="3"/>
      <c r="AR279" s="3"/>
      <c r="AS279" s="3"/>
      <c r="AT279" s="3"/>
      <c r="AU279" s="3"/>
      <c r="AV279" s="3"/>
      <c r="AW279" s="3"/>
      <c r="AX279" s="3"/>
      <c r="AY279" s="3"/>
      <c r="AZ279" s="3"/>
      <c r="BA279" s="3"/>
      <c r="BB279" s="3"/>
      <c r="BC279" s="3"/>
    </row>
    <row r="280" ht="15.75" customHeight="1">
      <c r="A280" s="12"/>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c r="AB280" s="310"/>
      <c r="AC280" s="310"/>
      <c r="AD280" s="310"/>
      <c r="AE280" s="310"/>
      <c r="AF280" s="310"/>
      <c r="AG280" s="310"/>
      <c r="AH280" s="310"/>
      <c r="AI280" s="310"/>
      <c r="AJ280" s="310"/>
      <c r="AK280" s="310"/>
      <c r="AL280" s="310"/>
      <c r="AM280" s="310"/>
      <c r="AN280" s="310"/>
      <c r="AO280" s="310"/>
      <c r="AP280" s="12"/>
      <c r="AQ280" s="3"/>
      <c r="AR280" s="3"/>
      <c r="AS280" s="3"/>
      <c r="AT280" s="3"/>
      <c r="AU280" s="3"/>
      <c r="AV280" s="3"/>
      <c r="AW280" s="3"/>
      <c r="AX280" s="3"/>
      <c r="AY280" s="3"/>
      <c r="AZ280" s="3"/>
      <c r="BA280" s="3"/>
      <c r="BB280" s="3"/>
      <c r="BC280" s="3"/>
    </row>
    <row r="281" ht="15.75" customHeight="1">
      <c r="A281" s="12"/>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c r="AA281" s="310"/>
      <c r="AB281" s="310"/>
      <c r="AC281" s="310"/>
      <c r="AD281" s="310"/>
      <c r="AE281" s="310"/>
      <c r="AF281" s="310"/>
      <c r="AG281" s="310"/>
      <c r="AH281" s="310"/>
      <c r="AI281" s="310"/>
      <c r="AJ281" s="310"/>
      <c r="AK281" s="310"/>
      <c r="AL281" s="310"/>
      <c r="AM281" s="310"/>
      <c r="AN281" s="310"/>
      <c r="AO281" s="310"/>
      <c r="AP281" s="12"/>
      <c r="AQ281" s="3"/>
      <c r="AR281" s="3"/>
      <c r="AS281" s="3"/>
      <c r="AT281" s="3"/>
      <c r="AU281" s="3"/>
      <c r="AV281" s="3"/>
      <c r="AW281" s="3"/>
      <c r="AX281" s="3"/>
      <c r="AY281" s="3"/>
      <c r="AZ281" s="3"/>
      <c r="BA281" s="3"/>
      <c r="BB281" s="3"/>
      <c r="BC281" s="3"/>
    </row>
    <row r="282" ht="15.75" customHeight="1">
      <c r="A282" s="12"/>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c r="AA282" s="310"/>
      <c r="AB282" s="310"/>
      <c r="AC282" s="310"/>
      <c r="AD282" s="310"/>
      <c r="AE282" s="310"/>
      <c r="AF282" s="310"/>
      <c r="AG282" s="310"/>
      <c r="AH282" s="310"/>
      <c r="AI282" s="310"/>
      <c r="AJ282" s="310"/>
      <c r="AK282" s="310"/>
      <c r="AL282" s="310"/>
      <c r="AM282" s="310"/>
      <c r="AN282" s="310"/>
      <c r="AO282" s="310"/>
      <c r="AP282" s="12"/>
      <c r="AQ282" s="3"/>
      <c r="AR282" s="3"/>
      <c r="AS282" s="3"/>
      <c r="AT282" s="3"/>
      <c r="AU282" s="3"/>
      <c r="AV282" s="3"/>
      <c r="AW282" s="3"/>
      <c r="AX282" s="3"/>
      <c r="AY282" s="3"/>
      <c r="AZ282" s="3"/>
      <c r="BA282" s="3"/>
      <c r="BB282" s="3"/>
      <c r="BC282" s="3"/>
    </row>
    <row r="283" ht="15.75" customHeight="1">
      <c r="A283" s="12"/>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c r="AB283" s="310"/>
      <c r="AC283" s="310"/>
      <c r="AD283" s="310"/>
      <c r="AE283" s="310"/>
      <c r="AF283" s="310"/>
      <c r="AG283" s="310"/>
      <c r="AH283" s="310"/>
      <c r="AI283" s="310"/>
      <c r="AJ283" s="310"/>
      <c r="AK283" s="310"/>
      <c r="AL283" s="310"/>
      <c r="AM283" s="310"/>
      <c r="AN283" s="310"/>
      <c r="AO283" s="310"/>
      <c r="AP283" s="12"/>
      <c r="AQ283" s="3"/>
      <c r="AR283" s="3"/>
      <c r="AS283" s="3"/>
      <c r="AT283" s="3"/>
      <c r="AU283" s="3"/>
      <c r="AV283" s="3"/>
      <c r="AW283" s="3"/>
      <c r="AX283" s="3"/>
      <c r="AY283" s="3"/>
      <c r="AZ283" s="3"/>
      <c r="BA283" s="3"/>
      <c r="BB283" s="3"/>
      <c r="BC283" s="3"/>
    </row>
    <row r="284" ht="15.75" customHeight="1">
      <c r="A284" s="12"/>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c r="AB284" s="310"/>
      <c r="AC284" s="310"/>
      <c r="AD284" s="310"/>
      <c r="AE284" s="310"/>
      <c r="AF284" s="310"/>
      <c r="AG284" s="310"/>
      <c r="AH284" s="310"/>
      <c r="AI284" s="310"/>
      <c r="AJ284" s="310"/>
      <c r="AK284" s="310"/>
      <c r="AL284" s="310"/>
      <c r="AM284" s="310"/>
      <c r="AN284" s="310"/>
      <c r="AO284" s="310"/>
      <c r="AP284" s="12"/>
      <c r="AQ284" s="3"/>
      <c r="AR284" s="3"/>
      <c r="AS284" s="3"/>
      <c r="AT284" s="3"/>
      <c r="AU284" s="3"/>
      <c r="AV284" s="3"/>
      <c r="AW284" s="3"/>
      <c r="AX284" s="3"/>
      <c r="AY284" s="3"/>
      <c r="AZ284" s="3"/>
      <c r="BA284" s="3"/>
      <c r="BB284" s="3"/>
      <c r="BC284" s="3"/>
    </row>
    <row r="285" ht="15.75" customHeight="1">
      <c r="A285" s="12"/>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c r="AA285" s="310"/>
      <c r="AB285" s="310"/>
      <c r="AC285" s="310"/>
      <c r="AD285" s="310"/>
      <c r="AE285" s="310"/>
      <c r="AF285" s="310"/>
      <c r="AG285" s="310"/>
      <c r="AH285" s="310"/>
      <c r="AI285" s="310"/>
      <c r="AJ285" s="310"/>
      <c r="AK285" s="310"/>
      <c r="AL285" s="310"/>
      <c r="AM285" s="310"/>
      <c r="AN285" s="310"/>
      <c r="AO285" s="310"/>
      <c r="AP285" s="12"/>
      <c r="AQ285" s="3"/>
      <c r="AR285" s="3"/>
      <c r="AS285" s="3"/>
      <c r="AT285" s="3"/>
      <c r="AU285" s="3"/>
      <c r="AV285" s="3"/>
      <c r="AW285" s="3"/>
      <c r="AX285" s="3"/>
      <c r="AY285" s="3"/>
      <c r="AZ285" s="3"/>
      <c r="BA285" s="3"/>
      <c r="BB285" s="3"/>
      <c r="BC285" s="3"/>
    </row>
    <row r="286" ht="15.75" customHeight="1">
      <c r="A286" s="12"/>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c r="AB286" s="310"/>
      <c r="AC286" s="310"/>
      <c r="AD286" s="310"/>
      <c r="AE286" s="310"/>
      <c r="AF286" s="310"/>
      <c r="AG286" s="310"/>
      <c r="AH286" s="310"/>
      <c r="AI286" s="310"/>
      <c r="AJ286" s="310"/>
      <c r="AK286" s="310"/>
      <c r="AL286" s="310"/>
      <c r="AM286" s="310"/>
      <c r="AN286" s="310"/>
      <c r="AO286" s="310"/>
      <c r="AP286" s="12"/>
      <c r="AQ286" s="3"/>
      <c r="AR286" s="3"/>
      <c r="AS286" s="3"/>
      <c r="AT286" s="3"/>
      <c r="AU286" s="3"/>
      <c r="AV286" s="3"/>
      <c r="AW286" s="3"/>
      <c r="AX286" s="3"/>
      <c r="AY286" s="3"/>
      <c r="AZ286" s="3"/>
      <c r="BA286" s="3"/>
      <c r="BB286" s="3"/>
      <c r="BC286" s="3"/>
    </row>
    <row r="287" ht="15.75" customHeight="1">
      <c r="A287" s="12"/>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c r="AA287" s="310"/>
      <c r="AB287" s="310"/>
      <c r="AC287" s="310"/>
      <c r="AD287" s="310"/>
      <c r="AE287" s="310"/>
      <c r="AF287" s="310"/>
      <c r="AG287" s="310"/>
      <c r="AH287" s="310"/>
      <c r="AI287" s="310"/>
      <c r="AJ287" s="310"/>
      <c r="AK287" s="310"/>
      <c r="AL287" s="310"/>
      <c r="AM287" s="310"/>
      <c r="AN287" s="310"/>
      <c r="AO287" s="310"/>
      <c r="AP287" s="12"/>
      <c r="AQ287" s="3"/>
      <c r="AR287" s="3"/>
      <c r="AS287" s="3"/>
      <c r="AT287" s="3"/>
      <c r="AU287" s="3"/>
      <c r="AV287" s="3"/>
      <c r="AW287" s="3"/>
      <c r="AX287" s="3"/>
      <c r="AY287" s="3"/>
      <c r="AZ287" s="3"/>
      <c r="BA287" s="3"/>
      <c r="BB287" s="3"/>
      <c r="BC287" s="3"/>
    </row>
    <row r="288" ht="15.75" customHeight="1">
      <c r="A288" s="12"/>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c r="AA288" s="310"/>
      <c r="AB288" s="310"/>
      <c r="AC288" s="310"/>
      <c r="AD288" s="310"/>
      <c r="AE288" s="310"/>
      <c r="AF288" s="310"/>
      <c r="AG288" s="310"/>
      <c r="AH288" s="310"/>
      <c r="AI288" s="310"/>
      <c r="AJ288" s="310"/>
      <c r="AK288" s="310"/>
      <c r="AL288" s="310"/>
      <c r="AM288" s="310"/>
      <c r="AN288" s="310"/>
      <c r="AO288" s="310"/>
      <c r="AP288" s="12"/>
      <c r="AQ288" s="3"/>
      <c r="AR288" s="3"/>
      <c r="AS288" s="3"/>
      <c r="AT288" s="3"/>
      <c r="AU288" s="3"/>
      <c r="AV288" s="3"/>
      <c r="AW288" s="3"/>
      <c r="AX288" s="3"/>
      <c r="AY288" s="3"/>
      <c r="AZ288" s="3"/>
      <c r="BA288" s="3"/>
      <c r="BB288" s="3"/>
      <c r="BC288" s="3"/>
    </row>
    <row r="289" ht="15.75" customHeight="1">
      <c r="A289" s="12"/>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c r="AA289" s="310"/>
      <c r="AB289" s="310"/>
      <c r="AC289" s="310"/>
      <c r="AD289" s="310"/>
      <c r="AE289" s="310"/>
      <c r="AF289" s="310"/>
      <c r="AG289" s="310"/>
      <c r="AH289" s="310"/>
      <c r="AI289" s="310"/>
      <c r="AJ289" s="310"/>
      <c r="AK289" s="310"/>
      <c r="AL289" s="310"/>
      <c r="AM289" s="310"/>
      <c r="AN289" s="310"/>
      <c r="AO289" s="310"/>
      <c r="AP289" s="12"/>
      <c r="AQ289" s="3"/>
      <c r="AR289" s="3"/>
      <c r="AS289" s="3"/>
      <c r="AT289" s="3"/>
      <c r="AU289" s="3"/>
      <c r="AV289" s="3"/>
      <c r="AW289" s="3"/>
      <c r="AX289" s="3"/>
      <c r="AY289" s="3"/>
      <c r="AZ289" s="3"/>
      <c r="BA289" s="3"/>
      <c r="BB289" s="3"/>
      <c r="BC289" s="3"/>
    </row>
    <row r="290" ht="15.75" customHeight="1">
      <c r="A290" s="12"/>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c r="AA290" s="310"/>
      <c r="AB290" s="310"/>
      <c r="AC290" s="310"/>
      <c r="AD290" s="310"/>
      <c r="AE290" s="310"/>
      <c r="AF290" s="310"/>
      <c r="AG290" s="310"/>
      <c r="AH290" s="310"/>
      <c r="AI290" s="310"/>
      <c r="AJ290" s="310"/>
      <c r="AK290" s="310"/>
      <c r="AL290" s="310"/>
      <c r="AM290" s="310"/>
      <c r="AN290" s="310"/>
      <c r="AO290" s="310"/>
      <c r="AP290" s="12"/>
      <c r="AQ290" s="3"/>
      <c r="AR290" s="3"/>
      <c r="AS290" s="3"/>
      <c r="AT290" s="3"/>
      <c r="AU290" s="3"/>
      <c r="AV290" s="3"/>
      <c r="AW290" s="3"/>
      <c r="AX290" s="3"/>
      <c r="AY290" s="3"/>
      <c r="AZ290" s="3"/>
      <c r="BA290" s="3"/>
      <c r="BB290" s="3"/>
      <c r="BC290" s="3"/>
    </row>
    <row r="291" ht="15.75" customHeight="1">
      <c r="A291" s="12"/>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c r="AA291" s="310"/>
      <c r="AB291" s="310"/>
      <c r="AC291" s="310"/>
      <c r="AD291" s="310"/>
      <c r="AE291" s="310"/>
      <c r="AF291" s="310"/>
      <c r="AG291" s="310"/>
      <c r="AH291" s="310"/>
      <c r="AI291" s="310"/>
      <c r="AJ291" s="310"/>
      <c r="AK291" s="310"/>
      <c r="AL291" s="310"/>
      <c r="AM291" s="310"/>
      <c r="AN291" s="310"/>
      <c r="AO291" s="310"/>
      <c r="AP291" s="12"/>
      <c r="AQ291" s="3"/>
      <c r="AR291" s="3"/>
      <c r="AS291" s="3"/>
      <c r="AT291" s="3"/>
      <c r="AU291" s="3"/>
      <c r="AV291" s="3"/>
      <c r="AW291" s="3"/>
      <c r="AX291" s="3"/>
      <c r="AY291" s="3"/>
      <c r="AZ291" s="3"/>
      <c r="BA291" s="3"/>
      <c r="BB291" s="3"/>
      <c r="BC291" s="3"/>
    </row>
    <row r="292" ht="15.75" customHeight="1">
      <c r="A292" s="12"/>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c r="AA292" s="310"/>
      <c r="AB292" s="310"/>
      <c r="AC292" s="310"/>
      <c r="AD292" s="310"/>
      <c r="AE292" s="310"/>
      <c r="AF292" s="310"/>
      <c r="AG292" s="310"/>
      <c r="AH292" s="310"/>
      <c r="AI292" s="310"/>
      <c r="AJ292" s="310"/>
      <c r="AK292" s="310"/>
      <c r="AL292" s="310"/>
      <c r="AM292" s="310"/>
      <c r="AN292" s="310"/>
      <c r="AO292" s="310"/>
      <c r="AP292" s="12"/>
      <c r="AQ292" s="3"/>
      <c r="AR292" s="3"/>
      <c r="AS292" s="3"/>
      <c r="AT292" s="3"/>
      <c r="AU292" s="3"/>
      <c r="AV292" s="3"/>
      <c r="AW292" s="3"/>
      <c r="AX292" s="3"/>
      <c r="AY292" s="3"/>
      <c r="AZ292" s="3"/>
      <c r="BA292" s="3"/>
      <c r="BB292" s="3"/>
      <c r="BC292" s="3"/>
    </row>
    <row r="293" ht="15.75" customHeight="1">
      <c r="A293" s="12"/>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c r="AB293" s="310"/>
      <c r="AC293" s="310"/>
      <c r="AD293" s="310"/>
      <c r="AE293" s="310"/>
      <c r="AF293" s="310"/>
      <c r="AG293" s="310"/>
      <c r="AH293" s="310"/>
      <c r="AI293" s="310"/>
      <c r="AJ293" s="310"/>
      <c r="AK293" s="310"/>
      <c r="AL293" s="310"/>
      <c r="AM293" s="310"/>
      <c r="AN293" s="310"/>
      <c r="AO293" s="310"/>
      <c r="AP293" s="12"/>
      <c r="AQ293" s="3"/>
      <c r="AR293" s="3"/>
      <c r="AS293" s="3"/>
      <c r="AT293" s="3"/>
      <c r="AU293" s="3"/>
      <c r="AV293" s="3"/>
      <c r="AW293" s="3"/>
      <c r="AX293" s="3"/>
      <c r="AY293" s="3"/>
      <c r="AZ293" s="3"/>
      <c r="BA293" s="3"/>
      <c r="BB293" s="3"/>
      <c r="BC293" s="3"/>
    </row>
    <row r="294" ht="15.75" customHeight="1">
      <c r="A294" s="12"/>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c r="AB294" s="310"/>
      <c r="AC294" s="310"/>
      <c r="AD294" s="310"/>
      <c r="AE294" s="310"/>
      <c r="AF294" s="310"/>
      <c r="AG294" s="310"/>
      <c r="AH294" s="310"/>
      <c r="AI294" s="310"/>
      <c r="AJ294" s="310"/>
      <c r="AK294" s="310"/>
      <c r="AL294" s="310"/>
      <c r="AM294" s="310"/>
      <c r="AN294" s="310"/>
      <c r="AO294" s="310"/>
      <c r="AP294" s="12"/>
      <c r="AQ294" s="3"/>
      <c r="AR294" s="3"/>
      <c r="AS294" s="3"/>
      <c r="AT294" s="3"/>
      <c r="AU294" s="3"/>
      <c r="AV294" s="3"/>
      <c r="AW294" s="3"/>
      <c r="AX294" s="3"/>
      <c r="AY294" s="3"/>
      <c r="AZ294" s="3"/>
      <c r="BA294" s="3"/>
      <c r="BB294" s="3"/>
      <c r="BC294" s="3"/>
    </row>
    <row r="295" ht="15.75" customHeight="1">
      <c r="A295" s="12"/>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c r="AA295" s="310"/>
      <c r="AB295" s="310"/>
      <c r="AC295" s="310"/>
      <c r="AD295" s="310"/>
      <c r="AE295" s="310"/>
      <c r="AF295" s="310"/>
      <c r="AG295" s="310"/>
      <c r="AH295" s="310"/>
      <c r="AI295" s="310"/>
      <c r="AJ295" s="310"/>
      <c r="AK295" s="310"/>
      <c r="AL295" s="310"/>
      <c r="AM295" s="310"/>
      <c r="AN295" s="310"/>
      <c r="AO295" s="310"/>
      <c r="AP295" s="12"/>
      <c r="AQ295" s="3"/>
      <c r="AR295" s="3"/>
      <c r="AS295" s="3"/>
      <c r="AT295" s="3"/>
      <c r="AU295" s="3"/>
      <c r="AV295" s="3"/>
      <c r="AW295" s="3"/>
      <c r="AX295" s="3"/>
      <c r="AY295" s="3"/>
      <c r="AZ295" s="3"/>
      <c r="BA295" s="3"/>
      <c r="BB295" s="3"/>
      <c r="BC295" s="3"/>
    </row>
    <row r="296" ht="15.75" customHeight="1">
      <c r="A296" s="12"/>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c r="AA296" s="310"/>
      <c r="AB296" s="310"/>
      <c r="AC296" s="310"/>
      <c r="AD296" s="310"/>
      <c r="AE296" s="310"/>
      <c r="AF296" s="310"/>
      <c r="AG296" s="310"/>
      <c r="AH296" s="310"/>
      <c r="AI296" s="310"/>
      <c r="AJ296" s="310"/>
      <c r="AK296" s="310"/>
      <c r="AL296" s="310"/>
      <c r="AM296" s="310"/>
      <c r="AN296" s="310"/>
      <c r="AO296" s="310"/>
      <c r="AP296" s="12"/>
      <c r="AQ296" s="3"/>
      <c r="AR296" s="3"/>
      <c r="AS296" s="3"/>
      <c r="AT296" s="3"/>
      <c r="AU296" s="3"/>
      <c r="AV296" s="3"/>
      <c r="AW296" s="3"/>
      <c r="AX296" s="3"/>
      <c r="AY296" s="3"/>
      <c r="AZ296" s="3"/>
      <c r="BA296" s="3"/>
      <c r="BB296" s="3"/>
      <c r="BC296" s="3"/>
    </row>
    <row r="297" ht="15.75" customHeight="1">
      <c r="A297" s="12"/>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310"/>
      <c r="AH297" s="310"/>
      <c r="AI297" s="310"/>
      <c r="AJ297" s="310"/>
      <c r="AK297" s="310"/>
      <c r="AL297" s="310"/>
      <c r="AM297" s="310"/>
      <c r="AN297" s="310"/>
      <c r="AO297" s="310"/>
      <c r="AP297" s="12"/>
      <c r="AQ297" s="3"/>
      <c r="AR297" s="3"/>
      <c r="AS297" s="3"/>
      <c r="AT297" s="3"/>
      <c r="AU297" s="3"/>
      <c r="AV297" s="3"/>
      <c r="AW297" s="3"/>
      <c r="AX297" s="3"/>
      <c r="AY297" s="3"/>
      <c r="AZ297" s="3"/>
      <c r="BA297" s="3"/>
      <c r="BB297" s="3"/>
      <c r="BC297" s="3"/>
    </row>
    <row r="298" ht="15.75" customHeight="1">
      <c r="A298" s="12"/>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c r="AA298" s="310"/>
      <c r="AB298" s="310"/>
      <c r="AC298" s="310"/>
      <c r="AD298" s="310"/>
      <c r="AE298" s="310"/>
      <c r="AF298" s="310"/>
      <c r="AG298" s="310"/>
      <c r="AH298" s="310"/>
      <c r="AI298" s="310"/>
      <c r="AJ298" s="310"/>
      <c r="AK298" s="310"/>
      <c r="AL298" s="310"/>
      <c r="AM298" s="310"/>
      <c r="AN298" s="310"/>
      <c r="AO298" s="310"/>
      <c r="AP298" s="12"/>
      <c r="AQ298" s="3"/>
      <c r="AR298" s="3"/>
      <c r="AS298" s="3"/>
      <c r="AT298" s="3"/>
      <c r="AU298" s="3"/>
      <c r="AV298" s="3"/>
      <c r="AW298" s="3"/>
      <c r="AX298" s="3"/>
      <c r="AY298" s="3"/>
      <c r="AZ298" s="3"/>
      <c r="BA298" s="3"/>
      <c r="BB298" s="3"/>
      <c r="BC298" s="3"/>
    </row>
    <row r="299" ht="15.75" customHeight="1">
      <c r="A299" s="12"/>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c r="AA299" s="310"/>
      <c r="AB299" s="310"/>
      <c r="AC299" s="310"/>
      <c r="AD299" s="310"/>
      <c r="AE299" s="310"/>
      <c r="AF299" s="310"/>
      <c r="AG299" s="310"/>
      <c r="AH299" s="310"/>
      <c r="AI299" s="310"/>
      <c r="AJ299" s="310"/>
      <c r="AK299" s="310"/>
      <c r="AL299" s="310"/>
      <c r="AM299" s="310"/>
      <c r="AN299" s="310"/>
      <c r="AO299" s="310"/>
      <c r="AP299" s="12"/>
      <c r="AQ299" s="3"/>
      <c r="AR299" s="3"/>
      <c r="AS299" s="3"/>
      <c r="AT299" s="3"/>
      <c r="AU299" s="3"/>
      <c r="AV299" s="3"/>
      <c r="AW299" s="3"/>
      <c r="AX299" s="3"/>
      <c r="AY299" s="3"/>
      <c r="AZ299" s="3"/>
      <c r="BA299" s="3"/>
      <c r="BB299" s="3"/>
      <c r="BC299" s="3"/>
    </row>
    <row r="300" ht="15.75" customHeight="1">
      <c r="A300" s="12"/>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c r="AA300" s="310"/>
      <c r="AB300" s="310"/>
      <c r="AC300" s="310"/>
      <c r="AD300" s="310"/>
      <c r="AE300" s="310"/>
      <c r="AF300" s="310"/>
      <c r="AG300" s="310"/>
      <c r="AH300" s="310"/>
      <c r="AI300" s="310"/>
      <c r="AJ300" s="310"/>
      <c r="AK300" s="310"/>
      <c r="AL300" s="310"/>
      <c r="AM300" s="310"/>
      <c r="AN300" s="310"/>
      <c r="AO300" s="310"/>
      <c r="AP300" s="12"/>
      <c r="AQ300" s="3"/>
      <c r="AR300" s="3"/>
      <c r="AS300" s="3"/>
      <c r="AT300" s="3"/>
      <c r="AU300" s="3"/>
      <c r="AV300" s="3"/>
      <c r="AW300" s="3"/>
      <c r="AX300" s="3"/>
      <c r="AY300" s="3"/>
      <c r="AZ300" s="3"/>
      <c r="BA300" s="3"/>
      <c r="BB300" s="3"/>
      <c r="BC300" s="3"/>
    </row>
    <row r="301" ht="15.75" customHeight="1">
      <c r="A301" s="12"/>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c r="AA301" s="310"/>
      <c r="AB301" s="310"/>
      <c r="AC301" s="310"/>
      <c r="AD301" s="310"/>
      <c r="AE301" s="310"/>
      <c r="AF301" s="310"/>
      <c r="AG301" s="310"/>
      <c r="AH301" s="310"/>
      <c r="AI301" s="310"/>
      <c r="AJ301" s="310"/>
      <c r="AK301" s="310"/>
      <c r="AL301" s="310"/>
      <c r="AM301" s="310"/>
      <c r="AN301" s="310"/>
      <c r="AO301" s="310"/>
      <c r="AP301" s="12"/>
      <c r="AQ301" s="3"/>
      <c r="AR301" s="3"/>
      <c r="AS301" s="3"/>
      <c r="AT301" s="3"/>
      <c r="AU301" s="3"/>
      <c r="AV301" s="3"/>
      <c r="AW301" s="3"/>
      <c r="AX301" s="3"/>
      <c r="AY301" s="3"/>
      <c r="AZ301" s="3"/>
      <c r="BA301" s="3"/>
      <c r="BB301" s="3"/>
      <c r="BC301" s="3"/>
    </row>
    <row r="302" ht="15.75" customHeight="1">
      <c r="A302" s="12"/>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c r="AA302" s="310"/>
      <c r="AB302" s="310"/>
      <c r="AC302" s="310"/>
      <c r="AD302" s="310"/>
      <c r="AE302" s="310"/>
      <c r="AF302" s="310"/>
      <c r="AG302" s="310"/>
      <c r="AH302" s="310"/>
      <c r="AI302" s="310"/>
      <c r="AJ302" s="310"/>
      <c r="AK302" s="310"/>
      <c r="AL302" s="310"/>
      <c r="AM302" s="310"/>
      <c r="AN302" s="310"/>
      <c r="AO302" s="310"/>
      <c r="AP302" s="12"/>
      <c r="AQ302" s="3"/>
      <c r="AR302" s="3"/>
      <c r="AS302" s="3"/>
      <c r="AT302" s="3"/>
      <c r="AU302" s="3"/>
      <c r="AV302" s="3"/>
      <c r="AW302" s="3"/>
      <c r="AX302" s="3"/>
      <c r="AY302" s="3"/>
      <c r="AZ302" s="3"/>
      <c r="BA302" s="3"/>
      <c r="BB302" s="3"/>
      <c r="BC302" s="3"/>
    </row>
    <row r="303" ht="15.75" customHeight="1">
      <c r="A303" s="12"/>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10"/>
      <c r="AC303" s="310"/>
      <c r="AD303" s="310"/>
      <c r="AE303" s="310"/>
      <c r="AF303" s="310"/>
      <c r="AG303" s="310"/>
      <c r="AH303" s="310"/>
      <c r="AI303" s="310"/>
      <c r="AJ303" s="310"/>
      <c r="AK303" s="310"/>
      <c r="AL303" s="310"/>
      <c r="AM303" s="310"/>
      <c r="AN303" s="310"/>
      <c r="AO303" s="310"/>
      <c r="AP303" s="12"/>
      <c r="AQ303" s="3"/>
      <c r="AR303" s="3"/>
      <c r="AS303" s="3"/>
      <c r="AT303" s="3"/>
      <c r="AU303" s="3"/>
      <c r="AV303" s="3"/>
      <c r="AW303" s="3"/>
      <c r="AX303" s="3"/>
      <c r="AY303" s="3"/>
      <c r="AZ303" s="3"/>
      <c r="BA303" s="3"/>
      <c r="BB303" s="3"/>
      <c r="BC303" s="3"/>
    </row>
    <row r="304" ht="15.75" customHeight="1">
      <c r="A304" s="12"/>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c r="AA304" s="310"/>
      <c r="AB304" s="310"/>
      <c r="AC304" s="310"/>
      <c r="AD304" s="310"/>
      <c r="AE304" s="310"/>
      <c r="AF304" s="310"/>
      <c r="AG304" s="310"/>
      <c r="AH304" s="310"/>
      <c r="AI304" s="310"/>
      <c r="AJ304" s="310"/>
      <c r="AK304" s="310"/>
      <c r="AL304" s="310"/>
      <c r="AM304" s="310"/>
      <c r="AN304" s="310"/>
      <c r="AO304" s="310"/>
      <c r="AP304" s="12"/>
      <c r="AQ304" s="3"/>
      <c r="AR304" s="3"/>
      <c r="AS304" s="3"/>
      <c r="AT304" s="3"/>
      <c r="AU304" s="3"/>
      <c r="AV304" s="3"/>
      <c r="AW304" s="3"/>
      <c r="AX304" s="3"/>
      <c r="AY304" s="3"/>
      <c r="AZ304" s="3"/>
      <c r="BA304" s="3"/>
      <c r="BB304" s="3"/>
      <c r="BC304" s="3"/>
    </row>
    <row r="305" ht="15.75" customHeight="1">
      <c r="A305" s="12"/>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c r="AA305" s="310"/>
      <c r="AB305" s="310"/>
      <c r="AC305" s="310"/>
      <c r="AD305" s="310"/>
      <c r="AE305" s="310"/>
      <c r="AF305" s="310"/>
      <c r="AG305" s="310"/>
      <c r="AH305" s="310"/>
      <c r="AI305" s="310"/>
      <c r="AJ305" s="310"/>
      <c r="AK305" s="310"/>
      <c r="AL305" s="310"/>
      <c r="AM305" s="310"/>
      <c r="AN305" s="310"/>
      <c r="AO305" s="310"/>
      <c r="AP305" s="12"/>
      <c r="AQ305" s="3"/>
      <c r="AR305" s="3"/>
      <c r="AS305" s="3"/>
      <c r="AT305" s="3"/>
      <c r="AU305" s="3"/>
      <c r="AV305" s="3"/>
      <c r="AW305" s="3"/>
      <c r="AX305" s="3"/>
      <c r="AY305" s="3"/>
      <c r="AZ305" s="3"/>
      <c r="BA305" s="3"/>
      <c r="BB305" s="3"/>
      <c r="BC305" s="3"/>
    </row>
    <row r="306" ht="15.75" customHeight="1">
      <c r="A306" s="12"/>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c r="AA306" s="310"/>
      <c r="AB306" s="310"/>
      <c r="AC306" s="310"/>
      <c r="AD306" s="310"/>
      <c r="AE306" s="310"/>
      <c r="AF306" s="310"/>
      <c r="AG306" s="310"/>
      <c r="AH306" s="310"/>
      <c r="AI306" s="310"/>
      <c r="AJ306" s="310"/>
      <c r="AK306" s="310"/>
      <c r="AL306" s="310"/>
      <c r="AM306" s="310"/>
      <c r="AN306" s="310"/>
      <c r="AO306" s="310"/>
      <c r="AP306" s="12"/>
      <c r="AQ306" s="3"/>
      <c r="AR306" s="3"/>
      <c r="AS306" s="3"/>
      <c r="AT306" s="3"/>
      <c r="AU306" s="3"/>
      <c r="AV306" s="3"/>
      <c r="AW306" s="3"/>
      <c r="AX306" s="3"/>
      <c r="AY306" s="3"/>
      <c r="AZ306" s="3"/>
      <c r="BA306" s="3"/>
      <c r="BB306" s="3"/>
      <c r="BC306" s="3"/>
    </row>
    <row r="307" ht="15.75" customHeight="1">
      <c r="A307" s="12"/>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c r="AA307" s="310"/>
      <c r="AB307" s="310"/>
      <c r="AC307" s="310"/>
      <c r="AD307" s="310"/>
      <c r="AE307" s="310"/>
      <c r="AF307" s="310"/>
      <c r="AG307" s="310"/>
      <c r="AH307" s="310"/>
      <c r="AI307" s="310"/>
      <c r="AJ307" s="310"/>
      <c r="AK307" s="310"/>
      <c r="AL307" s="310"/>
      <c r="AM307" s="310"/>
      <c r="AN307" s="310"/>
      <c r="AO307" s="310"/>
      <c r="AP307" s="12"/>
      <c r="AQ307" s="3"/>
      <c r="AR307" s="3"/>
      <c r="AS307" s="3"/>
      <c r="AT307" s="3"/>
      <c r="AU307" s="3"/>
      <c r="AV307" s="3"/>
      <c r="AW307" s="3"/>
      <c r="AX307" s="3"/>
      <c r="AY307" s="3"/>
      <c r="AZ307" s="3"/>
      <c r="BA307" s="3"/>
      <c r="BB307" s="3"/>
      <c r="BC307" s="3"/>
    </row>
    <row r="308" ht="15.75" customHeight="1">
      <c r="A308" s="12"/>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c r="AA308" s="310"/>
      <c r="AB308" s="310"/>
      <c r="AC308" s="310"/>
      <c r="AD308" s="310"/>
      <c r="AE308" s="310"/>
      <c r="AF308" s="310"/>
      <c r="AG308" s="310"/>
      <c r="AH308" s="310"/>
      <c r="AI308" s="310"/>
      <c r="AJ308" s="310"/>
      <c r="AK308" s="310"/>
      <c r="AL308" s="310"/>
      <c r="AM308" s="310"/>
      <c r="AN308" s="310"/>
      <c r="AO308" s="310"/>
      <c r="AP308" s="12"/>
      <c r="AQ308" s="3"/>
      <c r="AR308" s="3"/>
      <c r="AS308" s="3"/>
      <c r="AT308" s="3"/>
      <c r="AU308" s="3"/>
      <c r="AV308" s="3"/>
      <c r="AW308" s="3"/>
      <c r="AX308" s="3"/>
      <c r="AY308" s="3"/>
      <c r="AZ308" s="3"/>
      <c r="BA308" s="3"/>
      <c r="BB308" s="3"/>
      <c r="BC308" s="3"/>
    </row>
    <row r="309" ht="15.75" customHeight="1">
      <c r="A309" s="12"/>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c r="AA309" s="310"/>
      <c r="AB309" s="310"/>
      <c r="AC309" s="310"/>
      <c r="AD309" s="310"/>
      <c r="AE309" s="310"/>
      <c r="AF309" s="310"/>
      <c r="AG309" s="310"/>
      <c r="AH309" s="310"/>
      <c r="AI309" s="310"/>
      <c r="AJ309" s="310"/>
      <c r="AK309" s="310"/>
      <c r="AL309" s="310"/>
      <c r="AM309" s="310"/>
      <c r="AN309" s="310"/>
      <c r="AO309" s="310"/>
      <c r="AP309" s="12"/>
      <c r="AQ309" s="3"/>
      <c r="AR309" s="3"/>
      <c r="AS309" s="3"/>
      <c r="AT309" s="3"/>
      <c r="AU309" s="3"/>
      <c r="AV309" s="3"/>
      <c r="AW309" s="3"/>
      <c r="AX309" s="3"/>
      <c r="AY309" s="3"/>
      <c r="AZ309" s="3"/>
      <c r="BA309" s="3"/>
      <c r="BB309" s="3"/>
      <c r="BC309" s="3"/>
    </row>
    <row r="310" ht="15.75" customHeight="1">
      <c r="A310" s="12"/>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c r="AA310" s="310"/>
      <c r="AB310" s="310"/>
      <c r="AC310" s="310"/>
      <c r="AD310" s="310"/>
      <c r="AE310" s="310"/>
      <c r="AF310" s="310"/>
      <c r="AG310" s="310"/>
      <c r="AH310" s="310"/>
      <c r="AI310" s="310"/>
      <c r="AJ310" s="310"/>
      <c r="AK310" s="310"/>
      <c r="AL310" s="310"/>
      <c r="AM310" s="310"/>
      <c r="AN310" s="310"/>
      <c r="AO310" s="310"/>
      <c r="AP310" s="12"/>
      <c r="AQ310" s="3"/>
      <c r="AR310" s="3"/>
      <c r="AS310" s="3"/>
      <c r="AT310" s="3"/>
      <c r="AU310" s="3"/>
      <c r="AV310" s="3"/>
      <c r="AW310" s="3"/>
      <c r="AX310" s="3"/>
      <c r="AY310" s="3"/>
      <c r="AZ310" s="3"/>
      <c r="BA310" s="3"/>
      <c r="BB310" s="3"/>
      <c r="BC310" s="3"/>
    </row>
    <row r="311" ht="15.75" customHeight="1">
      <c r="A311" s="12"/>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c r="AA311" s="310"/>
      <c r="AB311" s="310"/>
      <c r="AC311" s="310"/>
      <c r="AD311" s="310"/>
      <c r="AE311" s="310"/>
      <c r="AF311" s="310"/>
      <c r="AG311" s="310"/>
      <c r="AH311" s="310"/>
      <c r="AI311" s="310"/>
      <c r="AJ311" s="310"/>
      <c r="AK311" s="310"/>
      <c r="AL311" s="310"/>
      <c r="AM311" s="310"/>
      <c r="AN311" s="310"/>
      <c r="AO311" s="310"/>
      <c r="AP311" s="12"/>
      <c r="AQ311" s="3"/>
      <c r="AR311" s="3"/>
      <c r="AS311" s="3"/>
      <c r="AT311" s="3"/>
      <c r="AU311" s="3"/>
      <c r="AV311" s="3"/>
      <c r="AW311" s="3"/>
      <c r="AX311" s="3"/>
      <c r="AY311" s="3"/>
      <c r="AZ311" s="3"/>
      <c r="BA311" s="3"/>
      <c r="BB311" s="3"/>
      <c r="BC311" s="3"/>
    </row>
    <row r="312" ht="15.75" customHeight="1">
      <c r="A312" s="12"/>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c r="AA312" s="310"/>
      <c r="AB312" s="310"/>
      <c r="AC312" s="310"/>
      <c r="AD312" s="310"/>
      <c r="AE312" s="310"/>
      <c r="AF312" s="310"/>
      <c r="AG312" s="310"/>
      <c r="AH312" s="310"/>
      <c r="AI312" s="310"/>
      <c r="AJ312" s="310"/>
      <c r="AK312" s="310"/>
      <c r="AL312" s="310"/>
      <c r="AM312" s="310"/>
      <c r="AN312" s="310"/>
      <c r="AO312" s="310"/>
      <c r="AP312" s="12"/>
      <c r="AQ312" s="3"/>
      <c r="AR312" s="3"/>
      <c r="AS312" s="3"/>
      <c r="AT312" s="3"/>
      <c r="AU312" s="3"/>
      <c r="AV312" s="3"/>
      <c r="AW312" s="3"/>
      <c r="AX312" s="3"/>
      <c r="AY312" s="3"/>
      <c r="AZ312" s="3"/>
      <c r="BA312" s="3"/>
      <c r="BB312" s="3"/>
      <c r="BC312" s="3"/>
    </row>
    <row r="313" ht="15.75" customHeight="1">
      <c r="A313" s="12"/>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c r="AA313" s="310"/>
      <c r="AB313" s="310"/>
      <c r="AC313" s="310"/>
      <c r="AD313" s="310"/>
      <c r="AE313" s="310"/>
      <c r="AF313" s="310"/>
      <c r="AG313" s="310"/>
      <c r="AH313" s="310"/>
      <c r="AI313" s="310"/>
      <c r="AJ313" s="310"/>
      <c r="AK313" s="310"/>
      <c r="AL313" s="310"/>
      <c r="AM313" s="310"/>
      <c r="AN313" s="310"/>
      <c r="AO313" s="310"/>
      <c r="AP313" s="12"/>
      <c r="AQ313" s="3"/>
      <c r="AR313" s="3"/>
      <c r="AS313" s="3"/>
      <c r="AT313" s="3"/>
      <c r="AU313" s="3"/>
      <c r="AV313" s="3"/>
      <c r="AW313" s="3"/>
      <c r="AX313" s="3"/>
      <c r="AY313" s="3"/>
      <c r="AZ313" s="3"/>
      <c r="BA313" s="3"/>
      <c r="BB313" s="3"/>
      <c r="BC313" s="3"/>
    </row>
    <row r="314" ht="15.75" customHeight="1">
      <c r="A314" s="12"/>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c r="AB314" s="310"/>
      <c r="AC314" s="310"/>
      <c r="AD314" s="310"/>
      <c r="AE314" s="310"/>
      <c r="AF314" s="310"/>
      <c r="AG314" s="310"/>
      <c r="AH314" s="310"/>
      <c r="AI314" s="310"/>
      <c r="AJ314" s="310"/>
      <c r="AK314" s="310"/>
      <c r="AL314" s="310"/>
      <c r="AM314" s="310"/>
      <c r="AN314" s="310"/>
      <c r="AO314" s="310"/>
      <c r="AP314" s="12"/>
      <c r="AQ314" s="3"/>
      <c r="AR314" s="3"/>
      <c r="AS314" s="3"/>
      <c r="AT314" s="3"/>
      <c r="AU314" s="3"/>
      <c r="AV314" s="3"/>
      <c r="AW314" s="3"/>
      <c r="AX314" s="3"/>
      <c r="AY314" s="3"/>
      <c r="AZ314" s="3"/>
      <c r="BA314" s="3"/>
      <c r="BB314" s="3"/>
      <c r="BC314" s="3"/>
    </row>
    <row r="315" ht="15.75" customHeight="1">
      <c r="A315" s="12"/>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c r="AA315" s="310"/>
      <c r="AB315" s="310"/>
      <c r="AC315" s="310"/>
      <c r="AD315" s="310"/>
      <c r="AE315" s="310"/>
      <c r="AF315" s="310"/>
      <c r="AG315" s="310"/>
      <c r="AH315" s="310"/>
      <c r="AI315" s="310"/>
      <c r="AJ315" s="310"/>
      <c r="AK315" s="310"/>
      <c r="AL315" s="310"/>
      <c r="AM315" s="310"/>
      <c r="AN315" s="310"/>
      <c r="AO315" s="310"/>
      <c r="AP315" s="12"/>
      <c r="AQ315" s="3"/>
      <c r="AR315" s="3"/>
      <c r="AS315" s="3"/>
      <c r="AT315" s="3"/>
      <c r="AU315" s="3"/>
      <c r="AV315" s="3"/>
      <c r="AW315" s="3"/>
      <c r="AX315" s="3"/>
      <c r="AY315" s="3"/>
      <c r="AZ315" s="3"/>
      <c r="BA315" s="3"/>
      <c r="BB315" s="3"/>
      <c r="BC315" s="3"/>
    </row>
    <row r="316" ht="15.75" customHeight="1">
      <c r="A316" s="12"/>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c r="AA316" s="310"/>
      <c r="AB316" s="310"/>
      <c r="AC316" s="310"/>
      <c r="AD316" s="310"/>
      <c r="AE316" s="310"/>
      <c r="AF316" s="310"/>
      <c r="AG316" s="310"/>
      <c r="AH316" s="310"/>
      <c r="AI316" s="310"/>
      <c r="AJ316" s="310"/>
      <c r="AK316" s="310"/>
      <c r="AL316" s="310"/>
      <c r="AM316" s="310"/>
      <c r="AN316" s="310"/>
      <c r="AO316" s="310"/>
      <c r="AP316" s="12"/>
      <c r="AQ316" s="3"/>
      <c r="AR316" s="3"/>
      <c r="AS316" s="3"/>
      <c r="AT316" s="3"/>
      <c r="AU316" s="3"/>
      <c r="AV316" s="3"/>
      <c r="AW316" s="3"/>
      <c r="AX316" s="3"/>
      <c r="AY316" s="3"/>
      <c r="AZ316" s="3"/>
      <c r="BA316" s="3"/>
      <c r="BB316" s="3"/>
      <c r="BC316" s="3"/>
    </row>
    <row r="317" ht="15.75" customHeight="1">
      <c r="A317" s="12"/>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c r="AA317" s="310"/>
      <c r="AB317" s="310"/>
      <c r="AC317" s="310"/>
      <c r="AD317" s="310"/>
      <c r="AE317" s="310"/>
      <c r="AF317" s="310"/>
      <c r="AG317" s="310"/>
      <c r="AH317" s="310"/>
      <c r="AI317" s="310"/>
      <c r="AJ317" s="310"/>
      <c r="AK317" s="310"/>
      <c r="AL317" s="310"/>
      <c r="AM317" s="310"/>
      <c r="AN317" s="310"/>
      <c r="AO317" s="310"/>
      <c r="AP317" s="12"/>
      <c r="AQ317" s="3"/>
      <c r="AR317" s="3"/>
      <c r="AS317" s="3"/>
      <c r="AT317" s="3"/>
      <c r="AU317" s="3"/>
      <c r="AV317" s="3"/>
      <c r="AW317" s="3"/>
      <c r="AX317" s="3"/>
      <c r="AY317" s="3"/>
      <c r="AZ317" s="3"/>
      <c r="BA317" s="3"/>
      <c r="BB317" s="3"/>
      <c r="BC317" s="3"/>
    </row>
    <row r="318" ht="15.75" customHeight="1">
      <c r="A318" s="12"/>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c r="AA318" s="310"/>
      <c r="AB318" s="310"/>
      <c r="AC318" s="310"/>
      <c r="AD318" s="310"/>
      <c r="AE318" s="310"/>
      <c r="AF318" s="310"/>
      <c r="AG318" s="310"/>
      <c r="AH318" s="310"/>
      <c r="AI318" s="310"/>
      <c r="AJ318" s="310"/>
      <c r="AK318" s="310"/>
      <c r="AL318" s="310"/>
      <c r="AM318" s="310"/>
      <c r="AN318" s="310"/>
      <c r="AO318" s="310"/>
      <c r="AP318" s="12"/>
      <c r="AQ318" s="3"/>
      <c r="AR318" s="3"/>
      <c r="AS318" s="3"/>
      <c r="AT318" s="3"/>
      <c r="AU318" s="3"/>
      <c r="AV318" s="3"/>
      <c r="AW318" s="3"/>
      <c r="AX318" s="3"/>
      <c r="AY318" s="3"/>
      <c r="AZ318" s="3"/>
      <c r="BA318" s="3"/>
      <c r="BB318" s="3"/>
      <c r="BC318" s="3"/>
    </row>
    <row r="319" ht="15.75" customHeight="1">
      <c r="A319" s="12"/>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c r="AA319" s="310"/>
      <c r="AB319" s="310"/>
      <c r="AC319" s="310"/>
      <c r="AD319" s="310"/>
      <c r="AE319" s="310"/>
      <c r="AF319" s="310"/>
      <c r="AG319" s="310"/>
      <c r="AH319" s="310"/>
      <c r="AI319" s="310"/>
      <c r="AJ319" s="310"/>
      <c r="AK319" s="310"/>
      <c r="AL319" s="310"/>
      <c r="AM319" s="310"/>
      <c r="AN319" s="310"/>
      <c r="AO319" s="310"/>
      <c r="AP319" s="12"/>
      <c r="AQ319" s="3"/>
      <c r="AR319" s="3"/>
      <c r="AS319" s="3"/>
      <c r="AT319" s="3"/>
      <c r="AU319" s="3"/>
      <c r="AV319" s="3"/>
      <c r="AW319" s="3"/>
      <c r="AX319" s="3"/>
      <c r="AY319" s="3"/>
      <c r="AZ319" s="3"/>
      <c r="BA319" s="3"/>
      <c r="BB319" s="3"/>
      <c r="BC319" s="3"/>
    </row>
    <row r="320" ht="15.75" customHeight="1">
      <c r="A320" s="12"/>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c r="AA320" s="310"/>
      <c r="AB320" s="310"/>
      <c r="AC320" s="310"/>
      <c r="AD320" s="310"/>
      <c r="AE320" s="310"/>
      <c r="AF320" s="310"/>
      <c r="AG320" s="310"/>
      <c r="AH320" s="310"/>
      <c r="AI320" s="310"/>
      <c r="AJ320" s="310"/>
      <c r="AK320" s="310"/>
      <c r="AL320" s="310"/>
      <c r="AM320" s="310"/>
      <c r="AN320" s="310"/>
      <c r="AO320" s="310"/>
      <c r="AP320" s="12"/>
      <c r="AQ320" s="3"/>
      <c r="AR320" s="3"/>
      <c r="AS320" s="3"/>
      <c r="AT320" s="3"/>
      <c r="AU320" s="3"/>
      <c r="AV320" s="3"/>
      <c r="AW320" s="3"/>
      <c r="AX320" s="3"/>
      <c r="AY320" s="3"/>
      <c r="AZ320" s="3"/>
      <c r="BA320" s="3"/>
      <c r="BB320" s="3"/>
      <c r="BC320" s="3"/>
    </row>
    <row r="321" ht="15.75" customHeight="1">
      <c r="A321" s="12"/>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c r="AA321" s="310"/>
      <c r="AB321" s="310"/>
      <c r="AC321" s="310"/>
      <c r="AD321" s="310"/>
      <c r="AE321" s="310"/>
      <c r="AF321" s="310"/>
      <c r="AG321" s="310"/>
      <c r="AH321" s="310"/>
      <c r="AI321" s="310"/>
      <c r="AJ321" s="310"/>
      <c r="AK321" s="310"/>
      <c r="AL321" s="310"/>
      <c r="AM321" s="310"/>
      <c r="AN321" s="310"/>
      <c r="AO321" s="310"/>
      <c r="AP321" s="12"/>
      <c r="AQ321" s="3"/>
      <c r="AR321" s="3"/>
      <c r="AS321" s="3"/>
      <c r="AT321" s="3"/>
      <c r="AU321" s="3"/>
      <c r="AV321" s="3"/>
      <c r="AW321" s="3"/>
      <c r="AX321" s="3"/>
      <c r="AY321" s="3"/>
      <c r="AZ321" s="3"/>
      <c r="BA321" s="3"/>
      <c r="BB321" s="3"/>
      <c r="BC321" s="3"/>
    </row>
    <row r="322" ht="15.75" customHeight="1">
      <c r="A322" s="12"/>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c r="AA322" s="310"/>
      <c r="AB322" s="310"/>
      <c r="AC322" s="310"/>
      <c r="AD322" s="310"/>
      <c r="AE322" s="310"/>
      <c r="AF322" s="310"/>
      <c r="AG322" s="310"/>
      <c r="AH322" s="310"/>
      <c r="AI322" s="310"/>
      <c r="AJ322" s="310"/>
      <c r="AK322" s="310"/>
      <c r="AL322" s="310"/>
      <c r="AM322" s="310"/>
      <c r="AN322" s="310"/>
      <c r="AO322" s="310"/>
      <c r="AP322" s="12"/>
      <c r="AQ322" s="3"/>
      <c r="AR322" s="3"/>
      <c r="AS322" s="3"/>
      <c r="AT322" s="3"/>
      <c r="AU322" s="3"/>
      <c r="AV322" s="3"/>
      <c r="AW322" s="3"/>
      <c r="AX322" s="3"/>
      <c r="AY322" s="3"/>
      <c r="AZ322" s="3"/>
      <c r="BA322" s="3"/>
      <c r="BB322" s="3"/>
      <c r="BC322" s="3"/>
    </row>
    <row r="323" ht="15.75" customHeight="1">
      <c r="A323" s="12"/>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c r="AA323" s="310"/>
      <c r="AB323" s="310"/>
      <c r="AC323" s="310"/>
      <c r="AD323" s="310"/>
      <c r="AE323" s="310"/>
      <c r="AF323" s="310"/>
      <c r="AG323" s="310"/>
      <c r="AH323" s="310"/>
      <c r="AI323" s="310"/>
      <c r="AJ323" s="310"/>
      <c r="AK323" s="310"/>
      <c r="AL323" s="310"/>
      <c r="AM323" s="310"/>
      <c r="AN323" s="310"/>
      <c r="AO323" s="310"/>
      <c r="AP323" s="12"/>
      <c r="AQ323" s="3"/>
      <c r="AR323" s="3"/>
      <c r="AS323" s="3"/>
      <c r="AT323" s="3"/>
      <c r="AU323" s="3"/>
      <c r="AV323" s="3"/>
      <c r="AW323" s="3"/>
      <c r="AX323" s="3"/>
      <c r="AY323" s="3"/>
      <c r="AZ323" s="3"/>
      <c r="BA323" s="3"/>
      <c r="BB323" s="3"/>
      <c r="BC323" s="3"/>
    </row>
    <row r="324" ht="15.75" customHeight="1">
      <c r="A324" s="12"/>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c r="AA324" s="310"/>
      <c r="AB324" s="310"/>
      <c r="AC324" s="310"/>
      <c r="AD324" s="310"/>
      <c r="AE324" s="310"/>
      <c r="AF324" s="310"/>
      <c r="AG324" s="310"/>
      <c r="AH324" s="310"/>
      <c r="AI324" s="310"/>
      <c r="AJ324" s="310"/>
      <c r="AK324" s="310"/>
      <c r="AL324" s="310"/>
      <c r="AM324" s="310"/>
      <c r="AN324" s="310"/>
      <c r="AO324" s="310"/>
      <c r="AP324" s="12"/>
      <c r="AQ324" s="3"/>
      <c r="AR324" s="3"/>
      <c r="AS324" s="3"/>
      <c r="AT324" s="3"/>
      <c r="AU324" s="3"/>
      <c r="AV324" s="3"/>
      <c r="AW324" s="3"/>
      <c r="AX324" s="3"/>
      <c r="AY324" s="3"/>
      <c r="AZ324" s="3"/>
      <c r="BA324" s="3"/>
      <c r="BB324" s="3"/>
      <c r="BC324" s="3"/>
    </row>
    <row r="325" ht="15.75" customHeight="1">
      <c r="A325" s="12"/>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c r="AA325" s="310"/>
      <c r="AB325" s="310"/>
      <c r="AC325" s="310"/>
      <c r="AD325" s="310"/>
      <c r="AE325" s="310"/>
      <c r="AF325" s="310"/>
      <c r="AG325" s="310"/>
      <c r="AH325" s="310"/>
      <c r="AI325" s="310"/>
      <c r="AJ325" s="310"/>
      <c r="AK325" s="310"/>
      <c r="AL325" s="310"/>
      <c r="AM325" s="310"/>
      <c r="AN325" s="310"/>
      <c r="AO325" s="310"/>
      <c r="AP325" s="12"/>
      <c r="AQ325" s="3"/>
      <c r="AR325" s="3"/>
      <c r="AS325" s="3"/>
      <c r="AT325" s="3"/>
      <c r="AU325" s="3"/>
      <c r="AV325" s="3"/>
      <c r="AW325" s="3"/>
      <c r="AX325" s="3"/>
      <c r="AY325" s="3"/>
      <c r="AZ325" s="3"/>
      <c r="BA325" s="3"/>
      <c r="BB325" s="3"/>
      <c r="BC325" s="3"/>
    </row>
    <row r="326" ht="15.75" customHeight="1">
      <c r="A326" s="12"/>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c r="AA326" s="310"/>
      <c r="AB326" s="310"/>
      <c r="AC326" s="310"/>
      <c r="AD326" s="310"/>
      <c r="AE326" s="310"/>
      <c r="AF326" s="310"/>
      <c r="AG326" s="310"/>
      <c r="AH326" s="310"/>
      <c r="AI326" s="310"/>
      <c r="AJ326" s="310"/>
      <c r="AK326" s="310"/>
      <c r="AL326" s="310"/>
      <c r="AM326" s="310"/>
      <c r="AN326" s="310"/>
      <c r="AO326" s="310"/>
      <c r="AP326" s="12"/>
      <c r="AQ326" s="3"/>
      <c r="AR326" s="3"/>
      <c r="AS326" s="3"/>
      <c r="AT326" s="3"/>
      <c r="AU326" s="3"/>
      <c r="AV326" s="3"/>
      <c r="AW326" s="3"/>
      <c r="AX326" s="3"/>
      <c r="AY326" s="3"/>
      <c r="AZ326" s="3"/>
      <c r="BA326" s="3"/>
      <c r="BB326" s="3"/>
      <c r="BC326" s="3"/>
    </row>
    <row r="327" ht="15.75" customHeight="1">
      <c r="A327" s="12"/>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c r="AA327" s="310"/>
      <c r="AB327" s="310"/>
      <c r="AC327" s="310"/>
      <c r="AD327" s="310"/>
      <c r="AE327" s="310"/>
      <c r="AF327" s="310"/>
      <c r="AG327" s="310"/>
      <c r="AH327" s="310"/>
      <c r="AI327" s="310"/>
      <c r="AJ327" s="310"/>
      <c r="AK327" s="310"/>
      <c r="AL327" s="310"/>
      <c r="AM327" s="310"/>
      <c r="AN327" s="310"/>
      <c r="AO327" s="310"/>
      <c r="AP327" s="12"/>
      <c r="AQ327" s="3"/>
      <c r="AR327" s="3"/>
      <c r="AS327" s="3"/>
      <c r="AT327" s="3"/>
      <c r="AU327" s="3"/>
      <c r="AV327" s="3"/>
      <c r="AW327" s="3"/>
      <c r="AX327" s="3"/>
      <c r="AY327" s="3"/>
      <c r="AZ327" s="3"/>
      <c r="BA327" s="3"/>
      <c r="BB327" s="3"/>
      <c r="BC327" s="3"/>
    </row>
    <row r="328" ht="15.75" customHeight="1">
      <c r="A328" s="12"/>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c r="AA328" s="310"/>
      <c r="AB328" s="310"/>
      <c r="AC328" s="310"/>
      <c r="AD328" s="310"/>
      <c r="AE328" s="310"/>
      <c r="AF328" s="310"/>
      <c r="AG328" s="310"/>
      <c r="AH328" s="310"/>
      <c r="AI328" s="310"/>
      <c r="AJ328" s="310"/>
      <c r="AK328" s="310"/>
      <c r="AL328" s="310"/>
      <c r="AM328" s="310"/>
      <c r="AN328" s="310"/>
      <c r="AO328" s="310"/>
      <c r="AP328" s="12"/>
      <c r="AQ328" s="3"/>
      <c r="AR328" s="3"/>
      <c r="AS328" s="3"/>
      <c r="AT328" s="3"/>
      <c r="AU328" s="3"/>
      <c r="AV328" s="3"/>
      <c r="AW328" s="3"/>
      <c r="AX328" s="3"/>
      <c r="AY328" s="3"/>
      <c r="AZ328" s="3"/>
      <c r="BA328" s="3"/>
      <c r="BB328" s="3"/>
      <c r="BC328" s="3"/>
    </row>
    <row r="329" ht="15.75" customHeight="1">
      <c r="A329" s="12"/>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c r="AA329" s="310"/>
      <c r="AB329" s="310"/>
      <c r="AC329" s="310"/>
      <c r="AD329" s="310"/>
      <c r="AE329" s="310"/>
      <c r="AF329" s="310"/>
      <c r="AG329" s="310"/>
      <c r="AH329" s="310"/>
      <c r="AI329" s="310"/>
      <c r="AJ329" s="310"/>
      <c r="AK329" s="310"/>
      <c r="AL329" s="310"/>
      <c r="AM329" s="310"/>
      <c r="AN329" s="310"/>
      <c r="AO329" s="310"/>
      <c r="AP329" s="12"/>
      <c r="AQ329" s="3"/>
      <c r="AR329" s="3"/>
      <c r="AS329" s="3"/>
      <c r="AT329" s="3"/>
      <c r="AU329" s="3"/>
      <c r="AV329" s="3"/>
      <c r="AW329" s="3"/>
      <c r="AX329" s="3"/>
      <c r="AY329" s="3"/>
      <c r="AZ329" s="3"/>
      <c r="BA329" s="3"/>
      <c r="BB329" s="3"/>
      <c r="BC329" s="3"/>
    </row>
    <row r="330" ht="15.75" customHeight="1">
      <c r="A330" s="12"/>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c r="AB330" s="310"/>
      <c r="AC330" s="310"/>
      <c r="AD330" s="310"/>
      <c r="AE330" s="310"/>
      <c r="AF330" s="310"/>
      <c r="AG330" s="310"/>
      <c r="AH330" s="310"/>
      <c r="AI330" s="310"/>
      <c r="AJ330" s="310"/>
      <c r="AK330" s="310"/>
      <c r="AL330" s="310"/>
      <c r="AM330" s="310"/>
      <c r="AN330" s="310"/>
      <c r="AO330" s="310"/>
      <c r="AP330" s="12"/>
      <c r="AQ330" s="3"/>
      <c r="AR330" s="3"/>
      <c r="AS330" s="3"/>
      <c r="AT330" s="3"/>
      <c r="AU330" s="3"/>
      <c r="AV330" s="3"/>
      <c r="AW330" s="3"/>
      <c r="AX330" s="3"/>
      <c r="AY330" s="3"/>
      <c r="AZ330" s="3"/>
      <c r="BA330" s="3"/>
      <c r="BB330" s="3"/>
      <c r="BC330" s="3"/>
    </row>
    <row r="331" ht="15.75" customHeight="1">
      <c r="A331" s="12"/>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c r="AA331" s="310"/>
      <c r="AB331" s="310"/>
      <c r="AC331" s="310"/>
      <c r="AD331" s="310"/>
      <c r="AE331" s="310"/>
      <c r="AF331" s="310"/>
      <c r="AG331" s="310"/>
      <c r="AH331" s="310"/>
      <c r="AI331" s="310"/>
      <c r="AJ331" s="310"/>
      <c r="AK331" s="310"/>
      <c r="AL331" s="310"/>
      <c r="AM331" s="310"/>
      <c r="AN331" s="310"/>
      <c r="AO331" s="310"/>
      <c r="AP331" s="12"/>
      <c r="AQ331" s="3"/>
      <c r="AR331" s="3"/>
      <c r="AS331" s="3"/>
      <c r="AT331" s="3"/>
      <c r="AU331" s="3"/>
      <c r="AV331" s="3"/>
      <c r="AW331" s="3"/>
      <c r="AX331" s="3"/>
      <c r="AY331" s="3"/>
      <c r="AZ331" s="3"/>
      <c r="BA331" s="3"/>
      <c r="BB331" s="3"/>
      <c r="BC331" s="3"/>
    </row>
    <row r="332" ht="15.75" customHeight="1">
      <c r="A332" s="12"/>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10"/>
      <c r="AC332" s="310"/>
      <c r="AD332" s="310"/>
      <c r="AE332" s="310"/>
      <c r="AF332" s="310"/>
      <c r="AG332" s="310"/>
      <c r="AH332" s="310"/>
      <c r="AI332" s="310"/>
      <c r="AJ332" s="310"/>
      <c r="AK332" s="310"/>
      <c r="AL332" s="310"/>
      <c r="AM332" s="310"/>
      <c r="AN332" s="310"/>
      <c r="AO332" s="310"/>
      <c r="AP332" s="12"/>
      <c r="AQ332" s="3"/>
      <c r="AR332" s="3"/>
      <c r="AS332" s="3"/>
      <c r="AT332" s="3"/>
      <c r="AU332" s="3"/>
      <c r="AV332" s="3"/>
      <c r="AW332" s="3"/>
      <c r="AX332" s="3"/>
      <c r="AY332" s="3"/>
      <c r="AZ332" s="3"/>
      <c r="BA332" s="3"/>
      <c r="BB332" s="3"/>
      <c r="BC332" s="3"/>
    </row>
    <row r="333" ht="15.75" customHeight="1">
      <c r="A333" s="12"/>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c r="AB333" s="310"/>
      <c r="AC333" s="310"/>
      <c r="AD333" s="310"/>
      <c r="AE333" s="310"/>
      <c r="AF333" s="310"/>
      <c r="AG333" s="310"/>
      <c r="AH333" s="310"/>
      <c r="AI333" s="310"/>
      <c r="AJ333" s="310"/>
      <c r="AK333" s="310"/>
      <c r="AL333" s="310"/>
      <c r="AM333" s="310"/>
      <c r="AN333" s="310"/>
      <c r="AO333" s="310"/>
      <c r="AP333" s="12"/>
      <c r="AQ333" s="3"/>
      <c r="AR333" s="3"/>
      <c r="AS333" s="3"/>
      <c r="AT333" s="3"/>
      <c r="AU333" s="3"/>
      <c r="AV333" s="3"/>
      <c r="AW333" s="3"/>
      <c r="AX333" s="3"/>
      <c r="AY333" s="3"/>
      <c r="AZ333" s="3"/>
      <c r="BA333" s="3"/>
      <c r="BB333" s="3"/>
      <c r="BC333" s="3"/>
    </row>
    <row r="334" ht="15.75" customHeight="1">
      <c r="A334" s="12"/>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c r="AA334" s="310"/>
      <c r="AB334" s="310"/>
      <c r="AC334" s="310"/>
      <c r="AD334" s="310"/>
      <c r="AE334" s="310"/>
      <c r="AF334" s="310"/>
      <c r="AG334" s="310"/>
      <c r="AH334" s="310"/>
      <c r="AI334" s="310"/>
      <c r="AJ334" s="310"/>
      <c r="AK334" s="310"/>
      <c r="AL334" s="310"/>
      <c r="AM334" s="310"/>
      <c r="AN334" s="310"/>
      <c r="AO334" s="310"/>
      <c r="AP334" s="12"/>
      <c r="AQ334" s="3"/>
      <c r="AR334" s="3"/>
      <c r="AS334" s="3"/>
      <c r="AT334" s="3"/>
      <c r="AU334" s="3"/>
      <c r="AV334" s="3"/>
      <c r="AW334" s="3"/>
      <c r="AX334" s="3"/>
      <c r="AY334" s="3"/>
      <c r="AZ334" s="3"/>
      <c r="BA334" s="3"/>
      <c r="BB334" s="3"/>
      <c r="BC334" s="3"/>
    </row>
    <row r="335" ht="15.75" customHeight="1">
      <c r="A335" s="12"/>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c r="AA335" s="310"/>
      <c r="AB335" s="310"/>
      <c r="AC335" s="310"/>
      <c r="AD335" s="310"/>
      <c r="AE335" s="310"/>
      <c r="AF335" s="310"/>
      <c r="AG335" s="310"/>
      <c r="AH335" s="310"/>
      <c r="AI335" s="310"/>
      <c r="AJ335" s="310"/>
      <c r="AK335" s="310"/>
      <c r="AL335" s="310"/>
      <c r="AM335" s="310"/>
      <c r="AN335" s="310"/>
      <c r="AO335" s="310"/>
      <c r="AP335" s="12"/>
      <c r="AQ335" s="3"/>
      <c r="AR335" s="3"/>
      <c r="AS335" s="3"/>
      <c r="AT335" s="3"/>
      <c r="AU335" s="3"/>
      <c r="AV335" s="3"/>
      <c r="AW335" s="3"/>
      <c r="AX335" s="3"/>
      <c r="AY335" s="3"/>
      <c r="AZ335" s="3"/>
      <c r="BA335" s="3"/>
      <c r="BB335" s="3"/>
      <c r="BC335" s="3"/>
    </row>
    <row r="336" ht="15.75" customHeight="1">
      <c r="A336" s="12"/>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c r="AA336" s="310"/>
      <c r="AB336" s="310"/>
      <c r="AC336" s="310"/>
      <c r="AD336" s="310"/>
      <c r="AE336" s="310"/>
      <c r="AF336" s="310"/>
      <c r="AG336" s="310"/>
      <c r="AH336" s="310"/>
      <c r="AI336" s="310"/>
      <c r="AJ336" s="310"/>
      <c r="AK336" s="310"/>
      <c r="AL336" s="310"/>
      <c r="AM336" s="310"/>
      <c r="AN336" s="310"/>
      <c r="AO336" s="310"/>
      <c r="AP336" s="12"/>
      <c r="AQ336" s="3"/>
      <c r="AR336" s="3"/>
      <c r="AS336" s="3"/>
      <c r="AT336" s="3"/>
      <c r="AU336" s="3"/>
      <c r="AV336" s="3"/>
      <c r="AW336" s="3"/>
      <c r="AX336" s="3"/>
      <c r="AY336" s="3"/>
      <c r="AZ336" s="3"/>
      <c r="BA336" s="3"/>
      <c r="BB336" s="3"/>
      <c r="BC336" s="3"/>
    </row>
    <row r="337" ht="15.75" customHeight="1">
      <c r="A337" s="12"/>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c r="AA337" s="310"/>
      <c r="AB337" s="310"/>
      <c r="AC337" s="310"/>
      <c r="AD337" s="310"/>
      <c r="AE337" s="310"/>
      <c r="AF337" s="310"/>
      <c r="AG337" s="310"/>
      <c r="AH337" s="310"/>
      <c r="AI337" s="310"/>
      <c r="AJ337" s="310"/>
      <c r="AK337" s="310"/>
      <c r="AL337" s="310"/>
      <c r="AM337" s="310"/>
      <c r="AN337" s="310"/>
      <c r="AO337" s="310"/>
      <c r="AP337" s="12"/>
      <c r="AQ337" s="3"/>
      <c r="AR337" s="3"/>
      <c r="AS337" s="3"/>
      <c r="AT337" s="3"/>
      <c r="AU337" s="3"/>
      <c r="AV337" s="3"/>
      <c r="AW337" s="3"/>
      <c r="AX337" s="3"/>
      <c r="AY337" s="3"/>
      <c r="AZ337" s="3"/>
      <c r="BA337" s="3"/>
      <c r="BB337" s="3"/>
      <c r="BC337" s="3"/>
    </row>
    <row r="338" ht="15.75" customHeight="1">
      <c r="A338" s="12"/>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c r="AA338" s="310"/>
      <c r="AB338" s="310"/>
      <c r="AC338" s="310"/>
      <c r="AD338" s="310"/>
      <c r="AE338" s="310"/>
      <c r="AF338" s="310"/>
      <c r="AG338" s="310"/>
      <c r="AH338" s="310"/>
      <c r="AI338" s="310"/>
      <c r="AJ338" s="310"/>
      <c r="AK338" s="310"/>
      <c r="AL338" s="310"/>
      <c r="AM338" s="310"/>
      <c r="AN338" s="310"/>
      <c r="AO338" s="310"/>
      <c r="AP338" s="12"/>
      <c r="AQ338" s="3"/>
      <c r="AR338" s="3"/>
      <c r="AS338" s="3"/>
      <c r="AT338" s="3"/>
      <c r="AU338" s="3"/>
      <c r="AV338" s="3"/>
      <c r="AW338" s="3"/>
      <c r="AX338" s="3"/>
      <c r="AY338" s="3"/>
      <c r="AZ338" s="3"/>
      <c r="BA338" s="3"/>
      <c r="BB338" s="3"/>
      <c r="BC338" s="3"/>
    </row>
    <row r="339" ht="15.75" customHeight="1">
      <c r="A339" s="12"/>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c r="AB339" s="310"/>
      <c r="AC339" s="310"/>
      <c r="AD339" s="310"/>
      <c r="AE339" s="310"/>
      <c r="AF339" s="310"/>
      <c r="AG339" s="310"/>
      <c r="AH339" s="310"/>
      <c r="AI339" s="310"/>
      <c r="AJ339" s="310"/>
      <c r="AK339" s="310"/>
      <c r="AL339" s="310"/>
      <c r="AM339" s="310"/>
      <c r="AN339" s="310"/>
      <c r="AO339" s="310"/>
      <c r="AP339" s="12"/>
      <c r="AQ339" s="3"/>
      <c r="AR339" s="3"/>
      <c r="AS339" s="3"/>
      <c r="AT339" s="3"/>
      <c r="AU339" s="3"/>
      <c r="AV339" s="3"/>
      <c r="AW339" s="3"/>
      <c r="AX339" s="3"/>
      <c r="AY339" s="3"/>
      <c r="AZ339" s="3"/>
      <c r="BA339" s="3"/>
      <c r="BB339" s="3"/>
      <c r="BC339" s="3"/>
    </row>
    <row r="340" ht="15.75" customHeight="1">
      <c r="A340" s="12"/>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c r="AB340" s="310"/>
      <c r="AC340" s="310"/>
      <c r="AD340" s="310"/>
      <c r="AE340" s="310"/>
      <c r="AF340" s="310"/>
      <c r="AG340" s="310"/>
      <c r="AH340" s="310"/>
      <c r="AI340" s="310"/>
      <c r="AJ340" s="310"/>
      <c r="AK340" s="310"/>
      <c r="AL340" s="310"/>
      <c r="AM340" s="310"/>
      <c r="AN340" s="310"/>
      <c r="AO340" s="310"/>
      <c r="AP340" s="12"/>
      <c r="AQ340" s="3"/>
      <c r="AR340" s="3"/>
      <c r="AS340" s="3"/>
      <c r="AT340" s="3"/>
      <c r="AU340" s="3"/>
      <c r="AV340" s="3"/>
      <c r="AW340" s="3"/>
      <c r="AX340" s="3"/>
      <c r="AY340" s="3"/>
      <c r="AZ340" s="3"/>
      <c r="BA340" s="3"/>
      <c r="BB340" s="3"/>
      <c r="BC340" s="3"/>
    </row>
    <row r="341" ht="15.75" customHeight="1">
      <c r="A341" s="12"/>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c r="AA341" s="310"/>
      <c r="AB341" s="310"/>
      <c r="AC341" s="310"/>
      <c r="AD341" s="310"/>
      <c r="AE341" s="310"/>
      <c r="AF341" s="310"/>
      <c r="AG341" s="310"/>
      <c r="AH341" s="310"/>
      <c r="AI341" s="310"/>
      <c r="AJ341" s="310"/>
      <c r="AK341" s="310"/>
      <c r="AL341" s="310"/>
      <c r="AM341" s="310"/>
      <c r="AN341" s="310"/>
      <c r="AO341" s="310"/>
      <c r="AP341" s="12"/>
      <c r="AQ341" s="3"/>
      <c r="AR341" s="3"/>
      <c r="AS341" s="3"/>
      <c r="AT341" s="3"/>
      <c r="AU341" s="3"/>
      <c r="AV341" s="3"/>
      <c r="AW341" s="3"/>
      <c r="AX341" s="3"/>
      <c r="AY341" s="3"/>
      <c r="AZ341" s="3"/>
      <c r="BA341" s="3"/>
      <c r="BB341" s="3"/>
      <c r="BC341" s="3"/>
    </row>
    <row r="342" ht="15.75" customHeight="1">
      <c r="A342" s="12"/>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c r="AB342" s="310"/>
      <c r="AC342" s="310"/>
      <c r="AD342" s="310"/>
      <c r="AE342" s="310"/>
      <c r="AF342" s="310"/>
      <c r="AG342" s="310"/>
      <c r="AH342" s="310"/>
      <c r="AI342" s="310"/>
      <c r="AJ342" s="310"/>
      <c r="AK342" s="310"/>
      <c r="AL342" s="310"/>
      <c r="AM342" s="310"/>
      <c r="AN342" s="310"/>
      <c r="AO342" s="310"/>
      <c r="AP342" s="12"/>
      <c r="AQ342" s="3"/>
      <c r="AR342" s="3"/>
      <c r="AS342" s="3"/>
      <c r="AT342" s="3"/>
      <c r="AU342" s="3"/>
      <c r="AV342" s="3"/>
      <c r="AW342" s="3"/>
      <c r="AX342" s="3"/>
      <c r="AY342" s="3"/>
      <c r="AZ342" s="3"/>
      <c r="BA342" s="3"/>
      <c r="BB342" s="3"/>
      <c r="BC342" s="3"/>
    </row>
    <row r="343" ht="15.75" customHeight="1">
      <c r="A343" s="12"/>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c r="AA343" s="310"/>
      <c r="AB343" s="310"/>
      <c r="AC343" s="310"/>
      <c r="AD343" s="310"/>
      <c r="AE343" s="310"/>
      <c r="AF343" s="310"/>
      <c r="AG343" s="310"/>
      <c r="AH343" s="310"/>
      <c r="AI343" s="310"/>
      <c r="AJ343" s="310"/>
      <c r="AK343" s="310"/>
      <c r="AL343" s="310"/>
      <c r="AM343" s="310"/>
      <c r="AN343" s="310"/>
      <c r="AO343" s="310"/>
      <c r="AP343" s="12"/>
      <c r="AQ343" s="3"/>
      <c r="AR343" s="3"/>
      <c r="AS343" s="3"/>
      <c r="AT343" s="3"/>
      <c r="AU343" s="3"/>
      <c r="AV343" s="3"/>
      <c r="AW343" s="3"/>
      <c r="AX343" s="3"/>
      <c r="AY343" s="3"/>
      <c r="AZ343" s="3"/>
      <c r="BA343" s="3"/>
      <c r="BB343" s="3"/>
      <c r="BC343" s="3"/>
    </row>
    <row r="344" ht="15.75" customHeight="1">
      <c r="A344" s="12"/>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c r="AB344" s="310"/>
      <c r="AC344" s="310"/>
      <c r="AD344" s="310"/>
      <c r="AE344" s="310"/>
      <c r="AF344" s="310"/>
      <c r="AG344" s="310"/>
      <c r="AH344" s="310"/>
      <c r="AI344" s="310"/>
      <c r="AJ344" s="310"/>
      <c r="AK344" s="310"/>
      <c r="AL344" s="310"/>
      <c r="AM344" s="310"/>
      <c r="AN344" s="310"/>
      <c r="AO344" s="310"/>
      <c r="AP344" s="12"/>
      <c r="AQ344" s="3"/>
      <c r="AR344" s="3"/>
      <c r="AS344" s="3"/>
      <c r="AT344" s="3"/>
      <c r="AU344" s="3"/>
      <c r="AV344" s="3"/>
      <c r="AW344" s="3"/>
      <c r="AX344" s="3"/>
      <c r="AY344" s="3"/>
      <c r="AZ344" s="3"/>
      <c r="BA344" s="3"/>
      <c r="BB344" s="3"/>
      <c r="BC344" s="3"/>
    </row>
    <row r="345" ht="15.75" customHeight="1">
      <c r="A345" s="12"/>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c r="AA345" s="310"/>
      <c r="AB345" s="310"/>
      <c r="AC345" s="310"/>
      <c r="AD345" s="310"/>
      <c r="AE345" s="310"/>
      <c r="AF345" s="310"/>
      <c r="AG345" s="310"/>
      <c r="AH345" s="310"/>
      <c r="AI345" s="310"/>
      <c r="AJ345" s="310"/>
      <c r="AK345" s="310"/>
      <c r="AL345" s="310"/>
      <c r="AM345" s="310"/>
      <c r="AN345" s="310"/>
      <c r="AO345" s="310"/>
      <c r="AP345" s="12"/>
      <c r="AQ345" s="3"/>
      <c r="AR345" s="3"/>
      <c r="AS345" s="3"/>
      <c r="AT345" s="3"/>
      <c r="AU345" s="3"/>
      <c r="AV345" s="3"/>
      <c r="AW345" s="3"/>
      <c r="AX345" s="3"/>
      <c r="AY345" s="3"/>
      <c r="AZ345" s="3"/>
      <c r="BA345" s="3"/>
      <c r="BB345" s="3"/>
      <c r="BC345" s="3"/>
    </row>
    <row r="346" ht="15.75" customHeight="1">
      <c r="A346" s="12"/>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c r="AA346" s="310"/>
      <c r="AB346" s="310"/>
      <c r="AC346" s="310"/>
      <c r="AD346" s="310"/>
      <c r="AE346" s="310"/>
      <c r="AF346" s="310"/>
      <c r="AG346" s="310"/>
      <c r="AH346" s="310"/>
      <c r="AI346" s="310"/>
      <c r="AJ346" s="310"/>
      <c r="AK346" s="310"/>
      <c r="AL346" s="310"/>
      <c r="AM346" s="310"/>
      <c r="AN346" s="310"/>
      <c r="AO346" s="310"/>
      <c r="AP346" s="12"/>
      <c r="AQ346" s="3"/>
      <c r="AR346" s="3"/>
      <c r="AS346" s="3"/>
      <c r="AT346" s="3"/>
      <c r="AU346" s="3"/>
      <c r="AV346" s="3"/>
      <c r="AW346" s="3"/>
      <c r="AX346" s="3"/>
      <c r="AY346" s="3"/>
      <c r="AZ346" s="3"/>
      <c r="BA346" s="3"/>
      <c r="BB346" s="3"/>
      <c r="BC346" s="3"/>
    </row>
    <row r="347" ht="15.75" customHeight="1">
      <c r="A347" s="12"/>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c r="AA347" s="310"/>
      <c r="AB347" s="310"/>
      <c r="AC347" s="310"/>
      <c r="AD347" s="310"/>
      <c r="AE347" s="310"/>
      <c r="AF347" s="310"/>
      <c r="AG347" s="310"/>
      <c r="AH347" s="310"/>
      <c r="AI347" s="310"/>
      <c r="AJ347" s="310"/>
      <c r="AK347" s="310"/>
      <c r="AL347" s="310"/>
      <c r="AM347" s="310"/>
      <c r="AN347" s="310"/>
      <c r="AO347" s="310"/>
      <c r="AP347" s="12"/>
      <c r="AQ347" s="3"/>
      <c r="AR347" s="3"/>
      <c r="AS347" s="3"/>
      <c r="AT347" s="3"/>
      <c r="AU347" s="3"/>
      <c r="AV347" s="3"/>
      <c r="AW347" s="3"/>
      <c r="AX347" s="3"/>
      <c r="AY347" s="3"/>
      <c r="AZ347" s="3"/>
      <c r="BA347" s="3"/>
      <c r="BB347" s="3"/>
      <c r="BC347" s="3"/>
    </row>
    <row r="348" ht="15.75" customHeight="1">
      <c r="A348" s="12"/>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c r="AA348" s="310"/>
      <c r="AB348" s="310"/>
      <c r="AC348" s="310"/>
      <c r="AD348" s="310"/>
      <c r="AE348" s="310"/>
      <c r="AF348" s="310"/>
      <c r="AG348" s="310"/>
      <c r="AH348" s="310"/>
      <c r="AI348" s="310"/>
      <c r="AJ348" s="310"/>
      <c r="AK348" s="310"/>
      <c r="AL348" s="310"/>
      <c r="AM348" s="310"/>
      <c r="AN348" s="310"/>
      <c r="AO348" s="310"/>
      <c r="AP348" s="12"/>
      <c r="AQ348" s="3"/>
      <c r="AR348" s="3"/>
      <c r="AS348" s="3"/>
      <c r="AT348" s="3"/>
      <c r="AU348" s="3"/>
      <c r="AV348" s="3"/>
      <c r="AW348" s="3"/>
      <c r="AX348" s="3"/>
      <c r="AY348" s="3"/>
      <c r="AZ348" s="3"/>
      <c r="BA348" s="3"/>
      <c r="BB348" s="3"/>
      <c r="BC348" s="3"/>
    </row>
    <row r="349" ht="15.75" customHeight="1">
      <c r="A349" s="12"/>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c r="AA349" s="310"/>
      <c r="AB349" s="310"/>
      <c r="AC349" s="310"/>
      <c r="AD349" s="310"/>
      <c r="AE349" s="310"/>
      <c r="AF349" s="310"/>
      <c r="AG349" s="310"/>
      <c r="AH349" s="310"/>
      <c r="AI349" s="310"/>
      <c r="AJ349" s="310"/>
      <c r="AK349" s="310"/>
      <c r="AL349" s="310"/>
      <c r="AM349" s="310"/>
      <c r="AN349" s="310"/>
      <c r="AO349" s="310"/>
      <c r="AP349" s="12"/>
      <c r="AQ349" s="3"/>
      <c r="AR349" s="3"/>
      <c r="AS349" s="3"/>
      <c r="AT349" s="3"/>
      <c r="AU349" s="3"/>
      <c r="AV349" s="3"/>
      <c r="AW349" s="3"/>
      <c r="AX349" s="3"/>
      <c r="AY349" s="3"/>
      <c r="AZ349" s="3"/>
      <c r="BA349" s="3"/>
      <c r="BB349" s="3"/>
      <c r="BC349" s="3"/>
    </row>
    <row r="350" ht="15.75" customHeight="1">
      <c r="A350" s="12"/>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c r="AA350" s="310"/>
      <c r="AB350" s="310"/>
      <c r="AC350" s="310"/>
      <c r="AD350" s="310"/>
      <c r="AE350" s="310"/>
      <c r="AF350" s="310"/>
      <c r="AG350" s="310"/>
      <c r="AH350" s="310"/>
      <c r="AI350" s="310"/>
      <c r="AJ350" s="310"/>
      <c r="AK350" s="310"/>
      <c r="AL350" s="310"/>
      <c r="AM350" s="310"/>
      <c r="AN350" s="310"/>
      <c r="AO350" s="310"/>
      <c r="AP350" s="12"/>
      <c r="AQ350" s="3"/>
      <c r="AR350" s="3"/>
      <c r="AS350" s="3"/>
      <c r="AT350" s="3"/>
      <c r="AU350" s="3"/>
      <c r="AV350" s="3"/>
      <c r="AW350" s="3"/>
      <c r="AX350" s="3"/>
      <c r="AY350" s="3"/>
      <c r="AZ350" s="3"/>
      <c r="BA350" s="3"/>
      <c r="BB350" s="3"/>
      <c r="BC350" s="3"/>
    </row>
    <row r="351" ht="15.75" customHeight="1">
      <c r="A351" s="12"/>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c r="AA351" s="310"/>
      <c r="AB351" s="310"/>
      <c r="AC351" s="310"/>
      <c r="AD351" s="310"/>
      <c r="AE351" s="310"/>
      <c r="AF351" s="310"/>
      <c r="AG351" s="310"/>
      <c r="AH351" s="310"/>
      <c r="AI351" s="310"/>
      <c r="AJ351" s="310"/>
      <c r="AK351" s="310"/>
      <c r="AL351" s="310"/>
      <c r="AM351" s="310"/>
      <c r="AN351" s="310"/>
      <c r="AO351" s="310"/>
      <c r="AP351" s="12"/>
      <c r="AQ351" s="3"/>
      <c r="AR351" s="3"/>
      <c r="AS351" s="3"/>
      <c r="AT351" s="3"/>
      <c r="AU351" s="3"/>
      <c r="AV351" s="3"/>
      <c r="AW351" s="3"/>
      <c r="AX351" s="3"/>
      <c r="AY351" s="3"/>
      <c r="AZ351" s="3"/>
      <c r="BA351" s="3"/>
      <c r="BB351" s="3"/>
      <c r="BC351" s="3"/>
    </row>
    <row r="352" ht="15.75" customHeight="1">
      <c r="A352" s="12"/>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c r="AA352" s="310"/>
      <c r="AB352" s="310"/>
      <c r="AC352" s="310"/>
      <c r="AD352" s="310"/>
      <c r="AE352" s="310"/>
      <c r="AF352" s="310"/>
      <c r="AG352" s="310"/>
      <c r="AH352" s="310"/>
      <c r="AI352" s="310"/>
      <c r="AJ352" s="310"/>
      <c r="AK352" s="310"/>
      <c r="AL352" s="310"/>
      <c r="AM352" s="310"/>
      <c r="AN352" s="310"/>
      <c r="AO352" s="310"/>
      <c r="AP352" s="12"/>
      <c r="AQ352" s="3"/>
      <c r="AR352" s="3"/>
      <c r="AS352" s="3"/>
      <c r="AT352" s="3"/>
      <c r="AU352" s="3"/>
      <c r="AV352" s="3"/>
      <c r="AW352" s="3"/>
      <c r="AX352" s="3"/>
      <c r="AY352" s="3"/>
      <c r="AZ352" s="3"/>
      <c r="BA352" s="3"/>
      <c r="BB352" s="3"/>
      <c r="BC352" s="3"/>
    </row>
    <row r="353" ht="15.75" customHeight="1">
      <c r="A353" s="12"/>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c r="AB353" s="310"/>
      <c r="AC353" s="310"/>
      <c r="AD353" s="310"/>
      <c r="AE353" s="310"/>
      <c r="AF353" s="310"/>
      <c r="AG353" s="310"/>
      <c r="AH353" s="310"/>
      <c r="AI353" s="310"/>
      <c r="AJ353" s="310"/>
      <c r="AK353" s="310"/>
      <c r="AL353" s="310"/>
      <c r="AM353" s="310"/>
      <c r="AN353" s="310"/>
      <c r="AO353" s="310"/>
      <c r="AP353" s="12"/>
      <c r="AQ353" s="3"/>
      <c r="AR353" s="3"/>
      <c r="AS353" s="3"/>
      <c r="AT353" s="3"/>
      <c r="AU353" s="3"/>
      <c r="AV353" s="3"/>
      <c r="AW353" s="3"/>
      <c r="AX353" s="3"/>
      <c r="AY353" s="3"/>
      <c r="AZ353" s="3"/>
      <c r="BA353" s="3"/>
      <c r="BB353" s="3"/>
      <c r="BC353" s="3"/>
    </row>
    <row r="354" ht="15.75" customHeight="1">
      <c r="A354" s="12"/>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c r="AA354" s="310"/>
      <c r="AB354" s="310"/>
      <c r="AC354" s="310"/>
      <c r="AD354" s="310"/>
      <c r="AE354" s="310"/>
      <c r="AF354" s="310"/>
      <c r="AG354" s="310"/>
      <c r="AH354" s="310"/>
      <c r="AI354" s="310"/>
      <c r="AJ354" s="310"/>
      <c r="AK354" s="310"/>
      <c r="AL354" s="310"/>
      <c r="AM354" s="310"/>
      <c r="AN354" s="310"/>
      <c r="AO354" s="310"/>
      <c r="AP354" s="12"/>
      <c r="AQ354" s="3"/>
      <c r="AR354" s="3"/>
      <c r="AS354" s="3"/>
      <c r="AT354" s="3"/>
      <c r="AU354" s="3"/>
      <c r="AV354" s="3"/>
      <c r="AW354" s="3"/>
      <c r="AX354" s="3"/>
      <c r="AY354" s="3"/>
      <c r="AZ354" s="3"/>
      <c r="BA354" s="3"/>
      <c r="BB354" s="3"/>
      <c r="BC354" s="3"/>
    </row>
    <row r="355" ht="15.75" customHeight="1">
      <c r="A355" s="12"/>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c r="AA355" s="310"/>
      <c r="AB355" s="310"/>
      <c r="AC355" s="310"/>
      <c r="AD355" s="310"/>
      <c r="AE355" s="310"/>
      <c r="AF355" s="310"/>
      <c r="AG355" s="310"/>
      <c r="AH355" s="310"/>
      <c r="AI355" s="310"/>
      <c r="AJ355" s="310"/>
      <c r="AK355" s="310"/>
      <c r="AL355" s="310"/>
      <c r="AM355" s="310"/>
      <c r="AN355" s="310"/>
      <c r="AO355" s="310"/>
      <c r="AP355" s="12"/>
      <c r="AQ355" s="3"/>
      <c r="AR355" s="3"/>
      <c r="AS355" s="3"/>
      <c r="AT355" s="3"/>
      <c r="AU355" s="3"/>
      <c r="AV355" s="3"/>
      <c r="AW355" s="3"/>
      <c r="AX355" s="3"/>
      <c r="AY355" s="3"/>
      <c r="AZ355" s="3"/>
      <c r="BA355" s="3"/>
      <c r="BB355" s="3"/>
      <c r="BC355" s="3"/>
    </row>
    <row r="356" ht="15.75" customHeight="1">
      <c r="A356" s="12"/>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c r="AA356" s="310"/>
      <c r="AB356" s="310"/>
      <c r="AC356" s="310"/>
      <c r="AD356" s="310"/>
      <c r="AE356" s="310"/>
      <c r="AF356" s="310"/>
      <c r="AG356" s="310"/>
      <c r="AH356" s="310"/>
      <c r="AI356" s="310"/>
      <c r="AJ356" s="310"/>
      <c r="AK356" s="310"/>
      <c r="AL356" s="310"/>
      <c r="AM356" s="310"/>
      <c r="AN356" s="310"/>
      <c r="AO356" s="310"/>
      <c r="AP356" s="12"/>
      <c r="AQ356" s="3"/>
      <c r="AR356" s="3"/>
      <c r="AS356" s="3"/>
      <c r="AT356" s="3"/>
      <c r="AU356" s="3"/>
      <c r="AV356" s="3"/>
      <c r="AW356" s="3"/>
      <c r="AX356" s="3"/>
      <c r="AY356" s="3"/>
      <c r="AZ356" s="3"/>
      <c r="BA356" s="3"/>
      <c r="BB356" s="3"/>
      <c r="BC356" s="3"/>
    </row>
    <row r="357" ht="15.75" customHeight="1">
      <c r="A357" s="12"/>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c r="AA357" s="310"/>
      <c r="AB357" s="310"/>
      <c r="AC357" s="310"/>
      <c r="AD357" s="310"/>
      <c r="AE357" s="310"/>
      <c r="AF357" s="310"/>
      <c r="AG357" s="310"/>
      <c r="AH357" s="310"/>
      <c r="AI357" s="310"/>
      <c r="AJ357" s="310"/>
      <c r="AK357" s="310"/>
      <c r="AL357" s="310"/>
      <c r="AM357" s="310"/>
      <c r="AN357" s="310"/>
      <c r="AO357" s="310"/>
      <c r="AP357" s="12"/>
      <c r="AQ357" s="3"/>
      <c r="AR357" s="3"/>
      <c r="AS357" s="3"/>
      <c r="AT357" s="3"/>
      <c r="AU357" s="3"/>
      <c r="AV357" s="3"/>
      <c r="AW357" s="3"/>
      <c r="AX357" s="3"/>
      <c r="AY357" s="3"/>
      <c r="AZ357" s="3"/>
      <c r="BA357" s="3"/>
      <c r="BB357" s="3"/>
      <c r="BC357" s="3"/>
    </row>
    <row r="358" ht="15.75" customHeight="1">
      <c r="A358" s="12"/>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c r="AA358" s="310"/>
      <c r="AB358" s="310"/>
      <c r="AC358" s="310"/>
      <c r="AD358" s="310"/>
      <c r="AE358" s="310"/>
      <c r="AF358" s="310"/>
      <c r="AG358" s="310"/>
      <c r="AH358" s="310"/>
      <c r="AI358" s="310"/>
      <c r="AJ358" s="310"/>
      <c r="AK358" s="310"/>
      <c r="AL358" s="310"/>
      <c r="AM358" s="310"/>
      <c r="AN358" s="310"/>
      <c r="AO358" s="310"/>
      <c r="AP358" s="12"/>
      <c r="AQ358" s="3"/>
      <c r="AR358" s="3"/>
      <c r="AS358" s="3"/>
      <c r="AT358" s="3"/>
      <c r="AU358" s="3"/>
      <c r="AV358" s="3"/>
      <c r="AW358" s="3"/>
      <c r="AX358" s="3"/>
      <c r="AY358" s="3"/>
      <c r="AZ358" s="3"/>
      <c r="BA358" s="3"/>
      <c r="BB358" s="3"/>
      <c r="BC358" s="3"/>
    </row>
    <row r="359" ht="15.75" customHeight="1">
      <c r="A359" s="12"/>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c r="AA359" s="310"/>
      <c r="AB359" s="310"/>
      <c r="AC359" s="310"/>
      <c r="AD359" s="310"/>
      <c r="AE359" s="310"/>
      <c r="AF359" s="310"/>
      <c r="AG359" s="310"/>
      <c r="AH359" s="310"/>
      <c r="AI359" s="310"/>
      <c r="AJ359" s="310"/>
      <c r="AK359" s="310"/>
      <c r="AL359" s="310"/>
      <c r="AM359" s="310"/>
      <c r="AN359" s="310"/>
      <c r="AO359" s="310"/>
      <c r="AP359" s="12"/>
      <c r="AQ359" s="3"/>
      <c r="AR359" s="3"/>
      <c r="AS359" s="3"/>
      <c r="AT359" s="3"/>
      <c r="AU359" s="3"/>
      <c r="AV359" s="3"/>
      <c r="AW359" s="3"/>
      <c r="AX359" s="3"/>
      <c r="AY359" s="3"/>
      <c r="AZ359" s="3"/>
      <c r="BA359" s="3"/>
      <c r="BB359" s="3"/>
      <c r="BC359" s="3"/>
    </row>
    <row r="360" ht="15.75" customHeight="1">
      <c r="A360" s="12"/>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c r="AA360" s="310"/>
      <c r="AB360" s="310"/>
      <c r="AC360" s="310"/>
      <c r="AD360" s="310"/>
      <c r="AE360" s="310"/>
      <c r="AF360" s="310"/>
      <c r="AG360" s="310"/>
      <c r="AH360" s="310"/>
      <c r="AI360" s="310"/>
      <c r="AJ360" s="310"/>
      <c r="AK360" s="310"/>
      <c r="AL360" s="310"/>
      <c r="AM360" s="310"/>
      <c r="AN360" s="310"/>
      <c r="AO360" s="310"/>
      <c r="AP360" s="12"/>
      <c r="AQ360" s="3"/>
      <c r="AR360" s="3"/>
      <c r="AS360" s="3"/>
      <c r="AT360" s="3"/>
      <c r="AU360" s="3"/>
      <c r="AV360" s="3"/>
      <c r="AW360" s="3"/>
      <c r="AX360" s="3"/>
      <c r="AY360" s="3"/>
      <c r="AZ360" s="3"/>
      <c r="BA360" s="3"/>
      <c r="BB360" s="3"/>
      <c r="BC360" s="3"/>
    </row>
    <row r="361" ht="15.75" customHeight="1">
      <c r="A361" s="12"/>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c r="AA361" s="310"/>
      <c r="AB361" s="310"/>
      <c r="AC361" s="310"/>
      <c r="AD361" s="310"/>
      <c r="AE361" s="310"/>
      <c r="AF361" s="310"/>
      <c r="AG361" s="310"/>
      <c r="AH361" s="310"/>
      <c r="AI361" s="310"/>
      <c r="AJ361" s="310"/>
      <c r="AK361" s="310"/>
      <c r="AL361" s="310"/>
      <c r="AM361" s="310"/>
      <c r="AN361" s="310"/>
      <c r="AO361" s="310"/>
      <c r="AP361" s="12"/>
      <c r="AQ361" s="3"/>
      <c r="AR361" s="3"/>
      <c r="AS361" s="3"/>
      <c r="AT361" s="3"/>
      <c r="AU361" s="3"/>
      <c r="AV361" s="3"/>
      <c r="AW361" s="3"/>
      <c r="AX361" s="3"/>
      <c r="AY361" s="3"/>
      <c r="AZ361" s="3"/>
      <c r="BA361" s="3"/>
      <c r="BB361" s="3"/>
      <c r="BC361" s="3"/>
    </row>
    <row r="362" ht="15.75" customHeight="1">
      <c r="A362" s="12"/>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c r="AA362" s="310"/>
      <c r="AB362" s="310"/>
      <c r="AC362" s="310"/>
      <c r="AD362" s="310"/>
      <c r="AE362" s="310"/>
      <c r="AF362" s="310"/>
      <c r="AG362" s="310"/>
      <c r="AH362" s="310"/>
      <c r="AI362" s="310"/>
      <c r="AJ362" s="310"/>
      <c r="AK362" s="310"/>
      <c r="AL362" s="310"/>
      <c r="AM362" s="310"/>
      <c r="AN362" s="310"/>
      <c r="AO362" s="310"/>
      <c r="AP362" s="12"/>
      <c r="AQ362" s="3"/>
      <c r="AR362" s="3"/>
      <c r="AS362" s="3"/>
      <c r="AT362" s="3"/>
      <c r="AU362" s="3"/>
      <c r="AV362" s="3"/>
      <c r="AW362" s="3"/>
      <c r="AX362" s="3"/>
      <c r="AY362" s="3"/>
      <c r="AZ362" s="3"/>
      <c r="BA362" s="3"/>
      <c r="BB362" s="3"/>
      <c r="BC362" s="3"/>
    </row>
    <row r="363" ht="15.75" customHeight="1">
      <c r="A363" s="12"/>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c r="AA363" s="310"/>
      <c r="AB363" s="310"/>
      <c r="AC363" s="310"/>
      <c r="AD363" s="310"/>
      <c r="AE363" s="310"/>
      <c r="AF363" s="310"/>
      <c r="AG363" s="310"/>
      <c r="AH363" s="310"/>
      <c r="AI363" s="310"/>
      <c r="AJ363" s="310"/>
      <c r="AK363" s="310"/>
      <c r="AL363" s="310"/>
      <c r="AM363" s="310"/>
      <c r="AN363" s="310"/>
      <c r="AO363" s="310"/>
      <c r="AP363" s="12"/>
      <c r="AQ363" s="3"/>
      <c r="AR363" s="3"/>
      <c r="AS363" s="3"/>
      <c r="AT363" s="3"/>
      <c r="AU363" s="3"/>
      <c r="AV363" s="3"/>
      <c r="AW363" s="3"/>
      <c r="AX363" s="3"/>
      <c r="AY363" s="3"/>
      <c r="AZ363" s="3"/>
      <c r="BA363" s="3"/>
      <c r="BB363" s="3"/>
      <c r="BC363" s="3"/>
    </row>
    <row r="364" ht="15.75" customHeight="1">
      <c r="A364" s="12"/>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c r="AA364" s="310"/>
      <c r="AB364" s="310"/>
      <c r="AC364" s="310"/>
      <c r="AD364" s="310"/>
      <c r="AE364" s="310"/>
      <c r="AF364" s="310"/>
      <c r="AG364" s="310"/>
      <c r="AH364" s="310"/>
      <c r="AI364" s="310"/>
      <c r="AJ364" s="310"/>
      <c r="AK364" s="310"/>
      <c r="AL364" s="310"/>
      <c r="AM364" s="310"/>
      <c r="AN364" s="310"/>
      <c r="AO364" s="310"/>
      <c r="AP364" s="12"/>
      <c r="AQ364" s="3"/>
      <c r="AR364" s="3"/>
      <c r="AS364" s="3"/>
      <c r="AT364" s="3"/>
      <c r="AU364" s="3"/>
      <c r="AV364" s="3"/>
      <c r="AW364" s="3"/>
      <c r="AX364" s="3"/>
      <c r="AY364" s="3"/>
      <c r="AZ364" s="3"/>
      <c r="BA364" s="3"/>
      <c r="BB364" s="3"/>
      <c r="BC364" s="3"/>
    </row>
    <row r="365" ht="15.75" customHeight="1">
      <c r="A365" s="12"/>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c r="AA365" s="310"/>
      <c r="AB365" s="310"/>
      <c r="AC365" s="310"/>
      <c r="AD365" s="310"/>
      <c r="AE365" s="310"/>
      <c r="AF365" s="310"/>
      <c r="AG365" s="310"/>
      <c r="AH365" s="310"/>
      <c r="AI365" s="310"/>
      <c r="AJ365" s="310"/>
      <c r="AK365" s="310"/>
      <c r="AL365" s="310"/>
      <c r="AM365" s="310"/>
      <c r="AN365" s="310"/>
      <c r="AO365" s="310"/>
      <c r="AP365" s="12"/>
      <c r="AQ365" s="3"/>
      <c r="AR365" s="3"/>
      <c r="AS365" s="3"/>
      <c r="AT365" s="3"/>
      <c r="AU365" s="3"/>
      <c r="AV365" s="3"/>
      <c r="AW365" s="3"/>
      <c r="AX365" s="3"/>
      <c r="AY365" s="3"/>
      <c r="AZ365" s="3"/>
      <c r="BA365" s="3"/>
      <c r="BB365" s="3"/>
      <c r="BC365" s="3"/>
    </row>
    <row r="366" ht="15.75" customHeight="1">
      <c r="A366" s="12"/>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c r="AA366" s="310"/>
      <c r="AB366" s="310"/>
      <c r="AC366" s="310"/>
      <c r="AD366" s="310"/>
      <c r="AE366" s="310"/>
      <c r="AF366" s="310"/>
      <c r="AG366" s="310"/>
      <c r="AH366" s="310"/>
      <c r="AI366" s="310"/>
      <c r="AJ366" s="310"/>
      <c r="AK366" s="310"/>
      <c r="AL366" s="310"/>
      <c r="AM366" s="310"/>
      <c r="AN366" s="310"/>
      <c r="AO366" s="310"/>
      <c r="AP366" s="12"/>
      <c r="AQ366" s="3"/>
      <c r="AR366" s="3"/>
      <c r="AS366" s="3"/>
      <c r="AT366" s="3"/>
      <c r="AU366" s="3"/>
      <c r="AV366" s="3"/>
      <c r="AW366" s="3"/>
      <c r="AX366" s="3"/>
      <c r="AY366" s="3"/>
      <c r="AZ366" s="3"/>
      <c r="BA366" s="3"/>
      <c r="BB366" s="3"/>
      <c r="BC366" s="3"/>
    </row>
    <row r="367" ht="15.75" customHeight="1">
      <c r="A367" s="12"/>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c r="AA367" s="310"/>
      <c r="AB367" s="310"/>
      <c r="AC367" s="310"/>
      <c r="AD367" s="310"/>
      <c r="AE367" s="310"/>
      <c r="AF367" s="310"/>
      <c r="AG367" s="310"/>
      <c r="AH367" s="310"/>
      <c r="AI367" s="310"/>
      <c r="AJ367" s="310"/>
      <c r="AK367" s="310"/>
      <c r="AL367" s="310"/>
      <c r="AM367" s="310"/>
      <c r="AN367" s="310"/>
      <c r="AO367" s="310"/>
      <c r="AP367" s="12"/>
      <c r="AQ367" s="3"/>
      <c r="AR367" s="3"/>
      <c r="AS367" s="3"/>
      <c r="AT367" s="3"/>
      <c r="AU367" s="3"/>
      <c r="AV367" s="3"/>
      <c r="AW367" s="3"/>
      <c r="AX367" s="3"/>
      <c r="AY367" s="3"/>
      <c r="AZ367" s="3"/>
      <c r="BA367" s="3"/>
      <c r="BB367" s="3"/>
      <c r="BC367" s="3"/>
    </row>
    <row r="368" ht="15.75" customHeight="1">
      <c r="A368" s="12"/>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c r="AA368" s="310"/>
      <c r="AB368" s="310"/>
      <c r="AC368" s="310"/>
      <c r="AD368" s="310"/>
      <c r="AE368" s="310"/>
      <c r="AF368" s="310"/>
      <c r="AG368" s="310"/>
      <c r="AH368" s="310"/>
      <c r="AI368" s="310"/>
      <c r="AJ368" s="310"/>
      <c r="AK368" s="310"/>
      <c r="AL368" s="310"/>
      <c r="AM368" s="310"/>
      <c r="AN368" s="310"/>
      <c r="AO368" s="310"/>
      <c r="AP368" s="12"/>
      <c r="AQ368" s="3"/>
      <c r="AR368" s="3"/>
      <c r="AS368" s="3"/>
      <c r="AT368" s="3"/>
      <c r="AU368" s="3"/>
      <c r="AV368" s="3"/>
      <c r="AW368" s="3"/>
      <c r="AX368" s="3"/>
      <c r="AY368" s="3"/>
      <c r="AZ368" s="3"/>
      <c r="BA368" s="3"/>
      <c r="BB368" s="3"/>
      <c r="BC368" s="3"/>
    </row>
    <row r="369" ht="15.75" customHeight="1">
      <c r="A369" s="12"/>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c r="AA369" s="310"/>
      <c r="AB369" s="310"/>
      <c r="AC369" s="310"/>
      <c r="AD369" s="310"/>
      <c r="AE369" s="310"/>
      <c r="AF369" s="310"/>
      <c r="AG369" s="310"/>
      <c r="AH369" s="310"/>
      <c r="AI369" s="310"/>
      <c r="AJ369" s="310"/>
      <c r="AK369" s="310"/>
      <c r="AL369" s="310"/>
      <c r="AM369" s="310"/>
      <c r="AN369" s="310"/>
      <c r="AO369" s="310"/>
      <c r="AP369" s="12"/>
      <c r="AQ369" s="3"/>
      <c r="AR369" s="3"/>
      <c r="AS369" s="3"/>
      <c r="AT369" s="3"/>
      <c r="AU369" s="3"/>
      <c r="AV369" s="3"/>
      <c r="AW369" s="3"/>
      <c r="AX369" s="3"/>
      <c r="AY369" s="3"/>
      <c r="AZ369" s="3"/>
      <c r="BA369" s="3"/>
      <c r="BB369" s="3"/>
      <c r="BC369" s="3"/>
    </row>
    <row r="370" ht="15.75" customHeight="1">
      <c r="A370" s="12"/>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310"/>
      <c r="AH370" s="310"/>
      <c r="AI370" s="310"/>
      <c r="AJ370" s="310"/>
      <c r="AK370" s="310"/>
      <c r="AL370" s="310"/>
      <c r="AM370" s="310"/>
      <c r="AN370" s="310"/>
      <c r="AO370" s="310"/>
      <c r="AP370" s="12"/>
      <c r="AQ370" s="3"/>
      <c r="AR370" s="3"/>
      <c r="AS370" s="3"/>
      <c r="AT370" s="3"/>
      <c r="AU370" s="3"/>
      <c r="AV370" s="3"/>
      <c r="AW370" s="3"/>
      <c r="AX370" s="3"/>
      <c r="AY370" s="3"/>
      <c r="AZ370" s="3"/>
      <c r="BA370" s="3"/>
      <c r="BB370" s="3"/>
      <c r="BC370" s="3"/>
    </row>
    <row r="371" ht="15.75" customHeight="1">
      <c r="A371" s="12"/>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310"/>
      <c r="AH371" s="310"/>
      <c r="AI371" s="310"/>
      <c r="AJ371" s="310"/>
      <c r="AK371" s="310"/>
      <c r="AL371" s="310"/>
      <c r="AM371" s="310"/>
      <c r="AN371" s="310"/>
      <c r="AO371" s="310"/>
      <c r="AP371" s="12"/>
      <c r="AQ371" s="3"/>
      <c r="AR371" s="3"/>
      <c r="AS371" s="3"/>
      <c r="AT371" s="3"/>
      <c r="AU371" s="3"/>
      <c r="AV371" s="3"/>
      <c r="AW371" s="3"/>
      <c r="AX371" s="3"/>
      <c r="AY371" s="3"/>
      <c r="AZ371" s="3"/>
      <c r="BA371" s="3"/>
      <c r="BB371" s="3"/>
      <c r="BC371" s="3"/>
    </row>
    <row r="372" ht="15.75" customHeight="1">
      <c r="A372" s="12"/>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310"/>
      <c r="AH372" s="310"/>
      <c r="AI372" s="310"/>
      <c r="AJ372" s="310"/>
      <c r="AK372" s="310"/>
      <c r="AL372" s="310"/>
      <c r="AM372" s="310"/>
      <c r="AN372" s="310"/>
      <c r="AO372" s="310"/>
      <c r="AP372" s="12"/>
      <c r="AQ372" s="3"/>
      <c r="AR372" s="3"/>
      <c r="AS372" s="3"/>
      <c r="AT372" s="3"/>
      <c r="AU372" s="3"/>
      <c r="AV372" s="3"/>
      <c r="AW372" s="3"/>
      <c r="AX372" s="3"/>
      <c r="AY372" s="3"/>
      <c r="AZ372" s="3"/>
      <c r="BA372" s="3"/>
      <c r="BB372" s="3"/>
      <c r="BC372" s="3"/>
    </row>
    <row r="373" ht="15.75" customHeight="1">
      <c r="A373" s="12"/>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310"/>
      <c r="AH373" s="310"/>
      <c r="AI373" s="310"/>
      <c r="AJ373" s="310"/>
      <c r="AK373" s="310"/>
      <c r="AL373" s="310"/>
      <c r="AM373" s="310"/>
      <c r="AN373" s="310"/>
      <c r="AO373" s="310"/>
      <c r="AP373" s="12"/>
      <c r="AQ373" s="3"/>
      <c r="AR373" s="3"/>
      <c r="AS373" s="3"/>
      <c r="AT373" s="3"/>
      <c r="AU373" s="3"/>
      <c r="AV373" s="3"/>
      <c r="AW373" s="3"/>
      <c r="AX373" s="3"/>
      <c r="AY373" s="3"/>
      <c r="AZ373" s="3"/>
      <c r="BA373" s="3"/>
      <c r="BB373" s="3"/>
      <c r="BC373" s="3"/>
    </row>
    <row r="374" ht="15.75" customHeight="1">
      <c r="A374" s="12"/>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c r="AB374" s="310"/>
      <c r="AC374" s="310"/>
      <c r="AD374" s="310"/>
      <c r="AE374" s="310"/>
      <c r="AF374" s="310"/>
      <c r="AG374" s="310"/>
      <c r="AH374" s="310"/>
      <c r="AI374" s="310"/>
      <c r="AJ374" s="310"/>
      <c r="AK374" s="310"/>
      <c r="AL374" s="310"/>
      <c r="AM374" s="310"/>
      <c r="AN374" s="310"/>
      <c r="AO374" s="310"/>
      <c r="AP374" s="12"/>
      <c r="AQ374" s="3"/>
      <c r="AR374" s="3"/>
      <c r="AS374" s="3"/>
      <c r="AT374" s="3"/>
      <c r="AU374" s="3"/>
      <c r="AV374" s="3"/>
      <c r="AW374" s="3"/>
      <c r="AX374" s="3"/>
      <c r="AY374" s="3"/>
      <c r="AZ374" s="3"/>
      <c r="BA374" s="3"/>
      <c r="BB374" s="3"/>
      <c r="BC374" s="3"/>
    </row>
    <row r="375" ht="15.75" customHeight="1">
      <c r="A375" s="12"/>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c r="AB375" s="310"/>
      <c r="AC375" s="310"/>
      <c r="AD375" s="310"/>
      <c r="AE375" s="310"/>
      <c r="AF375" s="310"/>
      <c r="AG375" s="310"/>
      <c r="AH375" s="310"/>
      <c r="AI375" s="310"/>
      <c r="AJ375" s="310"/>
      <c r="AK375" s="310"/>
      <c r="AL375" s="310"/>
      <c r="AM375" s="310"/>
      <c r="AN375" s="310"/>
      <c r="AO375" s="310"/>
      <c r="AP375" s="12"/>
      <c r="AQ375" s="3"/>
      <c r="AR375" s="3"/>
      <c r="AS375" s="3"/>
      <c r="AT375" s="3"/>
      <c r="AU375" s="3"/>
      <c r="AV375" s="3"/>
      <c r="AW375" s="3"/>
      <c r="AX375" s="3"/>
      <c r="AY375" s="3"/>
      <c r="AZ375" s="3"/>
      <c r="BA375" s="3"/>
      <c r="BB375" s="3"/>
      <c r="BC375" s="3"/>
    </row>
    <row r="376" ht="15.75" customHeight="1">
      <c r="A376" s="12"/>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c r="AA376" s="310"/>
      <c r="AB376" s="310"/>
      <c r="AC376" s="310"/>
      <c r="AD376" s="310"/>
      <c r="AE376" s="310"/>
      <c r="AF376" s="310"/>
      <c r="AG376" s="310"/>
      <c r="AH376" s="310"/>
      <c r="AI376" s="310"/>
      <c r="AJ376" s="310"/>
      <c r="AK376" s="310"/>
      <c r="AL376" s="310"/>
      <c r="AM376" s="310"/>
      <c r="AN376" s="310"/>
      <c r="AO376" s="310"/>
      <c r="AP376" s="12"/>
      <c r="AQ376" s="3"/>
      <c r="AR376" s="3"/>
      <c r="AS376" s="3"/>
      <c r="AT376" s="3"/>
      <c r="AU376" s="3"/>
      <c r="AV376" s="3"/>
      <c r="AW376" s="3"/>
      <c r="AX376" s="3"/>
      <c r="AY376" s="3"/>
      <c r="AZ376" s="3"/>
      <c r="BA376" s="3"/>
      <c r="BB376" s="3"/>
      <c r="BC376" s="3"/>
    </row>
    <row r="377" ht="15.75" customHeight="1">
      <c r="A377" s="12"/>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c r="AA377" s="310"/>
      <c r="AB377" s="310"/>
      <c r="AC377" s="310"/>
      <c r="AD377" s="310"/>
      <c r="AE377" s="310"/>
      <c r="AF377" s="310"/>
      <c r="AG377" s="310"/>
      <c r="AH377" s="310"/>
      <c r="AI377" s="310"/>
      <c r="AJ377" s="310"/>
      <c r="AK377" s="310"/>
      <c r="AL377" s="310"/>
      <c r="AM377" s="310"/>
      <c r="AN377" s="310"/>
      <c r="AO377" s="310"/>
      <c r="AP377" s="12"/>
      <c r="AQ377" s="3"/>
      <c r="AR377" s="3"/>
      <c r="AS377" s="3"/>
      <c r="AT377" s="3"/>
      <c r="AU377" s="3"/>
      <c r="AV377" s="3"/>
      <c r="AW377" s="3"/>
      <c r="AX377" s="3"/>
      <c r="AY377" s="3"/>
      <c r="AZ377" s="3"/>
      <c r="BA377" s="3"/>
      <c r="BB377" s="3"/>
      <c r="BC377" s="3"/>
    </row>
    <row r="378" ht="15.75" customHeight="1">
      <c r="A378" s="12"/>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c r="AB378" s="310"/>
      <c r="AC378" s="310"/>
      <c r="AD378" s="310"/>
      <c r="AE378" s="310"/>
      <c r="AF378" s="310"/>
      <c r="AG378" s="310"/>
      <c r="AH378" s="310"/>
      <c r="AI378" s="310"/>
      <c r="AJ378" s="310"/>
      <c r="AK378" s="310"/>
      <c r="AL378" s="310"/>
      <c r="AM378" s="310"/>
      <c r="AN378" s="310"/>
      <c r="AO378" s="310"/>
      <c r="AP378" s="12"/>
      <c r="AQ378" s="3"/>
      <c r="AR378" s="3"/>
      <c r="AS378" s="3"/>
      <c r="AT378" s="3"/>
      <c r="AU378" s="3"/>
      <c r="AV378" s="3"/>
      <c r="AW378" s="3"/>
      <c r="AX378" s="3"/>
      <c r="AY378" s="3"/>
      <c r="AZ378" s="3"/>
      <c r="BA378" s="3"/>
      <c r="BB378" s="3"/>
      <c r="BC378" s="3"/>
    </row>
    <row r="379" ht="15.75" customHeight="1">
      <c r="A379" s="12"/>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c r="AA379" s="310"/>
      <c r="AB379" s="310"/>
      <c r="AC379" s="310"/>
      <c r="AD379" s="310"/>
      <c r="AE379" s="310"/>
      <c r="AF379" s="310"/>
      <c r="AG379" s="310"/>
      <c r="AH379" s="310"/>
      <c r="AI379" s="310"/>
      <c r="AJ379" s="310"/>
      <c r="AK379" s="310"/>
      <c r="AL379" s="310"/>
      <c r="AM379" s="310"/>
      <c r="AN379" s="310"/>
      <c r="AO379" s="310"/>
      <c r="AP379" s="12"/>
      <c r="AQ379" s="3"/>
      <c r="AR379" s="3"/>
      <c r="AS379" s="3"/>
      <c r="AT379" s="3"/>
      <c r="AU379" s="3"/>
      <c r="AV379" s="3"/>
      <c r="AW379" s="3"/>
      <c r="AX379" s="3"/>
      <c r="AY379" s="3"/>
      <c r="AZ379" s="3"/>
      <c r="BA379" s="3"/>
      <c r="BB379" s="3"/>
      <c r="BC379" s="3"/>
    </row>
    <row r="380" ht="15.75" customHeight="1">
      <c r="A380" s="12"/>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c r="AA380" s="310"/>
      <c r="AB380" s="310"/>
      <c r="AC380" s="310"/>
      <c r="AD380" s="310"/>
      <c r="AE380" s="310"/>
      <c r="AF380" s="310"/>
      <c r="AG380" s="310"/>
      <c r="AH380" s="310"/>
      <c r="AI380" s="310"/>
      <c r="AJ380" s="310"/>
      <c r="AK380" s="310"/>
      <c r="AL380" s="310"/>
      <c r="AM380" s="310"/>
      <c r="AN380" s="310"/>
      <c r="AO380" s="310"/>
      <c r="AP380" s="12"/>
      <c r="AQ380" s="3"/>
      <c r="AR380" s="3"/>
      <c r="AS380" s="3"/>
      <c r="AT380" s="3"/>
      <c r="AU380" s="3"/>
      <c r="AV380" s="3"/>
      <c r="AW380" s="3"/>
      <c r="AX380" s="3"/>
      <c r="AY380" s="3"/>
      <c r="AZ380" s="3"/>
      <c r="BA380" s="3"/>
      <c r="BB380" s="3"/>
      <c r="BC380" s="3"/>
    </row>
    <row r="381" ht="15.75" customHeight="1">
      <c r="A381" s="12"/>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c r="AA381" s="310"/>
      <c r="AB381" s="310"/>
      <c r="AC381" s="310"/>
      <c r="AD381" s="310"/>
      <c r="AE381" s="310"/>
      <c r="AF381" s="310"/>
      <c r="AG381" s="310"/>
      <c r="AH381" s="310"/>
      <c r="AI381" s="310"/>
      <c r="AJ381" s="310"/>
      <c r="AK381" s="310"/>
      <c r="AL381" s="310"/>
      <c r="AM381" s="310"/>
      <c r="AN381" s="310"/>
      <c r="AO381" s="310"/>
      <c r="AP381" s="12"/>
      <c r="AQ381" s="3"/>
      <c r="AR381" s="3"/>
      <c r="AS381" s="3"/>
      <c r="AT381" s="3"/>
      <c r="AU381" s="3"/>
      <c r="AV381" s="3"/>
      <c r="AW381" s="3"/>
      <c r="AX381" s="3"/>
      <c r="AY381" s="3"/>
      <c r="AZ381" s="3"/>
      <c r="BA381" s="3"/>
      <c r="BB381" s="3"/>
      <c r="BC381" s="3"/>
    </row>
    <row r="382" ht="15.75" customHeight="1">
      <c r="A382" s="12"/>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c r="AA382" s="310"/>
      <c r="AB382" s="310"/>
      <c r="AC382" s="310"/>
      <c r="AD382" s="310"/>
      <c r="AE382" s="310"/>
      <c r="AF382" s="310"/>
      <c r="AG382" s="310"/>
      <c r="AH382" s="310"/>
      <c r="AI382" s="310"/>
      <c r="AJ382" s="310"/>
      <c r="AK382" s="310"/>
      <c r="AL382" s="310"/>
      <c r="AM382" s="310"/>
      <c r="AN382" s="310"/>
      <c r="AO382" s="310"/>
      <c r="AP382" s="12"/>
      <c r="AQ382" s="3"/>
      <c r="AR382" s="3"/>
      <c r="AS382" s="3"/>
      <c r="AT382" s="3"/>
      <c r="AU382" s="3"/>
      <c r="AV382" s="3"/>
      <c r="AW382" s="3"/>
      <c r="AX382" s="3"/>
      <c r="AY382" s="3"/>
      <c r="AZ382" s="3"/>
      <c r="BA382" s="3"/>
      <c r="BB382" s="3"/>
      <c r="BC382" s="3"/>
    </row>
    <row r="383" ht="15.75" customHeight="1">
      <c r="A383" s="12"/>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c r="AA383" s="310"/>
      <c r="AB383" s="310"/>
      <c r="AC383" s="310"/>
      <c r="AD383" s="310"/>
      <c r="AE383" s="310"/>
      <c r="AF383" s="310"/>
      <c r="AG383" s="310"/>
      <c r="AH383" s="310"/>
      <c r="AI383" s="310"/>
      <c r="AJ383" s="310"/>
      <c r="AK383" s="310"/>
      <c r="AL383" s="310"/>
      <c r="AM383" s="310"/>
      <c r="AN383" s="310"/>
      <c r="AO383" s="310"/>
      <c r="AP383" s="12"/>
      <c r="AQ383" s="3"/>
      <c r="AR383" s="3"/>
      <c r="AS383" s="3"/>
      <c r="AT383" s="3"/>
      <c r="AU383" s="3"/>
      <c r="AV383" s="3"/>
      <c r="AW383" s="3"/>
      <c r="AX383" s="3"/>
      <c r="AY383" s="3"/>
      <c r="AZ383" s="3"/>
      <c r="BA383" s="3"/>
      <c r="BB383" s="3"/>
      <c r="BC383" s="3"/>
    </row>
    <row r="384" ht="15.75" customHeight="1">
      <c r="A384" s="12"/>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c r="AA384" s="310"/>
      <c r="AB384" s="310"/>
      <c r="AC384" s="310"/>
      <c r="AD384" s="310"/>
      <c r="AE384" s="310"/>
      <c r="AF384" s="310"/>
      <c r="AG384" s="310"/>
      <c r="AH384" s="310"/>
      <c r="AI384" s="310"/>
      <c r="AJ384" s="310"/>
      <c r="AK384" s="310"/>
      <c r="AL384" s="310"/>
      <c r="AM384" s="310"/>
      <c r="AN384" s="310"/>
      <c r="AO384" s="310"/>
      <c r="AP384" s="12"/>
      <c r="AQ384" s="3"/>
      <c r="AR384" s="3"/>
      <c r="AS384" s="3"/>
      <c r="AT384" s="3"/>
      <c r="AU384" s="3"/>
      <c r="AV384" s="3"/>
      <c r="AW384" s="3"/>
      <c r="AX384" s="3"/>
      <c r="AY384" s="3"/>
      <c r="AZ384" s="3"/>
      <c r="BA384" s="3"/>
      <c r="BB384" s="3"/>
      <c r="BC384" s="3"/>
    </row>
    <row r="385" ht="15.75" customHeight="1">
      <c r="A385" s="12"/>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c r="AA385" s="310"/>
      <c r="AB385" s="310"/>
      <c r="AC385" s="310"/>
      <c r="AD385" s="310"/>
      <c r="AE385" s="310"/>
      <c r="AF385" s="310"/>
      <c r="AG385" s="310"/>
      <c r="AH385" s="310"/>
      <c r="AI385" s="310"/>
      <c r="AJ385" s="310"/>
      <c r="AK385" s="310"/>
      <c r="AL385" s="310"/>
      <c r="AM385" s="310"/>
      <c r="AN385" s="310"/>
      <c r="AO385" s="310"/>
      <c r="AP385" s="12"/>
      <c r="AQ385" s="3"/>
      <c r="AR385" s="3"/>
      <c r="AS385" s="3"/>
      <c r="AT385" s="3"/>
      <c r="AU385" s="3"/>
      <c r="AV385" s="3"/>
      <c r="AW385" s="3"/>
      <c r="AX385" s="3"/>
      <c r="AY385" s="3"/>
      <c r="AZ385" s="3"/>
      <c r="BA385" s="3"/>
      <c r="BB385" s="3"/>
      <c r="BC385" s="3"/>
    </row>
    <row r="386" ht="15.75" customHeight="1">
      <c r="A386" s="12"/>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c r="AA386" s="310"/>
      <c r="AB386" s="310"/>
      <c r="AC386" s="310"/>
      <c r="AD386" s="310"/>
      <c r="AE386" s="310"/>
      <c r="AF386" s="310"/>
      <c r="AG386" s="310"/>
      <c r="AH386" s="310"/>
      <c r="AI386" s="310"/>
      <c r="AJ386" s="310"/>
      <c r="AK386" s="310"/>
      <c r="AL386" s="310"/>
      <c r="AM386" s="310"/>
      <c r="AN386" s="310"/>
      <c r="AO386" s="310"/>
      <c r="AP386" s="12"/>
      <c r="AQ386" s="3"/>
      <c r="AR386" s="3"/>
      <c r="AS386" s="3"/>
      <c r="AT386" s="3"/>
      <c r="AU386" s="3"/>
      <c r="AV386" s="3"/>
      <c r="AW386" s="3"/>
      <c r="AX386" s="3"/>
      <c r="AY386" s="3"/>
      <c r="AZ386" s="3"/>
      <c r="BA386" s="3"/>
      <c r="BB386" s="3"/>
      <c r="BC386" s="3"/>
    </row>
    <row r="387" ht="15.75" customHeight="1">
      <c r="A387" s="12"/>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310"/>
      <c r="AH387" s="310"/>
      <c r="AI387" s="310"/>
      <c r="AJ387" s="310"/>
      <c r="AK387" s="310"/>
      <c r="AL387" s="310"/>
      <c r="AM387" s="310"/>
      <c r="AN387" s="310"/>
      <c r="AO387" s="310"/>
      <c r="AP387" s="12"/>
      <c r="AQ387" s="3"/>
      <c r="AR387" s="3"/>
      <c r="AS387" s="3"/>
      <c r="AT387" s="3"/>
      <c r="AU387" s="3"/>
      <c r="AV387" s="3"/>
      <c r="AW387" s="3"/>
      <c r="AX387" s="3"/>
      <c r="AY387" s="3"/>
      <c r="AZ387" s="3"/>
      <c r="BA387" s="3"/>
      <c r="BB387" s="3"/>
      <c r="BC387" s="3"/>
    </row>
    <row r="388" ht="15.75" customHeight="1">
      <c r="A388" s="12"/>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c r="AA388" s="310"/>
      <c r="AB388" s="310"/>
      <c r="AC388" s="310"/>
      <c r="AD388" s="310"/>
      <c r="AE388" s="310"/>
      <c r="AF388" s="310"/>
      <c r="AG388" s="310"/>
      <c r="AH388" s="310"/>
      <c r="AI388" s="310"/>
      <c r="AJ388" s="310"/>
      <c r="AK388" s="310"/>
      <c r="AL388" s="310"/>
      <c r="AM388" s="310"/>
      <c r="AN388" s="310"/>
      <c r="AO388" s="310"/>
      <c r="AP388" s="12"/>
      <c r="AQ388" s="3"/>
      <c r="AR388" s="3"/>
      <c r="AS388" s="3"/>
      <c r="AT388" s="3"/>
      <c r="AU388" s="3"/>
      <c r="AV388" s="3"/>
      <c r="AW388" s="3"/>
      <c r="AX388" s="3"/>
      <c r="AY388" s="3"/>
      <c r="AZ388" s="3"/>
      <c r="BA388" s="3"/>
      <c r="BB388" s="3"/>
      <c r="BC388" s="3"/>
    </row>
    <row r="389" ht="15.75" customHeight="1">
      <c r="A389" s="12"/>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c r="AA389" s="310"/>
      <c r="AB389" s="310"/>
      <c r="AC389" s="310"/>
      <c r="AD389" s="310"/>
      <c r="AE389" s="310"/>
      <c r="AF389" s="310"/>
      <c r="AG389" s="310"/>
      <c r="AH389" s="310"/>
      <c r="AI389" s="310"/>
      <c r="AJ389" s="310"/>
      <c r="AK389" s="310"/>
      <c r="AL389" s="310"/>
      <c r="AM389" s="310"/>
      <c r="AN389" s="310"/>
      <c r="AO389" s="310"/>
      <c r="AP389" s="12"/>
      <c r="AQ389" s="3"/>
      <c r="AR389" s="3"/>
      <c r="AS389" s="3"/>
      <c r="AT389" s="3"/>
      <c r="AU389" s="3"/>
      <c r="AV389" s="3"/>
      <c r="AW389" s="3"/>
      <c r="AX389" s="3"/>
      <c r="AY389" s="3"/>
      <c r="AZ389" s="3"/>
      <c r="BA389" s="3"/>
      <c r="BB389" s="3"/>
      <c r="BC389" s="3"/>
    </row>
    <row r="390" ht="15.75" customHeight="1">
      <c r="A390" s="12"/>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c r="AA390" s="310"/>
      <c r="AB390" s="310"/>
      <c r="AC390" s="310"/>
      <c r="AD390" s="310"/>
      <c r="AE390" s="310"/>
      <c r="AF390" s="310"/>
      <c r="AG390" s="310"/>
      <c r="AH390" s="310"/>
      <c r="AI390" s="310"/>
      <c r="AJ390" s="310"/>
      <c r="AK390" s="310"/>
      <c r="AL390" s="310"/>
      <c r="AM390" s="310"/>
      <c r="AN390" s="310"/>
      <c r="AO390" s="310"/>
      <c r="AP390" s="12"/>
      <c r="AQ390" s="3"/>
      <c r="AR390" s="3"/>
      <c r="AS390" s="3"/>
      <c r="AT390" s="3"/>
      <c r="AU390" s="3"/>
      <c r="AV390" s="3"/>
      <c r="AW390" s="3"/>
      <c r="AX390" s="3"/>
      <c r="AY390" s="3"/>
      <c r="AZ390" s="3"/>
      <c r="BA390" s="3"/>
      <c r="BB390" s="3"/>
      <c r="BC390" s="3"/>
    </row>
    <row r="391" ht="15.75" customHeight="1">
      <c r="A391" s="12"/>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c r="AA391" s="310"/>
      <c r="AB391" s="310"/>
      <c r="AC391" s="310"/>
      <c r="AD391" s="310"/>
      <c r="AE391" s="310"/>
      <c r="AF391" s="310"/>
      <c r="AG391" s="310"/>
      <c r="AH391" s="310"/>
      <c r="AI391" s="310"/>
      <c r="AJ391" s="310"/>
      <c r="AK391" s="310"/>
      <c r="AL391" s="310"/>
      <c r="AM391" s="310"/>
      <c r="AN391" s="310"/>
      <c r="AO391" s="310"/>
      <c r="AP391" s="12"/>
      <c r="AQ391" s="3"/>
      <c r="AR391" s="3"/>
      <c r="AS391" s="3"/>
      <c r="AT391" s="3"/>
      <c r="AU391" s="3"/>
      <c r="AV391" s="3"/>
      <c r="AW391" s="3"/>
      <c r="AX391" s="3"/>
      <c r="AY391" s="3"/>
      <c r="AZ391" s="3"/>
      <c r="BA391" s="3"/>
      <c r="BB391" s="3"/>
      <c r="BC391" s="3"/>
    </row>
    <row r="392" ht="15.75" customHeight="1">
      <c r="A392" s="12"/>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c r="AA392" s="310"/>
      <c r="AB392" s="310"/>
      <c r="AC392" s="310"/>
      <c r="AD392" s="310"/>
      <c r="AE392" s="310"/>
      <c r="AF392" s="310"/>
      <c r="AG392" s="310"/>
      <c r="AH392" s="310"/>
      <c r="AI392" s="310"/>
      <c r="AJ392" s="310"/>
      <c r="AK392" s="310"/>
      <c r="AL392" s="310"/>
      <c r="AM392" s="310"/>
      <c r="AN392" s="310"/>
      <c r="AO392" s="310"/>
      <c r="AP392" s="12"/>
      <c r="AQ392" s="3"/>
      <c r="AR392" s="3"/>
      <c r="AS392" s="3"/>
      <c r="AT392" s="3"/>
      <c r="AU392" s="3"/>
      <c r="AV392" s="3"/>
      <c r="AW392" s="3"/>
      <c r="AX392" s="3"/>
      <c r="AY392" s="3"/>
      <c r="AZ392" s="3"/>
      <c r="BA392" s="3"/>
      <c r="BB392" s="3"/>
      <c r="BC392" s="3"/>
    </row>
    <row r="393" ht="15.75" customHeight="1">
      <c r="A393" s="12"/>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c r="AA393" s="310"/>
      <c r="AB393" s="310"/>
      <c r="AC393" s="310"/>
      <c r="AD393" s="310"/>
      <c r="AE393" s="310"/>
      <c r="AF393" s="310"/>
      <c r="AG393" s="310"/>
      <c r="AH393" s="310"/>
      <c r="AI393" s="310"/>
      <c r="AJ393" s="310"/>
      <c r="AK393" s="310"/>
      <c r="AL393" s="310"/>
      <c r="AM393" s="310"/>
      <c r="AN393" s="310"/>
      <c r="AO393" s="310"/>
      <c r="AP393" s="12"/>
      <c r="AQ393" s="3"/>
      <c r="AR393" s="3"/>
      <c r="AS393" s="3"/>
      <c r="AT393" s="3"/>
      <c r="AU393" s="3"/>
      <c r="AV393" s="3"/>
      <c r="AW393" s="3"/>
      <c r="AX393" s="3"/>
      <c r="AY393" s="3"/>
      <c r="AZ393" s="3"/>
      <c r="BA393" s="3"/>
      <c r="BB393" s="3"/>
      <c r="BC393" s="3"/>
    </row>
    <row r="394" ht="15.75" customHeight="1">
      <c r="A394" s="12"/>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c r="AA394" s="310"/>
      <c r="AB394" s="310"/>
      <c r="AC394" s="310"/>
      <c r="AD394" s="310"/>
      <c r="AE394" s="310"/>
      <c r="AF394" s="310"/>
      <c r="AG394" s="310"/>
      <c r="AH394" s="310"/>
      <c r="AI394" s="310"/>
      <c r="AJ394" s="310"/>
      <c r="AK394" s="310"/>
      <c r="AL394" s="310"/>
      <c r="AM394" s="310"/>
      <c r="AN394" s="310"/>
      <c r="AO394" s="310"/>
      <c r="AP394" s="12"/>
      <c r="AQ394" s="3"/>
      <c r="AR394" s="3"/>
      <c r="AS394" s="3"/>
      <c r="AT394" s="3"/>
      <c r="AU394" s="3"/>
      <c r="AV394" s="3"/>
      <c r="AW394" s="3"/>
      <c r="AX394" s="3"/>
      <c r="AY394" s="3"/>
      <c r="AZ394" s="3"/>
      <c r="BA394" s="3"/>
      <c r="BB394" s="3"/>
      <c r="BC394" s="3"/>
    </row>
    <row r="395" ht="15.75" customHeight="1">
      <c r="A395" s="12"/>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c r="AA395" s="310"/>
      <c r="AB395" s="310"/>
      <c r="AC395" s="310"/>
      <c r="AD395" s="310"/>
      <c r="AE395" s="310"/>
      <c r="AF395" s="310"/>
      <c r="AG395" s="310"/>
      <c r="AH395" s="310"/>
      <c r="AI395" s="310"/>
      <c r="AJ395" s="310"/>
      <c r="AK395" s="310"/>
      <c r="AL395" s="310"/>
      <c r="AM395" s="310"/>
      <c r="AN395" s="310"/>
      <c r="AO395" s="310"/>
      <c r="AP395" s="12"/>
      <c r="AQ395" s="3"/>
      <c r="AR395" s="3"/>
      <c r="AS395" s="3"/>
      <c r="AT395" s="3"/>
      <c r="AU395" s="3"/>
      <c r="AV395" s="3"/>
      <c r="AW395" s="3"/>
      <c r="AX395" s="3"/>
      <c r="AY395" s="3"/>
      <c r="AZ395" s="3"/>
      <c r="BA395" s="3"/>
      <c r="BB395" s="3"/>
      <c r="BC395" s="3"/>
    </row>
    <row r="396" ht="15.75" customHeight="1">
      <c r="A396" s="12"/>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c r="AA396" s="310"/>
      <c r="AB396" s="310"/>
      <c r="AC396" s="310"/>
      <c r="AD396" s="310"/>
      <c r="AE396" s="310"/>
      <c r="AF396" s="310"/>
      <c r="AG396" s="310"/>
      <c r="AH396" s="310"/>
      <c r="AI396" s="310"/>
      <c r="AJ396" s="310"/>
      <c r="AK396" s="310"/>
      <c r="AL396" s="310"/>
      <c r="AM396" s="310"/>
      <c r="AN396" s="310"/>
      <c r="AO396" s="310"/>
      <c r="AP396" s="12"/>
      <c r="AQ396" s="3"/>
      <c r="AR396" s="3"/>
      <c r="AS396" s="3"/>
      <c r="AT396" s="3"/>
      <c r="AU396" s="3"/>
      <c r="AV396" s="3"/>
      <c r="AW396" s="3"/>
      <c r="AX396" s="3"/>
      <c r="AY396" s="3"/>
      <c r="AZ396" s="3"/>
      <c r="BA396" s="3"/>
      <c r="BB396" s="3"/>
      <c r="BC396" s="3"/>
    </row>
    <row r="397" ht="15.75" customHeight="1">
      <c r="A397" s="12"/>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c r="AA397" s="310"/>
      <c r="AB397" s="310"/>
      <c r="AC397" s="310"/>
      <c r="AD397" s="310"/>
      <c r="AE397" s="310"/>
      <c r="AF397" s="310"/>
      <c r="AG397" s="310"/>
      <c r="AH397" s="310"/>
      <c r="AI397" s="310"/>
      <c r="AJ397" s="310"/>
      <c r="AK397" s="310"/>
      <c r="AL397" s="310"/>
      <c r="AM397" s="310"/>
      <c r="AN397" s="310"/>
      <c r="AO397" s="310"/>
      <c r="AP397" s="12"/>
      <c r="AQ397" s="3"/>
      <c r="AR397" s="3"/>
      <c r="AS397" s="3"/>
      <c r="AT397" s="3"/>
      <c r="AU397" s="3"/>
      <c r="AV397" s="3"/>
      <c r="AW397" s="3"/>
      <c r="AX397" s="3"/>
      <c r="AY397" s="3"/>
      <c r="AZ397" s="3"/>
      <c r="BA397" s="3"/>
      <c r="BB397" s="3"/>
      <c r="BC397" s="3"/>
    </row>
    <row r="398" ht="15.75" customHeight="1">
      <c r="A398" s="12"/>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c r="AA398" s="310"/>
      <c r="AB398" s="310"/>
      <c r="AC398" s="310"/>
      <c r="AD398" s="310"/>
      <c r="AE398" s="310"/>
      <c r="AF398" s="310"/>
      <c r="AG398" s="310"/>
      <c r="AH398" s="310"/>
      <c r="AI398" s="310"/>
      <c r="AJ398" s="310"/>
      <c r="AK398" s="310"/>
      <c r="AL398" s="310"/>
      <c r="AM398" s="310"/>
      <c r="AN398" s="310"/>
      <c r="AO398" s="310"/>
      <c r="AP398" s="12"/>
      <c r="AQ398" s="3"/>
      <c r="AR398" s="3"/>
      <c r="AS398" s="3"/>
      <c r="AT398" s="3"/>
      <c r="AU398" s="3"/>
      <c r="AV398" s="3"/>
      <c r="AW398" s="3"/>
      <c r="AX398" s="3"/>
      <c r="AY398" s="3"/>
      <c r="AZ398" s="3"/>
      <c r="BA398" s="3"/>
      <c r="BB398" s="3"/>
      <c r="BC398" s="3"/>
    </row>
    <row r="399" ht="15.75" customHeight="1">
      <c r="A399" s="12"/>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c r="AA399" s="310"/>
      <c r="AB399" s="310"/>
      <c r="AC399" s="310"/>
      <c r="AD399" s="310"/>
      <c r="AE399" s="310"/>
      <c r="AF399" s="310"/>
      <c r="AG399" s="310"/>
      <c r="AH399" s="310"/>
      <c r="AI399" s="310"/>
      <c r="AJ399" s="310"/>
      <c r="AK399" s="310"/>
      <c r="AL399" s="310"/>
      <c r="AM399" s="310"/>
      <c r="AN399" s="310"/>
      <c r="AO399" s="310"/>
      <c r="AP399" s="12"/>
      <c r="AQ399" s="3"/>
      <c r="AR399" s="3"/>
      <c r="AS399" s="3"/>
      <c r="AT399" s="3"/>
      <c r="AU399" s="3"/>
      <c r="AV399" s="3"/>
      <c r="AW399" s="3"/>
      <c r="AX399" s="3"/>
      <c r="AY399" s="3"/>
      <c r="AZ399" s="3"/>
      <c r="BA399" s="3"/>
      <c r="BB399" s="3"/>
      <c r="BC399" s="3"/>
    </row>
    <row r="400" ht="15.75" customHeight="1">
      <c r="A400" s="12"/>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c r="AA400" s="310"/>
      <c r="AB400" s="310"/>
      <c r="AC400" s="310"/>
      <c r="AD400" s="310"/>
      <c r="AE400" s="310"/>
      <c r="AF400" s="310"/>
      <c r="AG400" s="310"/>
      <c r="AH400" s="310"/>
      <c r="AI400" s="310"/>
      <c r="AJ400" s="310"/>
      <c r="AK400" s="310"/>
      <c r="AL400" s="310"/>
      <c r="AM400" s="310"/>
      <c r="AN400" s="310"/>
      <c r="AO400" s="310"/>
      <c r="AP400" s="12"/>
      <c r="AQ400" s="3"/>
      <c r="AR400" s="3"/>
      <c r="AS400" s="3"/>
      <c r="AT400" s="3"/>
      <c r="AU400" s="3"/>
      <c r="AV400" s="3"/>
      <c r="AW400" s="3"/>
      <c r="AX400" s="3"/>
      <c r="AY400" s="3"/>
      <c r="AZ400" s="3"/>
      <c r="BA400" s="3"/>
      <c r="BB400" s="3"/>
      <c r="BC400" s="3"/>
    </row>
    <row r="401" ht="15.75" customHeight="1">
      <c r="A401" s="12"/>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c r="AA401" s="310"/>
      <c r="AB401" s="310"/>
      <c r="AC401" s="310"/>
      <c r="AD401" s="310"/>
      <c r="AE401" s="310"/>
      <c r="AF401" s="310"/>
      <c r="AG401" s="310"/>
      <c r="AH401" s="310"/>
      <c r="AI401" s="310"/>
      <c r="AJ401" s="310"/>
      <c r="AK401" s="310"/>
      <c r="AL401" s="310"/>
      <c r="AM401" s="310"/>
      <c r="AN401" s="310"/>
      <c r="AO401" s="310"/>
      <c r="AP401" s="12"/>
      <c r="AQ401" s="3"/>
      <c r="AR401" s="3"/>
      <c r="AS401" s="3"/>
      <c r="AT401" s="3"/>
      <c r="AU401" s="3"/>
      <c r="AV401" s="3"/>
      <c r="AW401" s="3"/>
      <c r="AX401" s="3"/>
      <c r="AY401" s="3"/>
      <c r="AZ401" s="3"/>
      <c r="BA401" s="3"/>
      <c r="BB401" s="3"/>
      <c r="BC401" s="3"/>
    </row>
    <row r="402" ht="15.75" customHeight="1">
      <c r="A402" s="12"/>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c r="AA402" s="310"/>
      <c r="AB402" s="310"/>
      <c r="AC402" s="310"/>
      <c r="AD402" s="310"/>
      <c r="AE402" s="310"/>
      <c r="AF402" s="310"/>
      <c r="AG402" s="310"/>
      <c r="AH402" s="310"/>
      <c r="AI402" s="310"/>
      <c r="AJ402" s="310"/>
      <c r="AK402" s="310"/>
      <c r="AL402" s="310"/>
      <c r="AM402" s="310"/>
      <c r="AN402" s="310"/>
      <c r="AO402" s="310"/>
      <c r="AP402" s="12"/>
      <c r="AQ402" s="3"/>
      <c r="AR402" s="3"/>
      <c r="AS402" s="3"/>
      <c r="AT402" s="3"/>
      <c r="AU402" s="3"/>
      <c r="AV402" s="3"/>
      <c r="AW402" s="3"/>
      <c r="AX402" s="3"/>
      <c r="AY402" s="3"/>
      <c r="AZ402" s="3"/>
      <c r="BA402" s="3"/>
      <c r="BB402" s="3"/>
      <c r="BC402" s="3"/>
    </row>
    <row r="403" ht="15.75" customHeight="1">
      <c r="A403" s="12"/>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c r="AA403" s="310"/>
      <c r="AB403" s="310"/>
      <c r="AC403" s="310"/>
      <c r="AD403" s="310"/>
      <c r="AE403" s="310"/>
      <c r="AF403" s="310"/>
      <c r="AG403" s="310"/>
      <c r="AH403" s="310"/>
      <c r="AI403" s="310"/>
      <c r="AJ403" s="310"/>
      <c r="AK403" s="310"/>
      <c r="AL403" s="310"/>
      <c r="AM403" s="310"/>
      <c r="AN403" s="310"/>
      <c r="AO403" s="310"/>
      <c r="AP403" s="12"/>
      <c r="AQ403" s="3"/>
      <c r="AR403" s="3"/>
      <c r="AS403" s="3"/>
      <c r="AT403" s="3"/>
      <c r="AU403" s="3"/>
      <c r="AV403" s="3"/>
      <c r="AW403" s="3"/>
      <c r="AX403" s="3"/>
      <c r="AY403" s="3"/>
      <c r="AZ403" s="3"/>
      <c r="BA403" s="3"/>
      <c r="BB403" s="3"/>
      <c r="BC403" s="3"/>
    </row>
    <row r="404" ht="15.75" customHeight="1">
      <c r="A404" s="12"/>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c r="AA404" s="310"/>
      <c r="AB404" s="310"/>
      <c r="AC404" s="310"/>
      <c r="AD404" s="310"/>
      <c r="AE404" s="310"/>
      <c r="AF404" s="310"/>
      <c r="AG404" s="310"/>
      <c r="AH404" s="310"/>
      <c r="AI404" s="310"/>
      <c r="AJ404" s="310"/>
      <c r="AK404" s="310"/>
      <c r="AL404" s="310"/>
      <c r="AM404" s="310"/>
      <c r="AN404" s="310"/>
      <c r="AO404" s="310"/>
      <c r="AP404" s="12"/>
      <c r="AQ404" s="3"/>
      <c r="AR404" s="3"/>
      <c r="AS404" s="3"/>
      <c r="AT404" s="3"/>
      <c r="AU404" s="3"/>
      <c r="AV404" s="3"/>
      <c r="AW404" s="3"/>
      <c r="AX404" s="3"/>
      <c r="AY404" s="3"/>
      <c r="AZ404" s="3"/>
      <c r="BA404" s="3"/>
      <c r="BB404" s="3"/>
      <c r="BC404" s="3"/>
    </row>
    <row r="405" ht="15.75" customHeight="1">
      <c r="A405" s="12"/>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c r="AA405" s="310"/>
      <c r="AB405" s="310"/>
      <c r="AC405" s="310"/>
      <c r="AD405" s="310"/>
      <c r="AE405" s="310"/>
      <c r="AF405" s="310"/>
      <c r="AG405" s="310"/>
      <c r="AH405" s="310"/>
      <c r="AI405" s="310"/>
      <c r="AJ405" s="310"/>
      <c r="AK405" s="310"/>
      <c r="AL405" s="310"/>
      <c r="AM405" s="310"/>
      <c r="AN405" s="310"/>
      <c r="AO405" s="310"/>
      <c r="AP405" s="12"/>
      <c r="AQ405" s="3"/>
      <c r="AR405" s="3"/>
      <c r="AS405" s="3"/>
      <c r="AT405" s="3"/>
      <c r="AU405" s="3"/>
      <c r="AV405" s="3"/>
      <c r="AW405" s="3"/>
      <c r="AX405" s="3"/>
      <c r="AY405" s="3"/>
      <c r="AZ405" s="3"/>
      <c r="BA405" s="3"/>
      <c r="BB405" s="3"/>
      <c r="BC405" s="3"/>
    </row>
    <row r="406" ht="15.75" customHeight="1">
      <c r="A406" s="12"/>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c r="AA406" s="310"/>
      <c r="AB406" s="310"/>
      <c r="AC406" s="310"/>
      <c r="AD406" s="310"/>
      <c r="AE406" s="310"/>
      <c r="AF406" s="310"/>
      <c r="AG406" s="310"/>
      <c r="AH406" s="310"/>
      <c r="AI406" s="310"/>
      <c r="AJ406" s="310"/>
      <c r="AK406" s="310"/>
      <c r="AL406" s="310"/>
      <c r="AM406" s="310"/>
      <c r="AN406" s="310"/>
      <c r="AO406" s="310"/>
      <c r="AP406" s="12"/>
      <c r="AQ406" s="3"/>
      <c r="AR406" s="3"/>
      <c r="AS406" s="3"/>
      <c r="AT406" s="3"/>
      <c r="AU406" s="3"/>
      <c r="AV406" s="3"/>
      <c r="AW406" s="3"/>
      <c r="AX406" s="3"/>
      <c r="AY406" s="3"/>
      <c r="AZ406" s="3"/>
      <c r="BA406" s="3"/>
      <c r="BB406" s="3"/>
      <c r="BC406" s="3"/>
    </row>
    <row r="407" ht="15.75" customHeight="1">
      <c r="A407" s="12"/>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c r="AA407" s="310"/>
      <c r="AB407" s="310"/>
      <c r="AC407" s="310"/>
      <c r="AD407" s="310"/>
      <c r="AE407" s="310"/>
      <c r="AF407" s="310"/>
      <c r="AG407" s="310"/>
      <c r="AH407" s="310"/>
      <c r="AI407" s="310"/>
      <c r="AJ407" s="310"/>
      <c r="AK407" s="310"/>
      <c r="AL407" s="310"/>
      <c r="AM407" s="310"/>
      <c r="AN407" s="310"/>
      <c r="AO407" s="310"/>
      <c r="AP407" s="12"/>
      <c r="AQ407" s="3"/>
      <c r="AR407" s="3"/>
      <c r="AS407" s="3"/>
      <c r="AT407" s="3"/>
      <c r="AU407" s="3"/>
      <c r="AV407" s="3"/>
      <c r="AW407" s="3"/>
      <c r="AX407" s="3"/>
      <c r="AY407" s="3"/>
      <c r="AZ407" s="3"/>
      <c r="BA407" s="3"/>
      <c r="BB407" s="3"/>
      <c r="BC407" s="3"/>
    </row>
    <row r="408" ht="15.75" customHeight="1">
      <c r="A408" s="12"/>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c r="AA408" s="310"/>
      <c r="AB408" s="310"/>
      <c r="AC408" s="310"/>
      <c r="AD408" s="310"/>
      <c r="AE408" s="310"/>
      <c r="AF408" s="310"/>
      <c r="AG408" s="310"/>
      <c r="AH408" s="310"/>
      <c r="AI408" s="310"/>
      <c r="AJ408" s="310"/>
      <c r="AK408" s="310"/>
      <c r="AL408" s="310"/>
      <c r="AM408" s="310"/>
      <c r="AN408" s="310"/>
      <c r="AO408" s="310"/>
      <c r="AP408" s="12"/>
      <c r="AQ408" s="3"/>
      <c r="AR408" s="3"/>
      <c r="AS408" s="3"/>
      <c r="AT408" s="3"/>
      <c r="AU408" s="3"/>
      <c r="AV408" s="3"/>
      <c r="AW408" s="3"/>
      <c r="AX408" s="3"/>
      <c r="AY408" s="3"/>
      <c r="AZ408" s="3"/>
      <c r="BA408" s="3"/>
      <c r="BB408" s="3"/>
      <c r="BC408" s="3"/>
    </row>
    <row r="409" ht="15.75" customHeight="1">
      <c r="A409" s="12"/>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c r="AA409" s="310"/>
      <c r="AB409" s="310"/>
      <c r="AC409" s="310"/>
      <c r="AD409" s="310"/>
      <c r="AE409" s="310"/>
      <c r="AF409" s="310"/>
      <c r="AG409" s="310"/>
      <c r="AH409" s="310"/>
      <c r="AI409" s="310"/>
      <c r="AJ409" s="310"/>
      <c r="AK409" s="310"/>
      <c r="AL409" s="310"/>
      <c r="AM409" s="310"/>
      <c r="AN409" s="310"/>
      <c r="AO409" s="310"/>
      <c r="AP409" s="12"/>
      <c r="AQ409" s="3"/>
      <c r="AR409" s="3"/>
      <c r="AS409" s="3"/>
      <c r="AT409" s="3"/>
      <c r="AU409" s="3"/>
      <c r="AV409" s="3"/>
      <c r="AW409" s="3"/>
      <c r="AX409" s="3"/>
      <c r="AY409" s="3"/>
      <c r="AZ409" s="3"/>
      <c r="BA409" s="3"/>
      <c r="BB409" s="3"/>
      <c r="BC409" s="3"/>
    </row>
    <row r="410" ht="15.75" customHeight="1">
      <c r="A410" s="12"/>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c r="AA410" s="310"/>
      <c r="AB410" s="310"/>
      <c r="AC410" s="310"/>
      <c r="AD410" s="310"/>
      <c r="AE410" s="310"/>
      <c r="AF410" s="310"/>
      <c r="AG410" s="310"/>
      <c r="AH410" s="310"/>
      <c r="AI410" s="310"/>
      <c r="AJ410" s="310"/>
      <c r="AK410" s="310"/>
      <c r="AL410" s="310"/>
      <c r="AM410" s="310"/>
      <c r="AN410" s="310"/>
      <c r="AO410" s="310"/>
      <c r="AP410" s="12"/>
      <c r="AQ410" s="3"/>
      <c r="AR410" s="3"/>
      <c r="AS410" s="3"/>
      <c r="AT410" s="3"/>
      <c r="AU410" s="3"/>
      <c r="AV410" s="3"/>
      <c r="AW410" s="3"/>
      <c r="AX410" s="3"/>
      <c r="AY410" s="3"/>
      <c r="AZ410" s="3"/>
      <c r="BA410" s="3"/>
      <c r="BB410" s="3"/>
      <c r="BC410" s="3"/>
    </row>
    <row r="411" ht="15.75" customHeight="1">
      <c r="A411" s="12"/>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c r="AA411" s="310"/>
      <c r="AB411" s="310"/>
      <c r="AC411" s="310"/>
      <c r="AD411" s="310"/>
      <c r="AE411" s="310"/>
      <c r="AF411" s="310"/>
      <c r="AG411" s="310"/>
      <c r="AH411" s="310"/>
      <c r="AI411" s="310"/>
      <c r="AJ411" s="310"/>
      <c r="AK411" s="310"/>
      <c r="AL411" s="310"/>
      <c r="AM411" s="310"/>
      <c r="AN411" s="310"/>
      <c r="AO411" s="310"/>
      <c r="AP411" s="12"/>
      <c r="AQ411" s="3"/>
      <c r="AR411" s="3"/>
      <c r="AS411" s="3"/>
      <c r="AT411" s="3"/>
      <c r="AU411" s="3"/>
      <c r="AV411" s="3"/>
      <c r="AW411" s="3"/>
      <c r="AX411" s="3"/>
      <c r="AY411" s="3"/>
      <c r="AZ411" s="3"/>
      <c r="BA411" s="3"/>
      <c r="BB411" s="3"/>
      <c r="BC411" s="3"/>
    </row>
    <row r="412" ht="15.75" customHeight="1">
      <c r="A412" s="12"/>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c r="AA412" s="310"/>
      <c r="AB412" s="310"/>
      <c r="AC412" s="310"/>
      <c r="AD412" s="310"/>
      <c r="AE412" s="310"/>
      <c r="AF412" s="310"/>
      <c r="AG412" s="310"/>
      <c r="AH412" s="310"/>
      <c r="AI412" s="310"/>
      <c r="AJ412" s="310"/>
      <c r="AK412" s="310"/>
      <c r="AL412" s="310"/>
      <c r="AM412" s="310"/>
      <c r="AN412" s="310"/>
      <c r="AO412" s="310"/>
      <c r="AP412" s="12"/>
      <c r="AQ412" s="3"/>
      <c r="AR412" s="3"/>
      <c r="AS412" s="3"/>
      <c r="AT412" s="3"/>
      <c r="AU412" s="3"/>
      <c r="AV412" s="3"/>
      <c r="AW412" s="3"/>
      <c r="AX412" s="3"/>
      <c r="AY412" s="3"/>
      <c r="AZ412" s="3"/>
      <c r="BA412" s="3"/>
      <c r="BB412" s="3"/>
      <c r="BC412" s="3"/>
    </row>
    <row r="413" ht="15.75" customHeight="1">
      <c r="A413" s="12"/>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c r="AA413" s="310"/>
      <c r="AB413" s="310"/>
      <c r="AC413" s="310"/>
      <c r="AD413" s="310"/>
      <c r="AE413" s="310"/>
      <c r="AF413" s="310"/>
      <c r="AG413" s="310"/>
      <c r="AH413" s="310"/>
      <c r="AI413" s="310"/>
      <c r="AJ413" s="310"/>
      <c r="AK413" s="310"/>
      <c r="AL413" s="310"/>
      <c r="AM413" s="310"/>
      <c r="AN413" s="310"/>
      <c r="AO413" s="310"/>
      <c r="AP413" s="12"/>
      <c r="AQ413" s="3"/>
      <c r="AR413" s="3"/>
      <c r="AS413" s="3"/>
      <c r="AT413" s="3"/>
      <c r="AU413" s="3"/>
      <c r="AV413" s="3"/>
      <c r="AW413" s="3"/>
      <c r="AX413" s="3"/>
      <c r="AY413" s="3"/>
      <c r="AZ413" s="3"/>
      <c r="BA413" s="3"/>
      <c r="BB413" s="3"/>
      <c r="BC413" s="3"/>
    </row>
    <row r="414" ht="15.75" customHeight="1">
      <c r="A414" s="12"/>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c r="AA414" s="310"/>
      <c r="AB414" s="310"/>
      <c r="AC414" s="310"/>
      <c r="AD414" s="310"/>
      <c r="AE414" s="310"/>
      <c r="AF414" s="310"/>
      <c r="AG414" s="310"/>
      <c r="AH414" s="310"/>
      <c r="AI414" s="310"/>
      <c r="AJ414" s="310"/>
      <c r="AK414" s="310"/>
      <c r="AL414" s="310"/>
      <c r="AM414" s="310"/>
      <c r="AN414" s="310"/>
      <c r="AO414" s="310"/>
      <c r="AP414" s="12"/>
      <c r="AQ414" s="3"/>
      <c r="AR414" s="3"/>
      <c r="AS414" s="3"/>
      <c r="AT414" s="3"/>
      <c r="AU414" s="3"/>
      <c r="AV414" s="3"/>
      <c r="AW414" s="3"/>
      <c r="AX414" s="3"/>
      <c r="AY414" s="3"/>
      <c r="AZ414" s="3"/>
      <c r="BA414" s="3"/>
      <c r="BB414" s="3"/>
      <c r="BC414" s="3"/>
    </row>
    <row r="415" ht="15.75" customHeight="1">
      <c r="A415" s="12"/>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c r="AA415" s="310"/>
      <c r="AB415" s="310"/>
      <c r="AC415" s="310"/>
      <c r="AD415" s="310"/>
      <c r="AE415" s="310"/>
      <c r="AF415" s="310"/>
      <c r="AG415" s="310"/>
      <c r="AH415" s="310"/>
      <c r="AI415" s="310"/>
      <c r="AJ415" s="310"/>
      <c r="AK415" s="310"/>
      <c r="AL415" s="310"/>
      <c r="AM415" s="310"/>
      <c r="AN415" s="310"/>
      <c r="AO415" s="310"/>
      <c r="AP415" s="12"/>
      <c r="AQ415" s="3"/>
      <c r="AR415" s="3"/>
      <c r="AS415" s="3"/>
      <c r="AT415" s="3"/>
      <c r="AU415" s="3"/>
      <c r="AV415" s="3"/>
      <c r="AW415" s="3"/>
      <c r="AX415" s="3"/>
      <c r="AY415" s="3"/>
      <c r="AZ415" s="3"/>
      <c r="BA415" s="3"/>
      <c r="BB415" s="3"/>
      <c r="BC415" s="3"/>
    </row>
    <row r="416" ht="15.75" customHeight="1">
      <c r="A416" s="12"/>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c r="AA416" s="310"/>
      <c r="AB416" s="310"/>
      <c r="AC416" s="310"/>
      <c r="AD416" s="310"/>
      <c r="AE416" s="310"/>
      <c r="AF416" s="310"/>
      <c r="AG416" s="310"/>
      <c r="AH416" s="310"/>
      <c r="AI416" s="310"/>
      <c r="AJ416" s="310"/>
      <c r="AK416" s="310"/>
      <c r="AL416" s="310"/>
      <c r="AM416" s="310"/>
      <c r="AN416" s="310"/>
      <c r="AO416" s="310"/>
      <c r="AP416" s="12"/>
      <c r="AQ416" s="3"/>
      <c r="AR416" s="3"/>
      <c r="AS416" s="3"/>
      <c r="AT416" s="3"/>
      <c r="AU416" s="3"/>
      <c r="AV416" s="3"/>
      <c r="AW416" s="3"/>
      <c r="AX416" s="3"/>
      <c r="AY416" s="3"/>
      <c r="AZ416" s="3"/>
      <c r="BA416" s="3"/>
      <c r="BB416" s="3"/>
      <c r="BC416" s="3"/>
    </row>
    <row r="417" ht="15.75" customHeight="1">
      <c r="A417" s="12"/>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c r="AA417" s="310"/>
      <c r="AB417" s="310"/>
      <c r="AC417" s="310"/>
      <c r="AD417" s="310"/>
      <c r="AE417" s="310"/>
      <c r="AF417" s="310"/>
      <c r="AG417" s="310"/>
      <c r="AH417" s="310"/>
      <c r="AI417" s="310"/>
      <c r="AJ417" s="310"/>
      <c r="AK417" s="310"/>
      <c r="AL417" s="310"/>
      <c r="AM417" s="310"/>
      <c r="AN417" s="310"/>
      <c r="AO417" s="310"/>
      <c r="AP417" s="12"/>
      <c r="AQ417" s="3"/>
      <c r="AR417" s="3"/>
      <c r="AS417" s="3"/>
      <c r="AT417" s="3"/>
      <c r="AU417" s="3"/>
      <c r="AV417" s="3"/>
      <c r="AW417" s="3"/>
      <c r="AX417" s="3"/>
      <c r="AY417" s="3"/>
      <c r="AZ417" s="3"/>
      <c r="BA417" s="3"/>
      <c r="BB417" s="3"/>
      <c r="BC417" s="3"/>
    </row>
    <row r="418" ht="15.75" customHeight="1">
      <c r="A418" s="12"/>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c r="AA418" s="310"/>
      <c r="AB418" s="310"/>
      <c r="AC418" s="310"/>
      <c r="AD418" s="310"/>
      <c r="AE418" s="310"/>
      <c r="AF418" s="310"/>
      <c r="AG418" s="310"/>
      <c r="AH418" s="310"/>
      <c r="AI418" s="310"/>
      <c r="AJ418" s="310"/>
      <c r="AK418" s="310"/>
      <c r="AL418" s="310"/>
      <c r="AM418" s="310"/>
      <c r="AN418" s="310"/>
      <c r="AO418" s="310"/>
      <c r="AP418" s="12"/>
      <c r="AQ418" s="3"/>
      <c r="AR418" s="3"/>
      <c r="AS418" s="3"/>
      <c r="AT418" s="3"/>
      <c r="AU418" s="3"/>
      <c r="AV418" s="3"/>
      <c r="AW418" s="3"/>
      <c r="AX418" s="3"/>
      <c r="AY418" s="3"/>
      <c r="AZ418" s="3"/>
      <c r="BA418" s="3"/>
      <c r="BB418" s="3"/>
      <c r="BC418" s="3"/>
    </row>
    <row r="419" ht="15.75" customHeight="1">
      <c r="A419" s="12"/>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c r="AA419" s="310"/>
      <c r="AB419" s="310"/>
      <c r="AC419" s="310"/>
      <c r="AD419" s="310"/>
      <c r="AE419" s="310"/>
      <c r="AF419" s="310"/>
      <c r="AG419" s="310"/>
      <c r="AH419" s="310"/>
      <c r="AI419" s="310"/>
      <c r="AJ419" s="310"/>
      <c r="AK419" s="310"/>
      <c r="AL419" s="310"/>
      <c r="AM419" s="310"/>
      <c r="AN419" s="310"/>
      <c r="AO419" s="310"/>
      <c r="AP419" s="12"/>
      <c r="AQ419" s="3"/>
      <c r="AR419" s="3"/>
      <c r="AS419" s="3"/>
      <c r="AT419" s="3"/>
      <c r="AU419" s="3"/>
      <c r="AV419" s="3"/>
      <c r="AW419" s="3"/>
      <c r="AX419" s="3"/>
      <c r="AY419" s="3"/>
      <c r="AZ419" s="3"/>
      <c r="BA419" s="3"/>
      <c r="BB419" s="3"/>
      <c r="BC419" s="3"/>
    </row>
    <row r="420" ht="15.75" customHeight="1">
      <c r="A420" s="12"/>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c r="AA420" s="310"/>
      <c r="AB420" s="310"/>
      <c r="AC420" s="310"/>
      <c r="AD420" s="310"/>
      <c r="AE420" s="310"/>
      <c r="AF420" s="310"/>
      <c r="AG420" s="310"/>
      <c r="AH420" s="310"/>
      <c r="AI420" s="310"/>
      <c r="AJ420" s="310"/>
      <c r="AK420" s="310"/>
      <c r="AL420" s="310"/>
      <c r="AM420" s="310"/>
      <c r="AN420" s="310"/>
      <c r="AO420" s="310"/>
      <c r="AP420" s="12"/>
      <c r="AQ420" s="3"/>
      <c r="AR420" s="3"/>
      <c r="AS420" s="3"/>
      <c r="AT420" s="3"/>
      <c r="AU420" s="3"/>
      <c r="AV420" s="3"/>
      <c r="AW420" s="3"/>
      <c r="AX420" s="3"/>
      <c r="AY420" s="3"/>
      <c r="AZ420" s="3"/>
      <c r="BA420" s="3"/>
      <c r="BB420" s="3"/>
      <c r="BC420" s="3"/>
    </row>
    <row r="421" ht="15.75" customHeight="1">
      <c r="A421" s="12"/>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c r="AA421" s="310"/>
      <c r="AB421" s="310"/>
      <c r="AC421" s="310"/>
      <c r="AD421" s="310"/>
      <c r="AE421" s="310"/>
      <c r="AF421" s="310"/>
      <c r="AG421" s="310"/>
      <c r="AH421" s="310"/>
      <c r="AI421" s="310"/>
      <c r="AJ421" s="310"/>
      <c r="AK421" s="310"/>
      <c r="AL421" s="310"/>
      <c r="AM421" s="310"/>
      <c r="AN421" s="310"/>
      <c r="AO421" s="310"/>
      <c r="AP421" s="12"/>
      <c r="AQ421" s="3"/>
      <c r="AR421" s="3"/>
      <c r="AS421" s="3"/>
      <c r="AT421" s="3"/>
      <c r="AU421" s="3"/>
      <c r="AV421" s="3"/>
      <c r="AW421" s="3"/>
      <c r="AX421" s="3"/>
      <c r="AY421" s="3"/>
      <c r="AZ421" s="3"/>
      <c r="BA421" s="3"/>
      <c r="BB421" s="3"/>
      <c r="BC421" s="3"/>
    </row>
    <row r="422" ht="15.75" customHeight="1">
      <c r="A422" s="12"/>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c r="AA422" s="310"/>
      <c r="AB422" s="310"/>
      <c r="AC422" s="310"/>
      <c r="AD422" s="310"/>
      <c r="AE422" s="310"/>
      <c r="AF422" s="310"/>
      <c r="AG422" s="310"/>
      <c r="AH422" s="310"/>
      <c r="AI422" s="310"/>
      <c r="AJ422" s="310"/>
      <c r="AK422" s="310"/>
      <c r="AL422" s="310"/>
      <c r="AM422" s="310"/>
      <c r="AN422" s="310"/>
      <c r="AO422" s="310"/>
      <c r="AP422" s="12"/>
      <c r="AQ422" s="3"/>
      <c r="AR422" s="3"/>
      <c r="AS422" s="3"/>
      <c r="AT422" s="3"/>
      <c r="AU422" s="3"/>
      <c r="AV422" s="3"/>
      <c r="AW422" s="3"/>
      <c r="AX422" s="3"/>
      <c r="AY422" s="3"/>
      <c r="AZ422" s="3"/>
      <c r="BA422" s="3"/>
      <c r="BB422" s="3"/>
      <c r="BC422" s="3"/>
    </row>
    <row r="423" ht="15.75" customHeight="1">
      <c r="A423" s="12"/>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c r="AA423" s="310"/>
      <c r="AB423" s="310"/>
      <c r="AC423" s="310"/>
      <c r="AD423" s="310"/>
      <c r="AE423" s="310"/>
      <c r="AF423" s="310"/>
      <c r="AG423" s="310"/>
      <c r="AH423" s="310"/>
      <c r="AI423" s="310"/>
      <c r="AJ423" s="310"/>
      <c r="AK423" s="310"/>
      <c r="AL423" s="310"/>
      <c r="AM423" s="310"/>
      <c r="AN423" s="310"/>
      <c r="AO423" s="310"/>
      <c r="AP423" s="12"/>
      <c r="AQ423" s="3"/>
      <c r="AR423" s="3"/>
      <c r="AS423" s="3"/>
      <c r="AT423" s="3"/>
      <c r="AU423" s="3"/>
      <c r="AV423" s="3"/>
      <c r="AW423" s="3"/>
      <c r="AX423" s="3"/>
      <c r="AY423" s="3"/>
      <c r="AZ423" s="3"/>
      <c r="BA423" s="3"/>
      <c r="BB423" s="3"/>
      <c r="BC423" s="3"/>
    </row>
    <row r="424" ht="15.75" customHeight="1">
      <c r="A424" s="12"/>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c r="AA424" s="310"/>
      <c r="AB424" s="310"/>
      <c r="AC424" s="310"/>
      <c r="AD424" s="310"/>
      <c r="AE424" s="310"/>
      <c r="AF424" s="310"/>
      <c r="AG424" s="310"/>
      <c r="AH424" s="310"/>
      <c r="AI424" s="310"/>
      <c r="AJ424" s="310"/>
      <c r="AK424" s="310"/>
      <c r="AL424" s="310"/>
      <c r="AM424" s="310"/>
      <c r="AN424" s="310"/>
      <c r="AO424" s="310"/>
      <c r="AP424" s="12"/>
      <c r="AQ424" s="3"/>
      <c r="AR424" s="3"/>
      <c r="AS424" s="3"/>
      <c r="AT424" s="3"/>
      <c r="AU424" s="3"/>
      <c r="AV424" s="3"/>
      <c r="AW424" s="3"/>
      <c r="AX424" s="3"/>
      <c r="AY424" s="3"/>
      <c r="AZ424" s="3"/>
      <c r="BA424" s="3"/>
      <c r="BB424" s="3"/>
      <c r="BC424" s="3"/>
    </row>
    <row r="425" ht="15.75" customHeight="1">
      <c r="A425" s="12"/>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c r="AA425" s="310"/>
      <c r="AB425" s="310"/>
      <c r="AC425" s="310"/>
      <c r="AD425" s="310"/>
      <c r="AE425" s="310"/>
      <c r="AF425" s="310"/>
      <c r="AG425" s="310"/>
      <c r="AH425" s="310"/>
      <c r="AI425" s="310"/>
      <c r="AJ425" s="310"/>
      <c r="AK425" s="310"/>
      <c r="AL425" s="310"/>
      <c r="AM425" s="310"/>
      <c r="AN425" s="310"/>
      <c r="AO425" s="310"/>
      <c r="AP425" s="12"/>
      <c r="AQ425" s="3"/>
      <c r="AR425" s="3"/>
      <c r="AS425" s="3"/>
      <c r="AT425" s="3"/>
      <c r="AU425" s="3"/>
      <c r="AV425" s="3"/>
      <c r="AW425" s="3"/>
      <c r="AX425" s="3"/>
      <c r="AY425" s="3"/>
      <c r="AZ425" s="3"/>
      <c r="BA425" s="3"/>
      <c r="BB425" s="3"/>
      <c r="BC425" s="3"/>
    </row>
    <row r="426" ht="15.75" customHeight="1">
      <c r="A426" s="12"/>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c r="AA426" s="310"/>
      <c r="AB426" s="310"/>
      <c r="AC426" s="310"/>
      <c r="AD426" s="310"/>
      <c r="AE426" s="310"/>
      <c r="AF426" s="310"/>
      <c r="AG426" s="310"/>
      <c r="AH426" s="310"/>
      <c r="AI426" s="310"/>
      <c r="AJ426" s="310"/>
      <c r="AK426" s="310"/>
      <c r="AL426" s="310"/>
      <c r="AM426" s="310"/>
      <c r="AN426" s="310"/>
      <c r="AO426" s="310"/>
      <c r="AP426" s="12"/>
      <c r="AQ426" s="3"/>
      <c r="AR426" s="3"/>
      <c r="AS426" s="3"/>
      <c r="AT426" s="3"/>
      <c r="AU426" s="3"/>
      <c r="AV426" s="3"/>
      <c r="AW426" s="3"/>
      <c r="AX426" s="3"/>
      <c r="AY426" s="3"/>
      <c r="AZ426" s="3"/>
      <c r="BA426" s="3"/>
      <c r="BB426" s="3"/>
      <c r="BC426" s="3"/>
    </row>
    <row r="427" ht="15.75" customHeight="1">
      <c r="A427" s="12"/>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c r="AA427" s="310"/>
      <c r="AB427" s="310"/>
      <c r="AC427" s="310"/>
      <c r="AD427" s="310"/>
      <c r="AE427" s="310"/>
      <c r="AF427" s="310"/>
      <c r="AG427" s="310"/>
      <c r="AH427" s="310"/>
      <c r="AI427" s="310"/>
      <c r="AJ427" s="310"/>
      <c r="AK427" s="310"/>
      <c r="AL427" s="310"/>
      <c r="AM427" s="310"/>
      <c r="AN427" s="310"/>
      <c r="AO427" s="310"/>
      <c r="AP427" s="12"/>
      <c r="AQ427" s="3"/>
      <c r="AR427" s="3"/>
      <c r="AS427" s="3"/>
      <c r="AT427" s="3"/>
      <c r="AU427" s="3"/>
      <c r="AV427" s="3"/>
      <c r="AW427" s="3"/>
      <c r="AX427" s="3"/>
      <c r="AY427" s="3"/>
      <c r="AZ427" s="3"/>
      <c r="BA427" s="3"/>
      <c r="BB427" s="3"/>
      <c r="BC427" s="3"/>
    </row>
    <row r="428" ht="15.75" customHeight="1">
      <c r="A428" s="12"/>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c r="AA428" s="310"/>
      <c r="AB428" s="310"/>
      <c r="AC428" s="310"/>
      <c r="AD428" s="310"/>
      <c r="AE428" s="310"/>
      <c r="AF428" s="310"/>
      <c r="AG428" s="310"/>
      <c r="AH428" s="310"/>
      <c r="AI428" s="310"/>
      <c r="AJ428" s="310"/>
      <c r="AK428" s="310"/>
      <c r="AL428" s="310"/>
      <c r="AM428" s="310"/>
      <c r="AN428" s="310"/>
      <c r="AO428" s="310"/>
      <c r="AP428" s="12"/>
      <c r="AQ428" s="3"/>
      <c r="AR428" s="3"/>
      <c r="AS428" s="3"/>
      <c r="AT428" s="3"/>
      <c r="AU428" s="3"/>
      <c r="AV428" s="3"/>
      <c r="AW428" s="3"/>
      <c r="AX428" s="3"/>
      <c r="AY428" s="3"/>
      <c r="AZ428" s="3"/>
      <c r="BA428" s="3"/>
      <c r="BB428" s="3"/>
      <c r="BC428" s="3"/>
    </row>
    <row r="429" ht="15.75" customHeight="1">
      <c r="A429" s="12"/>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c r="AA429" s="310"/>
      <c r="AB429" s="310"/>
      <c r="AC429" s="310"/>
      <c r="AD429" s="310"/>
      <c r="AE429" s="310"/>
      <c r="AF429" s="310"/>
      <c r="AG429" s="310"/>
      <c r="AH429" s="310"/>
      <c r="AI429" s="310"/>
      <c r="AJ429" s="310"/>
      <c r="AK429" s="310"/>
      <c r="AL429" s="310"/>
      <c r="AM429" s="310"/>
      <c r="AN429" s="310"/>
      <c r="AO429" s="310"/>
      <c r="AP429" s="12"/>
      <c r="AQ429" s="3"/>
      <c r="AR429" s="3"/>
      <c r="AS429" s="3"/>
      <c r="AT429" s="3"/>
      <c r="AU429" s="3"/>
      <c r="AV429" s="3"/>
      <c r="AW429" s="3"/>
      <c r="AX429" s="3"/>
      <c r="AY429" s="3"/>
      <c r="AZ429" s="3"/>
      <c r="BA429" s="3"/>
      <c r="BB429" s="3"/>
      <c r="BC429" s="3"/>
    </row>
    <row r="430" ht="15.75" customHeight="1">
      <c r="A430" s="12"/>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c r="AA430" s="310"/>
      <c r="AB430" s="310"/>
      <c r="AC430" s="310"/>
      <c r="AD430" s="310"/>
      <c r="AE430" s="310"/>
      <c r="AF430" s="310"/>
      <c r="AG430" s="310"/>
      <c r="AH430" s="310"/>
      <c r="AI430" s="310"/>
      <c r="AJ430" s="310"/>
      <c r="AK430" s="310"/>
      <c r="AL430" s="310"/>
      <c r="AM430" s="310"/>
      <c r="AN430" s="310"/>
      <c r="AO430" s="310"/>
      <c r="AP430" s="12"/>
      <c r="AQ430" s="3"/>
      <c r="AR430" s="3"/>
      <c r="AS430" s="3"/>
      <c r="AT430" s="3"/>
      <c r="AU430" s="3"/>
      <c r="AV430" s="3"/>
      <c r="AW430" s="3"/>
      <c r="AX430" s="3"/>
      <c r="AY430" s="3"/>
      <c r="AZ430" s="3"/>
      <c r="BA430" s="3"/>
      <c r="BB430" s="3"/>
      <c r="BC430" s="3"/>
    </row>
    <row r="431" ht="15.75" customHeight="1">
      <c r="A431" s="12"/>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c r="AA431" s="310"/>
      <c r="AB431" s="310"/>
      <c r="AC431" s="310"/>
      <c r="AD431" s="310"/>
      <c r="AE431" s="310"/>
      <c r="AF431" s="310"/>
      <c r="AG431" s="310"/>
      <c r="AH431" s="310"/>
      <c r="AI431" s="310"/>
      <c r="AJ431" s="310"/>
      <c r="AK431" s="310"/>
      <c r="AL431" s="310"/>
      <c r="AM431" s="310"/>
      <c r="AN431" s="310"/>
      <c r="AO431" s="310"/>
      <c r="AP431" s="12"/>
      <c r="AQ431" s="3"/>
      <c r="AR431" s="3"/>
      <c r="AS431" s="3"/>
      <c r="AT431" s="3"/>
      <c r="AU431" s="3"/>
      <c r="AV431" s="3"/>
      <c r="AW431" s="3"/>
      <c r="AX431" s="3"/>
      <c r="AY431" s="3"/>
      <c r="AZ431" s="3"/>
      <c r="BA431" s="3"/>
      <c r="BB431" s="3"/>
      <c r="BC431" s="3"/>
    </row>
    <row r="432" ht="15.75" customHeight="1">
      <c r="A432" s="12"/>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c r="AA432" s="310"/>
      <c r="AB432" s="310"/>
      <c r="AC432" s="310"/>
      <c r="AD432" s="310"/>
      <c r="AE432" s="310"/>
      <c r="AF432" s="310"/>
      <c r="AG432" s="310"/>
      <c r="AH432" s="310"/>
      <c r="AI432" s="310"/>
      <c r="AJ432" s="310"/>
      <c r="AK432" s="310"/>
      <c r="AL432" s="310"/>
      <c r="AM432" s="310"/>
      <c r="AN432" s="310"/>
      <c r="AO432" s="310"/>
      <c r="AP432" s="12"/>
      <c r="AQ432" s="3"/>
      <c r="AR432" s="3"/>
      <c r="AS432" s="3"/>
      <c r="AT432" s="3"/>
      <c r="AU432" s="3"/>
      <c r="AV432" s="3"/>
      <c r="AW432" s="3"/>
      <c r="AX432" s="3"/>
      <c r="AY432" s="3"/>
      <c r="AZ432" s="3"/>
      <c r="BA432" s="3"/>
      <c r="BB432" s="3"/>
      <c r="BC432" s="3"/>
    </row>
    <row r="433" ht="15.75" customHeight="1">
      <c r="A433" s="12"/>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c r="AA433" s="310"/>
      <c r="AB433" s="310"/>
      <c r="AC433" s="310"/>
      <c r="AD433" s="310"/>
      <c r="AE433" s="310"/>
      <c r="AF433" s="310"/>
      <c r="AG433" s="310"/>
      <c r="AH433" s="310"/>
      <c r="AI433" s="310"/>
      <c r="AJ433" s="310"/>
      <c r="AK433" s="310"/>
      <c r="AL433" s="310"/>
      <c r="AM433" s="310"/>
      <c r="AN433" s="310"/>
      <c r="AO433" s="310"/>
      <c r="AP433" s="12"/>
      <c r="AQ433" s="3"/>
      <c r="AR433" s="3"/>
      <c r="AS433" s="3"/>
      <c r="AT433" s="3"/>
      <c r="AU433" s="3"/>
      <c r="AV433" s="3"/>
      <c r="AW433" s="3"/>
      <c r="AX433" s="3"/>
      <c r="AY433" s="3"/>
      <c r="AZ433" s="3"/>
      <c r="BA433" s="3"/>
      <c r="BB433" s="3"/>
      <c r="BC433" s="3"/>
    </row>
    <row r="434" ht="15.75" customHeight="1">
      <c r="A434" s="12"/>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c r="AA434" s="310"/>
      <c r="AB434" s="310"/>
      <c r="AC434" s="310"/>
      <c r="AD434" s="310"/>
      <c r="AE434" s="310"/>
      <c r="AF434" s="310"/>
      <c r="AG434" s="310"/>
      <c r="AH434" s="310"/>
      <c r="AI434" s="310"/>
      <c r="AJ434" s="310"/>
      <c r="AK434" s="310"/>
      <c r="AL434" s="310"/>
      <c r="AM434" s="310"/>
      <c r="AN434" s="310"/>
      <c r="AO434" s="310"/>
      <c r="AP434" s="12"/>
      <c r="AQ434" s="3"/>
      <c r="AR434" s="3"/>
      <c r="AS434" s="3"/>
      <c r="AT434" s="3"/>
      <c r="AU434" s="3"/>
      <c r="AV434" s="3"/>
      <c r="AW434" s="3"/>
      <c r="AX434" s="3"/>
      <c r="AY434" s="3"/>
      <c r="AZ434" s="3"/>
      <c r="BA434" s="3"/>
      <c r="BB434" s="3"/>
      <c r="BC434" s="3"/>
    </row>
    <row r="435" ht="15.75" customHeight="1">
      <c r="A435" s="12"/>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c r="AA435" s="310"/>
      <c r="AB435" s="310"/>
      <c r="AC435" s="310"/>
      <c r="AD435" s="310"/>
      <c r="AE435" s="310"/>
      <c r="AF435" s="310"/>
      <c r="AG435" s="310"/>
      <c r="AH435" s="310"/>
      <c r="AI435" s="310"/>
      <c r="AJ435" s="310"/>
      <c r="AK435" s="310"/>
      <c r="AL435" s="310"/>
      <c r="AM435" s="310"/>
      <c r="AN435" s="310"/>
      <c r="AO435" s="310"/>
      <c r="AP435" s="12"/>
      <c r="AQ435" s="3"/>
      <c r="AR435" s="3"/>
      <c r="AS435" s="3"/>
      <c r="AT435" s="3"/>
      <c r="AU435" s="3"/>
      <c r="AV435" s="3"/>
      <c r="AW435" s="3"/>
      <c r="AX435" s="3"/>
      <c r="AY435" s="3"/>
      <c r="AZ435" s="3"/>
      <c r="BA435" s="3"/>
      <c r="BB435" s="3"/>
      <c r="BC435" s="3"/>
    </row>
    <row r="436" ht="15.75" customHeight="1">
      <c r="A436" s="12"/>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c r="AA436" s="310"/>
      <c r="AB436" s="310"/>
      <c r="AC436" s="310"/>
      <c r="AD436" s="310"/>
      <c r="AE436" s="310"/>
      <c r="AF436" s="310"/>
      <c r="AG436" s="310"/>
      <c r="AH436" s="310"/>
      <c r="AI436" s="310"/>
      <c r="AJ436" s="310"/>
      <c r="AK436" s="310"/>
      <c r="AL436" s="310"/>
      <c r="AM436" s="310"/>
      <c r="AN436" s="310"/>
      <c r="AO436" s="310"/>
      <c r="AP436" s="12"/>
      <c r="AQ436" s="3"/>
      <c r="AR436" s="3"/>
      <c r="AS436" s="3"/>
      <c r="AT436" s="3"/>
      <c r="AU436" s="3"/>
      <c r="AV436" s="3"/>
      <c r="AW436" s="3"/>
      <c r="AX436" s="3"/>
      <c r="AY436" s="3"/>
      <c r="AZ436" s="3"/>
      <c r="BA436" s="3"/>
      <c r="BB436" s="3"/>
      <c r="BC436" s="3"/>
    </row>
    <row r="437" ht="15.75" customHeight="1">
      <c r="A437" s="12"/>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c r="AA437" s="310"/>
      <c r="AB437" s="310"/>
      <c r="AC437" s="310"/>
      <c r="AD437" s="310"/>
      <c r="AE437" s="310"/>
      <c r="AF437" s="310"/>
      <c r="AG437" s="310"/>
      <c r="AH437" s="310"/>
      <c r="AI437" s="310"/>
      <c r="AJ437" s="310"/>
      <c r="AK437" s="310"/>
      <c r="AL437" s="310"/>
      <c r="AM437" s="310"/>
      <c r="AN437" s="310"/>
      <c r="AO437" s="310"/>
      <c r="AP437" s="12"/>
      <c r="AQ437" s="3"/>
      <c r="AR437" s="3"/>
      <c r="AS437" s="3"/>
      <c r="AT437" s="3"/>
      <c r="AU437" s="3"/>
      <c r="AV437" s="3"/>
      <c r="AW437" s="3"/>
      <c r="AX437" s="3"/>
      <c r="AY437" s="3"/>
      <c r="AZ437" s="3"/>
      <c r="BA437" s="3"/>
      <c r="BB437" s="3"/>
      <c r="BC437" s="3"/>
    </row>
    <row r="438" ht="15.75" customHeight="1">
      <c r="A438" s="12"/>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c r="AA438" s="310"/>
      <c r="AB438" s="310"/>
      <c r="AC438" s="310"/>
      <c r="AD438" s="310"/>
      <c r="AE438" s="310"/>
      <c r="AF438" s="310"/>
      <c r="AG438" s="310"/>
      <c r="AH438" s="310"/>
      <c r="AI438" s="310"/>
      <c r="AJ438" s="310"/>
      <c r="AK438" s="310"/>
      <c r="AL438" s="310"/>
      <c r="AM438" s="310"/>
      <c r="AN438" s="310"/>
      <c r="AO438" s="310"/>
      <c r="AP438" s="12"/>
      <c r="AQ438" s="3"/>
      <c r="AR438" s="3"/>
      <c r="AS438" s="3"/>
      <c r="AT438" s="3"/>
      <c r="AU438" s="3"/>
      <c r="AV438" s="3"/>
      <c r="AW438" s="3"/>
      <c r="AX438" s="3"/>
      <c r="AY438" s="3"/>
      <c r="AZ438" s="3"/>
      <c r="BA438" s="3"/>
      <c r="BB438" s="3"/>
      <c r="BC438" s="3"/>
    </row>
    <row r="439" ht="15.75" customHeight="1">
      <c r="A439" s="12"/>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c r="AA439" s="310"/>
      <c r="AB439" s="310"/>
      <c r="AC439" s="310"/>
      <c r="AD439" s="310"/>
      <c r="AE439" s="310"/>
      <c r="AF439" s="310"/>
      <c r="AG439" s="310"/>
      <c r="AH439" s="310"/>
      <c r="AI439" s="310"/>
      <c r="AJ439" s="310"/>
      <c r="AK439" s="310"/>
      <c r="AL439" s="310"/>
      <c r="AM439" s="310"/>
      <c r="AN439" s="310"/>
      <c r="AO439" s="310"/>
      <c r="AP439" s="12"/>
      <c r="AQ439" s="3"/>
      <c r="AR439" s="3"/>
      <c r="AS439" s="3"/>
      <c r="AT439" s="3"/>
      <c r="AU439" s="3"/>
      <c r="AV439" s="3"/>
      <c r="AW439" s="3"/>
      <c r="AX439" s="3"/>
      <c r="AY439" s="3"/>
      <c r="AZ439" s="3"/>
      <c r="BA439" s="3"/>
      <c r="BB439" s="3"/>
      <c r="BC439" s="3"/>
    </row>
    <row r="440" ht="15.75" customHeight="1">
      <c r="A440" s="12"/>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c r="AA440" s="310"/>
      <c r="AB440" s="310"/>
      <c r="AC440" s="310"/>
      <c r="AD440" s="310"/>
      <c r="AE440" s="310"/>
      <c r="AF440" s="310"/>
      <c r="AG440" s="310"/>
      <c r="AH440" s="310"/>
      <c r="AI440" s="310"/>
      <c r="AJ440" s="310"/>
      <c r="AK440" s="310"/>
      <c r="AL440" s="310"/>
      <c r="AM440" s="310"/>
      <c r="AN440" s="310"/>
      <c r="AO440" s="310"/>
      <c r="AP440" s="12"/>
      <c r="AQ440" s="3"/>
      <c r="AR440" s="3"/>
      <c r="AS440" s="3"/>
      <c r="AT440" s="3"/>
      <c r="AU440" s="3"/>
      <c r="AV440" s="3"/>
      <c r="AW440" s="3"/>
      <c r="AX440" s="3"/>
      <c r="AY440" s="3"/>
      <c r="AZ440" s="3"/>
      <c r="BA440" s="3"/>
      <c r="BB440" s="3"/>
      <c r="BC440" s="3"/>
    </row>
    <row r="441" ht="15.75" customHeight="1">
      <c r="A441" s="12"/>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c r="AA441" s="310"/>
      <c r="AB441" s="310"/>
      <c r="AC441" s="310"/>
      <c r="AD441" s="310"/>
      <c r="AE441" s="310"/>
      <c r="AF441" s="310"/>
      <c r="AG441" s="310"/>
      <c r="AH441" s="310"/>
      <c r="AI441" s="310"/>
      <c r="AJ441" s="310"/>
      <c r="AK441" s="310"/>
      <c r="AL441" s="310"/>
      <c r="AM441" s="310"/>
      <c r="AN441" s="310"/>
      <c r="AO441" s="310"/>
      <c r="AP441" s="12"/>
      <c r="AQ441" s="3"/>
      <c r="AR441" s="3"/>
      <c r="AS441" s="3"/>
      <c r="AT441" s="3"/>
      <c r="AU441" s="3"/>
      <c r="AV441" s="3"/>
      <c r="AW441" s="3"/>
      <c r="AX441" s="3"/>
      <c r="AY441" s="3"/>
      <c r="AZ441" s="3"/>
      <c r="BA441" s="3"/>
      <c r="BB441" s="3"/>
      <c r="BC441" s="3"/>
    </row>
    <row r="442" ht="15.75" customHeight="1">
      <c r="A442" s="12"/>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c r="AA442" s="310"/>
      <c r="AB442" s="310"/>
      <c r="AC442" s="310"/>
      <c r="AD442" s="310"/>
      <c r="AE442" s="310"/>
      <c r="AF442" s="310"/>
      <c r="AG442" s="310"/>
      <c r="AH442" s="310"/>
      <c r="AI442" s="310"/>
      <c r="AJ442" s="310"/>
      <c r="AK442" s="310"/>
      <c r="AL442" s="310"/>
      <c r="AM442" s="310"/>
      <c r="AN442" s="310"/>
      <c r="AO442" s="310"/>
      <c r="AP442" s="12"/>
      <c r="AQ442" s="3"/>
      <c r="AR442" s="3"/>
      <c r="AS442" s="3"/>
      <c r="AT442" s="3"/>
      <c r="AU442" s="3"/>
      <c r="AV442" s="3"/>
      <c r="AW442" s="3"/>
      <c r="AX442" s="3"/>
      <c r="AY442" s="3"/>
      <c r="AZ442" s="3"/>
      <c r="BA442" s="3"/>
      <c r="BB442" s="3"/>
      <c r="BC442" s="3"/>
    </row>
    <row r="443" ht="15.75" customHeight="1">
      <c r="A443" s="12"/>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c r="AA443" s="310"/>
      <c r="AB443" s="310"/>
      <c r="AC443" s="310"/>
      <c r="AD443" s="310"/>
      <c r="AE443" s="310"/>
      <c r="AF443" s="310"/>
      <c r="AG443" s="310"/>
      <c r="AH443" s="310"/>
      <c r="AI443" s="310"/>
      <c r="AJ443" s="310"/>
      <c r="AK443" s="310"/>
      <c r="AL443" s="310"/>
      <c r="AM443" s="310"/>
      <c r="AN443" s="310"/>
      <c r="AO443" s="310"/>
      <c r="AP443" s="12"/>
      <c r="AQ443" s="3"/>
      <c r="AR443" s="3"/>
      <c r="AS443" s="3"/>
      <c r="AT443" s="3"/>
      <c r="AU443" s="3"/>
      <c r="AV443" s="3"/>
      <c r="AW443" s="3"/>
      <c r="AX443" s="3"/>
      <c r="AY443" s="3"/>
      <c r="AZ443" s="3"/>
      <c r="BA443" s="3"/>
      <c r="BB443" s="3"/>
      <c r="BC443" s="3"/>
    </row>
    <row r="444" ht="15.75" customHeight="1">
      <c r="A444" s="12"/>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c r="AA444" s="310"/>
      <c r="AB444" s="310"/>
      <c r="AC444" s="310"/>
      <c r="AD444" s="310"/>
      <c r="AE444" s="310"/>
      <c r="AF444" s="310"/>
      <c r="AG444" s="310"/>
      <c r="AH444" s="310"/>
      <c r="AI444" s="310"/>
      <c r="AJ444" s="310"/>
      <c r="AK444" s="310"/>
      <c r="AL444" s="310"/>
      <c r="AM444" s="310"/>
      <c r="AN444" s="310"/>
      <c r="AO444" s="310"/>
      <c r="AP444" s="12"/>
      <c r="AQ444" s="3"/>
      <c r="AR444" s="3"/>
      <c r="AS444" s="3"/>
      <c r="AT444" s="3"/>
      <c r="AU444" s="3"/>
      <c r="AV444" s="3"/>
      <c r="AW444" s="3"/>
      <c r="AX444" s="3"/>
      <c r="AY444" s="3"/>
      <c r="AZ444" s="3"/>
      <c r="BA444" s="3"/>
      <c r="BB444" s="3"/>
      <c r="BC444" s="3"/>
    </row>
    <row r="445" ht="15.75" customHeight="1">
      <c r="A445" s="12"/>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c r="AA445" s="310"/>
      <c r="AB445" s="310"/>
      <c r="AC445" s="310"/>
      <c r="AD445" s="310"/>
      <c r="AE445" s="310"/>
      <c r="AF445" s="310"/>
      <c r="AG445" s="310"/>
      <c r="AH445" s="310"/>
      <c r="AI445" s="310"/>
      <c r="AJ445" s="310"/>
      <c r="AK445" s="310"/>
      <c r="AL445" s="310"/>
      <c r="AM445" s="310"/>
      <c r="AN445" s="310"/>
      <c r="AO445" s="310"/>
      <c r="AP445" s="12"/>
      <c r="AQ445" s="3"/>
      <c r="AR445" s="3"/>
      <c r="AS445" s="3"/>
      <c r="AT445" s="3"/>
      <c r="AU445" s="3"/>
      <c r="AV445" s="3"/>
      <c r="AW445" s="3"/>
      <c r="AX445" s="3"/>
      <c r="AY445" s="3"/>
      <c r="AZ445" s="3"/>
      <c r="BA445" s="3"/>
      <c r="BB445" s="3"/>
      <c r="BC445" s="3"/>
    </row>
    <row r="446" ht="15.75" customHeight="1">
      <c r="A446" s="12"/>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c r="AA446" s="310"/>
      <c r="AB446" s="310"/>
      <c r="AC446" s="310"/>
      <c r="AD446" s="310"/>
      <c r="AE446" s="310"/>
      <c r="AF446" s="310"/>
      <c r="AG446" s="310"/>
      <c r="AH446" s="310"/>
      <c r="AI446" s="310"/>
      <c r="AJ446" s="310"/>
      <c r="AK446" s="310"/>
      <c r="AL446" s="310"/>
      <c r="AM446" s="310"/>
      <c r="AN446" s="310"/>
      <c r="AO446" s="310"/>
      <c r="AP446" s="12"/>
      <c r="AQ446" s="3"/>
      <c r="AR446" s="3"/>
      <c r="AS446" s="3"/>
      <c r="AT446" s="3"/>
      <c r="AU446" s="3"/>
      <c r="AV446" s="3"/>
      <c r="AW446" s="3"/>
      <c r="AX446" s="3"/>
      <c r="AY446" s="3"/>
      <c r="AZ446" s="3"/>
      <c r="BA446" s="3"/>
      <c r="BB446" s="3"/>
      <c r="BC446" s="3"/>
    </row>
    <row r="447" ht="15.75" customHeight="1">
      <c r="A447" s="12"/>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c r="AA447" s="310"/>
      <c r="AB447" s="310"/>
      <c r="AC447" s="310"/>
      <c r="AD447" s="310"/>
      <c r="AE447" s="310"/>
      <c r="AF447" s="310"/>
      <c r="AG447" s="310"/>
      <c r="AH447" s="310"/>
      <c r="AI447" s="310"/>
      <c r="AJ447" s="310"/>
      <c r="AK447" s="310"/>
      <c r="AL447" s="310"/>
      <c r="AM447" s="310"/>
      <c r="AN447" s="310"/>
      <c r="AO447" s="310"/>
      <c r="AP447" s="12"/>
      <c r="AQ447" s="3"/>
      <c r="AR447" s="3"/>
      <c r="AS447" s="3"/>
      <c r="AT447" s="3"/>
      <c r="AU447" s="3"/>
      <c r="AV447" s="3"/>
      <c r="AW447" s="3"/>
      <c r="AX447" s="3"/>
      <c r="AY447" s="3"/>
      <c r="AZ447" s="3"/>
      <c r="BA447" s="3"/>
      <c r="BB447" s="3"/>
      <c r="BC447" s="3"/>
    </row>
    <row r="448" ht="15.75" customHeight="1">
      <c r="A448" s="12"/>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c r="AA448" s="310"/>
      <c r="AB448" s="310"/>
      <c r="AC448" s="310"/>
      <c r="AD448" s="310"/>
      <c r="AE448" s="310"/>
      <c r="AF448" s="310"/>
      <c r="AG448" s="310"/>
      <c r="AH448" s="310"/>
      <c r="AI448" s="310"/>
      <c r="AJ448" s="310"/>
      <c r="AK448" s="310"/>
      <c r="AL448" s="310"/>
      <c r="AM448" s="310"/>
      <c r="AN448" s="310"/>
      <c r="AO448" s="310"/>
      <c r="AP448" s="12"/>
      <c r="AQ448" s="3"/>
      <c r="AR448" s="3"/>
      <c r="AS448" s="3"/>
      <c r="AT448" s="3"/>
      <c r="AU448" s="3"/>
      <c r="AV448" s="3"/>
      <c r="AW448" s="3"/>
      <c r="AX448" s="3"/>
      <c r="AY448" s="3"/>
      <c r="AZ448" s="3"/>
      <c r="BA448" s="3"/>
      <c r="BB448" s="3"/>
      <c r="BC448" s="3"/>
    </row>
    <row r="449" ht="15.75" customHeight="1">
      <c r="A449" s="12"/>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c r="AA449" s="310"/>
      <c r="AB449" s="310"/>
      <c r="AC449" s="310"/>
      <c r="AD449" s="310"/>
      <c r="AE449" s="310"/>
      <c r="AF449" s="310"/>
      <c r="AG449" s="310"/>
      <c r="AH449" s="310"/>
      <c r="AI449" s="310"/>
      <c r="AJ449" s="310"/>
      <c r="AK449" s="310"/>
      <c r="AL449" s="310"/>
      <c r="AM449" s="310"/>
      <c r="AN449" s="310"/>
      <c r="AO449" s="310"/>
      <c r="AP449" s="12"/>
      <c r="AQ449" s="3"/>
      <c r="AR449" s="3"/>
      <c r="AS449" s="3"/>
      <c r="AT449" s="3"/>
      <c r="AU449" s="3"/>
      <c r="AV449" s="3"/>
      <c r="AW449" s="3"/>
      <c r="AX449" s="3"/>
      <c r="AY449" s="3"/>
      <c r="AZ449" s="3"/>
      <c r="BA449" s="3"/>
      <c r="BB449" s="3"/>
      <c r="BC449" s="3"/>
    </row>
    <row r="450" ht="15.75" customHeight="1">
      <c r="A450" s="12"/>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c r="AA450" s="310"/>
      <c r="AB450" s="310"/>
      <c r="AC450" s="310"/>
      <c r="AD450" s="310"/>
      <c r="AE450" s="310"/>
      <c r="AF450" s="310"/>
      <c r="AG450" s="310"/>
      <c r="AH450" s="310"/>
      <c r="AI450" s="310"/>
      <c r="AJ450" s="310"/>
      <c r="AK450" s="310"/>
      <c r="AL450" s="310"/>
      <c r="AM450" s="310"/>
      <c r="AN450" s="310"/>
      <c r="AO450" s="310"/>
      <c r="AP450" s="12"/>
      <c r="AQ450" s="3"/>
      <c r="AR450" s="3"/>
      <c r="AS450" s="3"/>
      <c r="AT450" s="3"/>
      <c r="AU450" s="3"/>
      <c r="AV450" s="3"/>
      <c r="AW450" s="3"/>
      <c r="AX450" s="3"/>
      <c r="AY450" s="3"/>
      <c r="AZ450" s="3"/>
      <c r="BA450" s="3"/>
      <c r="BB450" s="3"/>
      <c r="BC450" s="3"/>
    </row>
    <row r="451" ht="15.75" customHeight="1">
      <c r="A451" s="12"/>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c r="AA451" s="310"/>
      <c r="AB451" s="310"/>
      <c r="AC451" s="310"/>
      <c r="AD451" s="310"/>
      <c r="AE451" s="310"/>
      <c r="AF451" s="310"/>
      <c r="AG451" s="310"/>
      <c r="AH451" s="310"/>
      <c r="AI451" s="310"/>
      <c r="AJ451" s="310"/>
      <c r="AK451" s="310"/>
      <c r="AL451" s="310"/>
      <c r="AM451" s="310"/>
      <c r="AN451" s="310"/>
      <c r="AO451" s="310"/>
      <c r="AP451" s="12"/>
      <c r="AQ451" s="3"/>
      <c r="AR451" s="3"/>
      <c r="AS451" s="3"/>
      <c r="AT451" s="3"/>
      <c r="AU451" s="3"/>
      <c r="AV451" s="3"/>
      <c r="AW451" s="3"/>
      <c r="AX451" s="3"/>
      <c r="AY451" s="3"/>
      <c r="AZ451" s="3"/>
      <c r="BA451" s="3"/>
      <c r="BB451" s="3"/>
      <c r="BC451" s="3"/>
    </row>
    <row r="452" ht="15.75" customHeight="1">
      <c r="A452" s="12"/>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c r="AA452" s="310"/>
      <c r="AB452" s="310"/>
      <c r="AC452" s="310"/>
      <c r="AD452" s="310"/>
      <c r="AE452" s="310"/>
      <c r="AF452" s="310"/>
      <c r="AG452" s="310"/>
      <c r="AH452" s="310"/>
      <c r="AI452" s="310"/>
      <c r="AJ452" s="310"/>
      <c r="AK452" s="310"/>
      <c r="AL452" s="310"/>
      <c r="AM452" s="310"/>
      <c r="AN452" s="310"/>
      <c r="AO452" s="310"/>
      <c r="AP452" s="12"/>
      <c r="AQ452" s="3"/>
      <c r="AR452" s="3"/>
      <c r="AS452" s="3"/>
      <c r="AT452" s="3"/>
      <c r="AU452" s="3"/>
      <c r="AV452" s="3"/>
      <c r="AW452" s="3"/>
      <c r="AX452" s="3"/>
      <c r="AY452" s="3"/>
      <c r="AZ452" s="3"/>
      <c r="BA452" s="3"/>
      <c r="BB452" s="3"/>
      <c r="BC452" s="3"/>
    </row>
    <row r="453" ht="15.75" customHeight="1">
      <c r="A453" s="12"/>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c r="AA453" s="310"/>
      <c r="AB453" s="310"/>
      <c r="AC453" s="310"/>
      <c r="AD453" s="310"/>
      <c r="AE453" s="310"/>
      <c r="AF453" s="310"/>
      <c r="AG453" s="310"/>
      <c r="AH453" s="310"/>
      <c r="AI453" s="310"/>
      <c r="AJ453" s="310"/>
      <c r="AK453" s="310"/>
      <c r="AL453" s="310"/>
      <c r="AM453" s="310"/>
      <c r="AN453" s="310"/>
      <c r="AO453" s="310"/>
      <c r="AP453" s="12"/>
      <c r="AQ453" s="3"/>
      <c r="AR453" s="3"/>
      <c r="AS453" s="3"/>
      <c r="AT453" s="3"/>
      <c r="AU453" s="3"/>
      <c r="AV453" s="3"/>
      <c r="AW453" s="3"/>
      <c r="AX453" s="3"/>
      <c r="AY453" s="3"/>
      <c r="AZ453" s="3"/>
      <c r="BA453" s="3"/>
      <c r="BB453" s="3"/>
      <c r="BC453" s="3"/>
    </row>
    <row r="454" ht="15.75" customHeight="1">
      <c r="A454" s="12"/>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c r="AA454" s="310"/>
      <c r="AB454" s="310"/>
      <c r="AC454" s="310"/>
      <c r="AD454" s="310"/>
      <c r="AE454" s="310"/>
      <c r="AF454" s="310"/>
      <c r="AG454" s="310"/>
      <c r="AH454" s="310"/>
      <c r="AI454" s="310"/>
      <c r="AJ454" s="310"/>
      <c r="AK454" s="310"/>
      <c r="AL454" s="310"/>
      <c r="AM454" s="310"/>
      <c r="AN454" s="310"/>
      <c r="AO454" s="310"/>
      <c r="AP454" s="12"/>
      <c r="AQ454" s="3"/>
      <c r="AR454" s="3"/>
      <c r="AS454" s="3"/>
      <c r="AT454" s="3"/>
      <c r="AU454" s="3"/>
      <c r="AV454" s="3"/>
      <c r="AW454" s="3"/>
      <c r="AX454" s="3"/>
      <c r="AY454" s="3"/>
      <c r="AZ454" s="3"/>
      <c r="BA454" s="3"/>
      <c r="BB454" s="3"/>
      <c r="BC454" s="3"/>
    </row>
    <row r="455" ht="15.75" customHeight="1">
      <c r="A455" s="12"/>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c r="AA455" s="310"/>
      <c r="AB455" s="310"/>
      <c r="AC455" s="310"/>
      <c r="AD455" s="310"/>
      <c r="AE455" s="310"/>
      <c r="AF455" s="310"/>
      <c r="AG455" s="310"/>
      <c r="AH455" s="310"/>
      <c r="AI455" s="310"/>
      <c r="AJ455" s="310"/>
      <c r="AK455" s="310"/>
      <c r="AL455" s="310"/>
      <c r="AM455" s="310"/>
      <c r="AN455" s="310"/>
      <c r="AO455" s="310"/>
      <c r="AP455" s="12"/>
      <c r="AQ455" s="3"/>
      <c r="AR455" s="3"/>
      <c r="AS455" s="3"/>
      <c r="AT455" s="3"/>
      <c r="AU455" s="3"/>
      <c r="AV455" s="3"/>
      <c r="AW455" s="3"/>
      <c r="AX455" s="3"/>
      <c r="AY455" s="3"/>
      <c r="AZ455" s="3"/>
      <c r="BA455" s="3"/>
      <c r="BB455" s="3"/>
      <c r="BC455" s="3"/>
    </row>
    <row r="456" ht="15.75" customHeight="1">
      <c r="A456" s="12"/>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c r="AA456" s="310"/>
      <c r="AB456" s="310"/>
      <c r="AC456" s="310"/>
      <c r="AD456" s="310"/>
      <c r="AE456" s="310"/>
      <c r="AF456" s="310"/>
      <c r="AG456" s="310"/>
      <c r="AH456" s="310"/>
      <c r="AI456" s="310"/>
      <c r="AJ456" s="310"/>
      <c r="AK456" s="310"/>
      <c r="AL456" s="310"/>
      <c r="AM456" s="310"/>
      <c r="AN456" s="310"/>
      <c r="AO456" s="310"/>
      <c r="AP456" s="12"/>
      <c r="AQ456" s="3"/>
      <c r="AR456" s="3"/>
      <c r="AS456" s="3"/>
      <c r="AT456" s="3"/>
      <c r="AU456" s="3"/>
      <c r="AV456" s="3"/>
      <c r="AW456" s="3"/>
      <c r="AX456" s="3"/>
      <c r="AY456" s="3"/>
      <c r="AZ456" s="3"/>
      <c r="BA456" s="3"/>
      <c r="BB456" s="3"/>
      <c r="BC456" s="3"/>
    </row>
    <row r="457" ht="15.75" customHeight="1">
      <c r="A457" s="12"/>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c r="AA457" s="310"/>
      <c r="AB457" s="310"/>
      <c r="AC457" s="310"/>
      <c r="AD457" s="310"/>
      <c r="AE457" s="310"/>
      <c r="AF457" s="310"/>
      <c r="AG457" s="310"/>
      <c r="AH457" s="310"/>
      <c r="AI457" s="310"/>
      <c r="AJ457" s="310"/>
      <c r="AK457" s="310"/>
      <c r="AL457" s="310"/>
      <c r="AM457" s="310"/>
      <c r="AN457" s="310"/>
      <c r="AO457" s="310"/>
      <c r="AP457" s="12"/>
      <c r="AQ457" s="3"/>
      <c r="AR457" s="3"/>
      <c r="AS457" s="3"/>
      <c r="AT457" s="3"/>
      <c r="AU457" s="3"/>
      <c r="AV457" s="3"/>
      <c r="AW457" s="3"/>
      <c r="AX457" s="3"/>
      <c r="AY457" s="3"/>
      <c r="AZ457" s="3"/>
      <c r="BA457" s="3"/>
      <c r="BB457" s="3"/>
      <c r="BC457" s="3"/>
    </row>
    <row r="458" ht="15.75" customHeight="1">
      <c r="A458" s="12"/>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c r="AA458" s="310"/>
      <c r="AB458" s="310"/>
      <c r="AC458" s="310"/>
      <c r="AD458" s="310"/>
      <c r="AE458" s="310"/>
      <c r="AF458" s="310"/>
      <c r="AG458" s="310"/>
      <c r="AH458" s="310"/>
      <c r="AI458" s="310"/>
      <c r="AJ458" s="310"/>
      <c r="AK458" s="310"/>
      <c r="AL458" s="310"/>
      <c r="AM458" s="310"/>
      <c r="AN458" s="310"/>
      <c r="AO458" s="310"/>
      <c r="AP458" s="12"/>
      <c r="AQ458" s="3"/>
      <c r="AR458" s="3"/>
      <c r="AS458" s="3"/>
      <c r="AT458" s="3"/>
      <c r="AU458" s="3"/>
      <c r="AV458" s="3"/>
      <c r="AW458" s="3"/>
      <c r="AX458" s="3"/>
      <c r="AY458" s="3"/>
      <c r="AZ458" s="3"/>
      <c r="BA458" s="3"/>
      <c r="BB458" s="3"/>
      <c r="BC458" s="3"/>
    </row>
    <row r="459" ht="15.75" customHeight="1">
      <c r="A459" s="12"/>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c r="AA459" s="310"/>
      <c r="AB459" s="310"/>
      <c r="AC459" s="310"/>
      <c r="AD459" s="310"/>
      <c r="AE459" s="310"/>
      <c r="AF459" s="310"/>
      <c r="AG459" s="310"/>
      <c r="AH459" s="310"/>
      <c r="AI459" s="310"/>
      <c r="AJ459" s="310"/>
      <c r="AK459" s="310"/>
      <c r="AL459" s="310"/>
      <c r="AM459" s="310"/>
      <c r="AN459" s="310"/>
      <c r="AO459" s="310"/>
      <c r="AP459" s="12"/>
      <c r="AQ459" s="3"/>
      <c r="AR459" s="3"/>
      <c r="AS459" s="3"/>
      <c r="AT459" s="3"/>
      <c r="AU459" s="3"/>
      <c r="AV459" s="3"/>
      <c r="AW459" s="3"/>
      <c r="AX459" s="3"/>
      <c r="AY459" s="3"/>
      <c r="AZ459" s="3"/>
      <c r="BA459" s="3"/>
      <c r="BB459" s="3"/>
      <c r="BC459" s="3"/>
    </row>
    <row r="460" ht="15.75" customHeight="1">
      <c r="A460" s="12"/>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c r="AA460" s="310"/>
      <c r="AB460" s="310"/>
      <c r="AC460" s="310"/>
      <c r="AD460" s="310"/>
      <c r="AE460" s="310"/>
      <c r="AF460" s="310"/>
      <c r="AG460" s="310"/>
      <c r="AH460" s="310"/>
      <c r="AI460" s="310"/>
      <c r="AJ460" s="310"/>
      <c r="AK460" s="310"/>
      <c r="AL460" s="310"/>
      <c r="AM460" s="310"/>
      <c r="AN460" s="310"/>
      <c r="AO460" s="310"/>
      <c r="AP460" s="12"/>
      <c r="AQ460" s="3"/>
      <c r="AR460" s="3"/>
      <c r="AS460" s="3"/>
      <c r="AT460" s="3"/>
      <c r="AU460" s="3"/>
      <c r="AV460" s="3"/>
      <c r="AW460" s="3"/>
      <c r="AX460" s="3"/>
      <c r="AY460" s="3"/>
      <c r="AZ460" s="3"/>
      <c r="BA460" s="3"/>
      <c r="BB460" s="3"/>
      <c r="BC460" s="3"/>
    </row>
    <row r="461" ht="15.75" customHeight="1">
      <c r="A461" s="12"/>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c r="AA461" s="310"/>
      <c r="AB461" s="310"/>
      <c r="AC461" s="310"/>
      <c r="AD461" s="310"/>
      <c r="AE461" s="310"/>
      <c r="AF461" s="310"/>
      <c r="AG461" s="310"/>
      <c r="AH461" s="310"/>
      <c r="AI461" s="310"/>
      <c r="AJ461" s="310"/>
      <c r="AK461" s="310"/>
      <c r="AL461" s="310"/>
      <c r="AM461" s="310"/>
      <c r="AN461" s="310"/>
      <c r="AO461" s="310"/>
      <c r="AP461" s="12"/>
      <c r="AQ461" s="3"/>
      <c r="AR461" s="3"/>
      <c r="AS461" s="3"/>
      <c r="AT461" s="3"/>
      <c r="AU461" s="3"/>
      <c r="AV461" s="3"/>
      <c r="AW461" s="3"/>
      <c r="AX461" s="3"/>
      <c r="AY461" s="3"/>
      <c r="AZ461" s="3"/>
      <c r="BA461" s="3"/>
      <c r="BB461" s="3"/>
      <c r="BC461" s="3"/>
    </row>
    <row r="462" ht="15.75" customHeight="1">
      <c r="A462" s="12"/>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c r="AA462" s="310"/>
      <c r="AB462" s="310"/>
      <c r="AC462" s="310"/>
      <c r="AD462" s="310"/>
      <c r="AE462" s="310"/>
      <c r="AF462" s="310"/>
      <c r="AG462" s="310"/>
      <c r="AH462" s="310"/>
      <c r="AI462" s="310"/>
      <c r="AJ462" s="310"/>
      <c r="AK462" s="310"/>
      <c r="AL462" s="310"/>
      <c r="AM462" s="310"/>
      <c r="AN462" s="310"/>
      <c r="AO462" s="310"/>
      <c r="AP462" s="12"/>
      <c r="AQ462" s="3"/>
      <c r="AR462" s="3"/>
      <c r="AS462" s="3"/>
      <c r="AT462" s="3"/>
      <c r="AU462" s="3"/>
      <c r="AV462" s="3"/>
      <c r="AW462" s="3"/>
      <c r="AX462" s="3"/>
      <c r="AY462" s="3"/>
      <c r="AZ462" s="3"/>
      <c r="BA462" s="3"/>
      <c r="BB462" s="3"/>
      <c r="BC462" s="3"/>
    </row>
    <row r="463" ht="15.75" customHeight="1">
      <c r="A463" s="12"/>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c r="AA463" s="310"/>
      <c r="AB463" s="310"/>
      <c r="AC463" s="310"/>
      <c r="AD463" s="310"/>
      <c r="AE463" s="310"/>
      <c r="AF463" s="310"/>
      <c r="AG463" s="310"/>
      <c r="AH463" s="310"/>
      <c r="AI463" s="310"/>
      <c r="AJ463" s="310"/>
      <c r="AK463" s="310"/>
      <c r="AL463" s="310"/>
      <c r="AM463" s="310"/>
      <c r="AN463" s="310"/>
      <c r="AO463" s="310"/>
      <c r="AP463" s="12"/>
      <c r="AQ463" s="3"/>
      <c r="AR463" s="3"/>
      <c r="AS463" s="3"/>
      <c r="AT463" s="3"/>
      <c r="AU463" s="3"/>
      <c r="AV463" s="3"/>
      <c r="AW463" s="3"/>
      <c r="AX463" s="3"/>
      <c r="AY463" s="3"/>
      <c r="AZ463" s="3"/>
      <c r="BA463" s="3"/>
      <c r="BB463" s="3"/>
      <c r="BC463" s="3"/>
    </row>
    <row r="464" ht="15.75" customHeight="1">
      <c r="A464" s="12"/>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c r="AA464" s="310"/>
      <c r="AB464" s="310"/>
      <c r="AC464" s="310"/>
      <c r="AD464" s="310"/>
      <c r="AE464" s="310"/>
      <c r="AF464" s="310"/>
      <c r="AG464" s="310"/>
      <c r="AH464" s="310"/>
      <c r="AI464" s="310"/>
      <c r="AJ464" s="310"/>
      <c r="AK464" s="310"/>
      <c r="AL464" s="310"/>
      <c r="AM464" s="310"/>
      <c r="AN464" s="310"/>
      <c r="AO464" s="310"/>
      <c r="AP464" s="12"/>
      <c r="AQ464" s="3"/>
      <c r="AR464" s="3"/>
      <c r="AS464" s="3"/>
      <c r="AT464" s="3"/>
      <c r="AU464" s="3"/>
      <c r="AV464" s="3"/>
      <c r="AW464" s="3"/>
      <c r="AX464" s="3"/>
      <c r="AY464" s="3"/>
      <c r="AZ464" s="3"/>
      <c r="BA464" s="3"/>
      <c r="BB464" s="3"/>
      <c r="BC464" s="3"/>
    </row>
    <row r="465" ht="15.75" customHeight="1">
      <c r="A465" s="12"/>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c r="AA465" s="310"/>
      <c r="AB465" s="310"/>
      <c r="AC465" s="310"/>
      <c r="AD465" s="310"/>
      <c r="AE465" s="310"/>
      <c r="AF465" s="310"/>
      <c r="AG465" s="310"/>
      <c r="AH465" s="310"/>
      <c r="AI465" s="310"/>
      <c r="AJ465" s="310"/>
      <c r="AK465" s="310"/>
      <c r="AL465" s="310"/>
      <c r="AM465" s="310"/>
      <c r="AN465" s="310"/>
      <c r="AO465" s="310"/>
      <c r="AP465" s="12"/>
      <c r="AQ465" s="3"/>
      <c r="AR465" s="3"/>
      <c r="AS465" s="3"/>
      <c r="AT465" s="3"/>
      <c r="AU465" s="3"/>
      <c r="AV465" s="3"/>
      <c r="AW465" s="3"/>
      <c r="AX465" s="3"/>
      <c r="AY465" s="3"/>
      <c r="AZ465" s="3"/>
      <c r="BA465" s="3"/>
      <c r="BB465" s="3"/>
      <c r="BC465" s="3"/>
    </row>
    <row r="466" ht="15.75" customHeight="1">
      <c r="A466" s="12"/>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c r="AA466" s="310"/>
      <c r="AB466" s="310"/>
      <c r="AC466" s="310"/>
      <c r="AD466" s="310"/>
      <c r="AE466" s="310"/>
      <c r="AF466" s="310"/>
      <c r="AG466" s="310"/>
      <c r="AH466" s="310"/>
      <c r="AI466" s="310"/>
      <c r="AJ466" s="310"/>
      <c r="AK466" s="310"/>
      <c r="AL466" s="310"/>
      <c r="AM466" s="310"/>
      <c r="AN466" s="310"/>
      <c r="AO466" s="310"/>
      <c r="AP466" s="12"/>
      <c r="AQ466" s="3"/>
      <c r="AR466" s="3"/>
      <c r="AS466" s="3"/>
      <c r="AT466" s="3"/>
      <c r="AU466" s="3"/>
      <c r="AV466" s="3"/>
      <c r="AW466" s="3"/>
      <c r="AX466" s="3"/>
      <c r="AY466" s="3"/>
      <c r="AZ466" s="3"/>
      <c r="BA466" s="3"/>
      <c r="BB466" s="3"/>
      <c r="BC466" s="3"/>
    </row>
    <row r="467" ht="15.75" customHeight="1">
      <c r="A467" s="12"/>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c r="AA467" s="310"/>
      <c r="AB467" s="310"/>
      <c r="AC467" s="310"/>
      <c r="AD467" s="310"/>
      <c r="AE467" s="310"/>
      <c r="AF467" s="310"/>
      <c r="AG467" s="310"/>
      <c r="AH467" s="310"/>
      <c r="AI467" s="310"/>
      <c r="AJ467" s="310"/>
      <c r="AK467" s="310"/>
      <c r="AL467" s="310"/>
      <c r="AM467" s="310"/>
      <c r="AN467" s="310"/>
      <c r="AO467" s="310"/>
      <c r="AP467" s="12"/>
      <c r="AQ467" s="3"/>
      <c r="AR467" s="3"/>
      <c r="AS467" s="3"/>
      <c r="AT467" s="3"/>
      <c r="AU467" s="3"/>
      <c r="AV467" s="3"/>
      <c r="AW467" s="3"/>
      <c r="AX467" s="3"/>
      <c r="AY467" s="3"/>
      <c r="AZ467" s="3"/>
      <c r="BA467" s="3"/>
      <c r="BB467" s="3"/>
      <c r="BC467" s="3"/>
    </row>
    <row r="468" ht="15.75" customHeight="1">
      <c r="A468" s="12"/>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c r="AA468" s="310"/>
      <c r="AB468" s="310"/>
      <c r="AC468" s="310"/>
      <c r="AD468" s="310"/>
      <c r="AE468" s="310"/>
      <c r="AF468" s="310"/>
      <c r="AG468" s="310"/>
      <c r="AH468" s="310"/>
      <c r="AI468" s="310"/>
      <c r="AJ468" s="310"/>
      <c r="AK468" s="310"/>
      <c r="AL468" s="310"/>
      <c r="AM468" s="310"/>
      <c r="AN468" s="310"/>
      <c r="AO468" s="310"/>
      <c r="AP468" s="12"/>
      <c r="AQ468" s="3"/>
      <c r="AR468" s="3"/>
      <c r="AS468" s="3"/>
      <c r="AT468" s="3"/>
      <c r="AU468" s="3"/>
      <c r="AV468" s="3"/>
      <c r="AW468" s="3"/>
      <c r="AX468" s="3"/>
      <c r="AY468" s="3"/>
      <c r="AZ468" s="3"/>
      <c r="BA468" s="3"/>
      <c r="BB468" s="3"/>
      <c r="BC468" s="3"/>
    </row>
    <row r="469" ht="15.75" customHeight="1">
      <c r="A469" s="12"/>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c r="AA469" s="310"/>
      <c r="AB469" s="310"/>
      <c r="AC469" s="310"/>
      <c r="AD469" s="310"/>
      <c r="AE469" s="310"/>
      <c r="AF469" s="310"/>
      <c r="AG469" s="310"/>
      <c r="AH469" s="310"/>
      <c r="AI469" s="310"/>
      <c r="AJ469" s="310"/>
      <c r="AK469" s="310"/>
      <c r="AL469" s="310"/>
      <c r="AM469" s="310"/>
      <c r="AN469" s="310"/>
      <c r="AO469" s="310"/>
      <c r="AP469" s="12"/>
      <c r="AQ469" s="3"/>
      <c r="AR469" s="3"/>
      <c r="AS469" s="3"/>
      <c r="AT469" s="3"/>
      <c r="AU469" s="3"/>
      <c r="AV469" s="3"/>
      <c r="AW469" s="3"/>
      <c r="AX469" s="3"/>
      <c r="AY469" s="3"/>
      <c r="AZ469" s="3"/>
      <c r="BA469" s="3"/>
      <c r="BB469" s="3"/>
      <c r="BC469" s="3"/>
    </row>
    <row r="470" ht="15.75" customHeight="1">
      <c r="A470" s="12"/>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c r="AA470" s="310"/>
      <c r="AB470" s="310"/>
      <c r="AC470" s="310"/>
      <c r="AD470" s="310"/>
      <c r="AE470" s="310"/>
      <c r="AF470" s="310"/>
      <c r="AG470" s="310"/>
      <c r="AH470" s="310"/>
      <c r="AI470" s="310"/>
      <c r="AJ470" s="310"/>
      <c r="AK470" s="310"/>
      <c r="AL470" s="310"/>
      <c r="AM470" s="310"/>
      <c r="AN470" s="310"/>
      <c r="AO470" s="310"/>
      <c r="AP470" s="12"/>
      <c r="AQ470" s="3"/>
      <c r="AR470" s="3"/>
      <c r="AS470" s="3"/>
      <c r="AT470" s="3"/>
      <c r="AU470" s="3"/>
      <c r="AV470" s="3"/>
      <c r="AW470" s="3"/>
      <c r="AX470" s="3"/>
      <c r="AY470" s="3"/>
      <c r="AZ470" s="3"/>
      <c r="BA470" s="3"/>
      <c r="BB470" s="3"/>
      <c r="BC470" s="3"/>
    </row>
    <row r="471" ht="15.75" customHeight="1">
      <c r="A471" s="12"/>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c r="AA471" s="310"/>
      <c r="AB471" s="310"/>
      <c r="AC471" s="310"/>
      <c r="AD471" s="310"/>
      <c r="AE471" s="310"/>
      <c r="AF471" s="310"/>
      <c r="AG471" s="310"/>
      <c r="AH471" s="310"/>
      <c r="AI471" s="310"/>
      <c r="AJ471" s="310"/>
      <c r="AK471" s="310"/>
      <c r="AL471" s="310"/>
      <c r="AM471" s="310"/>
      <c r="AN471" s="310"/>
      <c r="AO471" s="310"/>
      <c r="AP471" s="12"/>
      <c r="AQ471" s="3"/>
      <c r="AR471" s="3"/>
      <c r="AS471" s="3"/>
      <c r="AT471" s="3"/>
      <c r="AU471" s="3"/>
      <c r="AV471" s="3"/>
      <c r="AW471" s="3"/>
      <c r="AX471" s="3"/>
      <c r="AY471" s="3"/>
      <c r="AZ471" s="3"/>
      <c r="BA471" s="3"/>
      <c r="BB471" s="3"/>
      <c r="BC471" s="3"/>
    </row>
    <row r="472" ht="15.75" customHeight="1">
      <c r="A472" s="12"/>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c r="AA472" s="310"/>
      <c r="AB472" s="310"/>
      <c r="AC472" s="310"/>
      <c r="AD472" s="310"/>
      <c r="AE472" s="310"/>
      <c r="AF472" s="310"/>
      <c r="AG472" s="310"/>
      <c r="AH472" s="310"/>
      <c r="AI472" s="310"/>
      <c r="AJ472" s="310"/>
      <c r="AK472" s="310"/>
      <c r="AL472" s="310"/>
      <c r="AM472" s="310"/>
      <c r="AN472" s="310"/>
      <c r="AO472" s="310"/>
      <c r="AP472" s="12"/>
      <c r="AQ472" s="3"/>
      <c r="AR472" s="3"/>
      <c r="AS472" s="3"/>
      <c r="AT472" s="3"/>
      <c r="AU472" s="3"/>
      <c r="AV472" s="3"/>
      <c r="AW472" s="3"/>
      <c r="AX472" s="3"/>
      <c r="AY472" s="3"/>
      <c r="AZ472" s="3"/>
      <c r="BA472" s="3"/>
      <c r="BB472" s="3"/>
      <c r="BC472" s="3"/>
    </row>
    <row r="473" ht="15.75" customHeight="1">
      <c r="A473" s="12"/>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c r="AA473" s="310"/>
      <c r="AB473" s="310"/>
      <c r="AC473" s="310"/>
      <c r="AD473" s="310"/>
      <c r="AE473" s="310"/>
      <c r="AF473" s="310"/>
      <c r="AG473" s="310"/>
      <c r="AH473" s="310"/>
      <c r="AI473" s="310"/>
      <c r="AJ473" s="310"/>
      <c r="AK473" s="310"/>
      <c r="AL473" s="310"/>
      <c r="AM473" s="310"/>
      <c r="AN473" s="310"/>
      <c r="AO473" s="310"/>
      <c r="AP473" s="12"/>
      <c r="AQ473" s="3"/>
      <c r="AR473" s="3"/>
      <c r="AS473" s="3"/>
      <c r="AT473" s="3"/>
      <c r="AU473" s="3"/>
      <c r="AV473" s="3"/>
      <c r="AW473" s="3"/>
      <c r="AX473" s="3"/>
      <c r="AY473" s="3"/>
      <c r="AZ473" s="3"/>
      <c r="BA473" s="3"/>
      <c r="BB473" s="3"/>
      <c r="BC473" s="3"/>
    </row>
    <row r="474" ht="15.75" customHeight="1">
      <c r="A474" s="12"/>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c r="AA474" s="310"/>
      <c r="AB474" s="310"/>
      <c r="AC474" s="310"/>
      <c r="AD474" s="310"/>
      <c r="AE474" s="310"/>
      <c r="AF474" s="310"/>
      <c r="AG474" s="310"/>
      <c r="AH474" s="310"/>
      <c r="AI474" s="310"/>
      <c r="AJ474" s="310"/>
      <c r="AK474" s="310"/>
      <c r="AL474" s="310"/>
      <c r="AM474" s="310"/>
      <c r="AN474" s="310"/>
      <c r="AO474" s="310"/>
      <c r="AP474" s="12"/>
      <c r="AQ474" s="3"/>
      <c r="AR474" s="3"/>
      <c r="AS474" s="3"/>
      <c r="AT474" s="3"/>
      <c r="AU474" s="3"/>
      <c r="AV474" s="3"/>
      <c r="AW474" s="3"/>
      <c r="AX474" s="3"/>
      <c r="AY474" s="3"/>
      <c r="AZ474" s="3"/>
      <c r="BA474" s="3"/>
      <c r="BB474" s="3"/>
      <c r="BC474" s="3"/>
    </row>
    <row r="475" ht="15.75" customHeight="1">
      <c r="A475" s="12"/>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c r="AA475" s="310"/>
      <c r="AB475" s="310"/>
      <c r="AC475" s="310"/>
      <c r="AD475" s="310"/>
      <c r="AE475" s="310"/>
      <c r="AF475" s="310"/>
      <c r="AG475" s="310"/>
      <c r="AH475" s="310"/>
      <c r="AI475" s="310"/>
      <c r="AJ475" s="310"/>
      <c r="AK475" s="310"/>
      <c r="AL475" s="310"/>
      <c r="AM475" s="310"/>
      <c r="AN475" s="310"/>
      <c r="AO475" s="310"/>
      <c r="AP475" s="12"/>
      <c r="AQ475" s="3"/>
      <c r="AR475" s="3"/>
      <c r="AS475" s="3"/>
      <c r="AT475" s="3"/>
      <c r="AU475" s="3"/>
      <c r="AV475" s="3"/>
      <c r="AW475" s="3"/>
      <c r="AX475" s="3"/>
      <c r="AY475" s="3"/>
      <c r="AZ475" s="3"/>
      <c r="BA475" s="3"/>
      <c r="BB475" s="3"/>
      <c r="BC475" s="3"/>
    </row>
    <row r="476" ht="15.75" customHeight="1">
      <c r="A476" s="12"/>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c r="AA476" s="310"/>
      <c r="AB476" s="310"/>
      <c r="AC476" s="310"/>
      <c r="AD476" s="310"/>
      <c r="AE476" s="310"/>
      <c r="AF476" s="310"/>
      <c r="AG476" s="310"/>
      <c r="AH476" s="310"/>
      <c r="AI476" s="310"/>
      <c r="AJ476" s="310"/>
      <c r="AK476" s="310"/>
      <c r="AL476" s="310"/>
      <c r="AM476" s="310"/>
      <c r="AN476" s="310"/>
      <c r="AO476" s="310"/>
      <c r="AP476" s="12"/>
      <c r="AQ476" s="3"/>
      <c r="AR476" s="3"/>
      <c r="AS476" s="3"/>
      <c r="AT476" s="3"/>
      <c r="AU476" s="3"/>
      <c r="AV476" s="3"/>
      <c r="AW476" s="3"/>
      <c r="AX476" s="3"/>
      <c r="AY476" s="3"/>
      <c r="AZ476" s="3"/>
      <c r="BA476" s="3"/>
      <c r="BB476" s="3"/>
      <c r="BC476" s="3"/>
    </row>
    <row r="477" ht="15.75" customHeight="1">
      <c r="A477" s="12"/>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c r="AA477" s="310"/>
      <c r="AB477" s="310"/>
      <c r="AC477" s="310"/>
      <c r="AD477" s="310"/>
      <c r="AE477" s="310"/>
      <c r="AF477" s="310"/>
      <c r="AG477" s="310"/>
      <c r="AH477" s="310"/>
      <c r="AI477" s="310"/>
      <c r="AJ477" s="310"/>
      <c r="AK477" s="310"/>
      <c r="AL477" s="310"/>
      <c r="AM477" s="310"/>
      <c r="AN477" s="310"/>
      <c r="AO477" s="310"/>
      <c r="AP477" s="12"/>
      <c r="AQ477" s="3"/>
      <c r="AR477" s="3"/>
      <c r="AS477" s="3"/>
      <c r="AT477" s="3"/>
      <c r="AU477" s="3"/>
      <c r="AV477" s="3"/>
      <c r="AW477" s="3"/>
      <c r="AX477" s="3"/>
      <c r="AY477" s="3"/>
      <c r="AZ477" s="3"/>
      <c r="BA477" s="3"/>
      <c r="BB477" s="3"/>
      <c r="BC477" s="3"/>
    </row>
    <row r="478" ht="15.75" customHeight="1">
      <c r="A478" s="12"/>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c r="AA478" s="310"/>
      <c r="AB478" s="310"/>
      <c r="AC478" s="310"/>
      <c r="AD478" s="310"/>
      <c r="AE478" s="310"/>
      <c r="AF478" s="310"/>
      <c r="AG478" s="310"/>
      <c r="AH478" s="310"/>
      <c r="AI478" s="310"/>
      <c r="AJ478" s="310"/>
      <c r="AK478" s="310"/>
      <c r="AL478" s="310"/>
      <c r="AM478" s="310"/>
      <c r="AN478" s="310"/>
      <c r="AO478" s="310"/>
      <c r="AP478" s="12"/>
      <c r="AQ478" s="3"/>
      <c r="AR478" s="3"/>
      <c r="AS478" s="3"/>
      <c r="AT478" s="3"/>
      <c r="AU478" s="3"/>
      <c r="AV478" s="3"/>
      <c r="AW478" s="3"/>
      <c r="AX478" s="3"/>
      <c r="AY478" s="3"/>
      <c r="AZ478" s="3"/>
      <c r="BA478" s="3"/>
      <c r="BB478" s="3"/>
      <c r="BC478" s="3"/>
    </row>
    <row r="479" ht="15.75" customHeight="1">
      <c r="A479" s="12"/>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c r="AA479" s="310"/>
      <c r="AB479" s="310"/>
      <c r="AC479" s="310"/>
      <c r="AD479" s="310"/>
      <c r="AE479" s="310"/>
      <c r="AF479" s="310"/>
      <c r="AG479" s="310"/>
      <c r="AH479" s="310"/>
      <c r="AI479" s="310"/>
      <c r="AJ479" s="310"/>
      <c r="AK479" s="310"/>
      <c r="AL479" s="310"/>
      <c r="AM479" s="310"/>
      <c r="AN479" s="310"/>
      <c r="AO479" s="310"/>
      <c r="AP479" s="12"/>
      <c r="AQ479" s="3"/>
      <c r="AR479" s="3"/>
      <c r="AS479" s="3"/>
      <c r="AT479" s="3"/>
      <c r="AU479" s="3"/>
      <c r="AV479" s="3"/>
      <c r="AW479" s="3"/>
      <c r="AX479" s="3"/>
      <c r="AY479" s="3"/>
      <c r="AZ479" s="3"/>
      <c r="BA479" s="3"/>
      <c r="BB479" s="3"/>
      <c r="BC479" s="3"/>
    </row>
    <row r="480" ht="15.75" customHeight="1">
      <c r="A480" s="12"/>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c r="AA480" s="310"/>
      <c r="AB480" s="310"/>
      <c r="AC480" s="310"/>
      <c r="AD480" s="310"/>
      <c r="AE480" s="310"/>
      <c r="AF480" s="310"/>
      <c r="AG480" s="310"/>
      <c r="AH480" s="310"/>
      <c r="AI480" s="310"/>
      <c r="AJ480" s="310"/>
      <c r="AK480" s="310"/>
      <c r="AL480" s="310"/>
      <c r="AM480" s="310"/>
      <c r="AN480" s="310"/>
      <c r="AO480" s="310"/>
      <c r="AP480" s="12"/>
      <c r="AQ480" s="3"/>
      <c r="AR480" s="3"/>
      <c r="AS480" s="3"/>
      <c r="AT480" s="3"/>
      <c r="AU480" s="3"/>
      <c r="AV480" s="3"/>
      <c r="AW480" s="3"/>
      <c r="AX480" s="3"/>
      <c r="AY480" s="3"/>
      <c r="AZ480" s="3"/>
      <c r="BA480" s="3"/>
      <c r="BB480" s="3"/>
      <c r="BC480" s="3"/>
    </row>
    <row r="481" ht="15.75" customHeight="1">
      <c r="A481" s="12"/>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c r="AA481" s="310"/>
      <c r="AB481" s="310"/>
      <c r="AC481" s="310"/>
      <c r="AD481" s="310"/>
      <c r="AE481" s="310"/>
      <c r="AF481" s="310"/>
      <c r="AG481" s="310"/>
      <c r="AH481" s="310"/>
      <c r="AI481" s="310"/>
      <c r="AJ481" s="310"/>
      <c r="AK481" s="310"/>
      <c r="AL481" s="310"/>
      <c r="AM481" s="310"/>
      <c r="AN481" s="310"/>
      <c r="AO481" s="310"/>
      <c r="AP481" s="12"/>
      <c r="AQ481" s="3"/>
      <c r="AR481" s="3"/>
      <c r="AS481" s="3"/>
      <c r="AT481" s="3"/>
      <c r="AU481" s="3"/>
      <c r="AV481" s="3"/>
      <c r="AW481" s="3"/>
      <c r="AX481" s="3"/>
      <c r="AY481" s="3"/>
      <c r="AZ481" s="3"/>
      <c r="BA481" s="3"/>
      <c r="BB481" s="3"/>
      <c r="BC481" s="3"/>
    </row>
    <row r="482" ht="15.75" customHeight="1">
      <c r="A482" s="12"/>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c r="AA482" s="310"/>
      <c r="AB482" s="310"/>
      <c r="AC482" s="310"/>
      <c r="AD482" s="310"/>
      <c r="AE482" s="310"/>
      <c r="AF482" s="310"/>
      <c r="AG482" s="310"/>
      <c r="AH482" s="310"/>
      <c r="AI482" s="310"/>
      <c r="AJ482" s="310"/>
      <c r="AK482" s="310"/>
      <c r="AL482" s="310"/>
      <c r="AM482" s="310"/>
      <c r="AN482" s="310"/>
      <c r="AO482" s="310"/>
      <c r="AP482" s="12"/>
      <c r="AQ482" s="3"/>
      <c r="AR482" s="3"/>
      <c r="AS482" s="3"/>
      <c r="AT482" s="3"/>
      <c r="AU482" s="3"/>
      <c r="AV482" s="3"/>
      <c r="AW482" s="3"/>
      <c r="AX482" s="3"/>
      <c r="AY482" s="3"/>
      <c r="AZ482" s="3"/>
      <c r="BA482" s="3"/>
      <c r="BB482" s="3"/>
      <c r="BC482" s="3"/>
    </row>
    <row r="483" ht="15.75" customHeight="1">
      <c r="A483" s="12"/>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c r="AA483" s="310"/>
      <c r="AB483" s="310"/>
      <c r="AC483" s="310"/>
      <c r="AD483" s="310"/>
      <c r="AE483" s="310"/>
      <c r="AF483" s="310"/>
      <c r="AG483" s="310"/>
      <c r="AH483" s="310"/>
      <c r="AI483" s="310"/>
      <c r="AJ483" s="310"/>
      <c r="AK483" s="310"/>
      <c r="AL483" s="310"/>
      <c r="AM483" s="310"/>
      <c r="AN483" s="310"/>
      <c r="AO483" s="310"/>
      <c r="AP483" s="12"/>
      <c r="AQ483" s="3"/>
      <c r="AR483" s="3"/>
      <c r="AS483" s="3"/>
      <c r="AT483" s="3"/>
      <c r="AU483" s="3"/>
      <c r="AV483" s="3"/>
      <c r="AW483" s="3"/>
      <c r="AX483" s="3"/>
      <c r="AY483" s="3"/>
      <c r="AZ483" s="3"/>
      <c r="BA483" s="3"/>
      <c r="BB483" s="3"/>
      <c r="BC483" s="3"/>
    </row>
    <row r="484" ht="15.75" customHeight="1">
      <c r="A484" s="12"/>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c r="AA484" s="310"/>
      <c r="AB484" s="310"/>
      <c r="AC484" s="310"/>
      <c r="AD484" s="310"/>
      <c r="AE484" s="310"/>
      <c r="AF484" s="310"/>
      <c r="AG484" s="310"/>
      <c r="AH484" s="310"/>
      <c r="AI484" s="310"/>
      <c r="AJ484" s="310"/>
      <c r="AK484" s="310"/>
      <c r="AL484" s="310"/>
      <c r="AM484" s="310"/>
      <c r="AN484" s="310"/>
      <c r="AO484" s="310"/>
      <c r="AP484" s="12"/>
      <c r="AQ484" s="3"/>
      <c r="AR484" s="3"/>
      <c r="AS484" s="3"/>
      <c r="AT484" s="3"/>
      <c r="AU484" s="3"/>
      <c r="AV484" s="3"/>
      <c r="AW484" s="3"/>
      <c r="AX484" s="3"/>
      <c r="AY484" s="3"/>
      <c r="AZ484" s="3"/>
      <c r="BA484" s="3"/>
      <c r="BB484" s="3"/>
      <c r="BC484" s="3"/>
    </row>
    <row r="485" ht="15.75" customHeight="1">
      <c r="A485" s="12"/>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c r="AA485" s="310"/>
      <c r="AB485" s="310"/>
      <c r="AC485" s="310"/>
      <c r="AD485" s="310"/>
      <c r="AE485" s="310"/>
      <c r="AF485" s="310"/>
      <c r="AG485" s="310"/>
      <c r="AH485" s="310"/>
      <c r="AI485" s="310"/>
      <c r="AJ485" s="310"/>
      <c r="AK485" s="310"/>
      <c r="AL485" s="310"/>
      <c r="AM485" s="310"/>
      <c r="AN485" s="310"/>
      <c r="AO485" s="310"/>
      <c r="AP485" s="12"/>
      <c r="AQ485" s="3"/>
      <c r="AR485" s="3"/>
      <c r="AS485" s="3"/>
      <c r="AT485" s="3"/>
      <c r="AU485" s="3"/>
      <c r="AV485" s="3"/>
      <c r="AW485" s="3"/>
      <c r="AX485" s="3"/>
      <c r="AY485" s="3"/>
      <c r="AZ485" s="3"/>
      <c r="BA485" s="3"/>
      <c r="BB485" s="3"/>
      <c r="BC485" s="3"/>
    </row>
    <row r="486" ht="15.75" customHeight="1">
      <c r="A486" s="12"/>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c r="AA486" s="310"/>
      <c r="AB486" s="310"/>
      <c r="AC486" s="310"/>
      <c r="AD486" s="310"/>
      <c r="AE486" s="310"/>
      <c r="AF486" s="310"/>
      <c r="AG486" s="310"/>
      <c r="AH486" s="310"/>
      <c r="AI486" s="310"/>
      <c r="AJ486" s="310"/>
      <c r="AK486" s="310"/>
      <c r="AL486" s="310"/>
      <c r="AM486" s="310"/>
      <c r="AN486" s="310"/>
      <c r="AO486" s="310"/>
      <c r="AP486" s="12"/>
      <c r="AQ486" s="3"/>
      <c r="AR486" s="3"/>
      <c r="AS486" s="3"/>
      <c r="AT486" s="3"/>
      <c r="AU486" s="3"/>
      <c r="AV486" s="3"/>
      <c r="AW486" s="3"/>
      <c r="AX486" s="3"/>
      <c r="AY486" s="3"/>
      <c r="AZ486" s="3"/>
      <c r="BA486" s="3"/>
      <c r="BB486" s="3"/>
      <c r="BC486" s="3"/>
    </row>
    <row r="487" ht="15.75" customHeight="1">
      <c r="A487" s="12"/>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c r="AA487" s="310"/>
      <c r="AB487" s="310"/>
      <c r="AC487" s="310"/>
      <c r="AD487" s="310"/>
      <c r="AE487" s="310"/>
      <c r="AF487" s="310"/>
      <c r="AG487" s="310"/>
      <c r="AH487" s="310"/>
      <c r="AI487" s="310"/>
      <c r="AJ487" s="310"/>
      <c r="AK487" s="310"/>
      <c r="AL487" s="310"/>
      <c r="AM487" s="310"/>
      <c r="AN487" s="310"/>
      <c r="AO487" s="310"/>
      <c r="AP487" s="12"/>
      <c r="AQ487" s="3"/>
      <c r="AR487" s="3"/>
      <c r="AS487" s="3"/>
      <c r="AT487" s="3"/>
      <c r="AU487" s="3"/>
      <c r="AV487" s="3"/>
      <c r="AW487" s="3"/>
      <c r="AX487" s="3"/>
      <c r="AY487" s="3"/>
      <c r="AZ487" s="3"/>
      <c r="BA487" s="3"/>
      <c r="BB487" s="3"/>
      <c r="BC487" s="3"/>
    </row>
    <row r="488" ht="15.75" customHeight="1">
      <c r="A488" s="12"/>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c r="AA488" s="310"/>
      <c r="AB488" s="310"/>
      <c r="AC488" s="310"/>
      <c r="AD488" s="310"/>
      <c r="AE488" s="310"/>
      <c r="AF488" s="310"/>
      <c r="AG488" s="310"/>
      <c r="AH488" s="310"/>
      <c r="AI488" s="310"/>
      <c r="AJ488" s="310"/>
      <c r="AK488" s="310"/>
      <c r="AL488" s="310"/>
      <c r="AM488" s="310"/>
      <c r="AN488" s="310"/>
      <c r="AO488" s="310"/>
      <c r="AP488" s="12"/>
      <c r="AQ488" s="3"/>
      <c r="AR488" s="3"/>
      <c r="AS488" s="3"/>
      <c r="AT488" s="3"/>
      <c r="AU488" s="3"/>
      <c r="AV488" s="3"/>
      <c r="AW488" s="3"/>
      <c r="AX488" s="3"/>
      <c r="AY488" s="3"/>
      <c r="AZ488" s="3"/>
      <c r="BA488" s="3"/>
      <c r="BB488" s="3"/>
      <c r="BC488" s="3"/>
    </row>
    <row r="489" ht="15.75" customHeight="1">
      <c r="A489" s="12"/>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c r="AA489" s="310"/>
      <c r="AB489" s="310"/>
      <c r="AC489" s="310"/>
      <c r="AD489" s="310"/>
      <c r="AE489" s="310"/>
      <c r="AF489" s="310"/>
      <c r="AG489" s="310"/>
      <c r="AH489" s="310"/>
      <c r="AI489" s="310"/>
      <c r="AJ489" s="310"/>
      <c r="AK489" s="310"/>
      <c r="AL489" s="310"/>
      <c r="AM489" s="310"/>
      <c r="AN489" s="310"/>
      <c r="AO489" s="310"/>
      <c r="AP489" s="12"/>
      <c r="AQ489" s="3"/>
      <c r="AR489" s="3"/>
      <c r="AS489" s="3"/>
      <c r="AT489" s="3"/>
      <c r="AU489" s="3"/>
      <c r="AV489" s="3"/>
      <c r="AW489" s="3"/>
      <c r="AX489" s="3"/>
      <c r="AY489" s="3"/>
      <c r="AZ489" s="3"/>
      <c r="BA489" s="3"/>
      <c r="BB489" s="3"/>
      <c r="BC489" s="3"/>
    </row>
    <row r="490" ht="15.75" customHeight="1">
      <c r="A490" s="12"/>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c r="AA490" s="310"/>
      <c r="AB490" s="310"/>
      <c r="AC490" s="310"/>
      <c r="AD490" s="310"/>
      <c r="AE490" s="310"/>
      <c r="AF490" s="310"/>
      <c r="AG490" s="310"/>
      <c r="AH490" s="310"/>
      <c r="AI490" s="310"/>
      <c r="AJ490" s="310"/>
      <c r="AK490" s="310"/>
      <c r="AL490" s="310"/>
      <c r="AM490" s="310"/>
      <c r="AN490" s="310"/>
      <c r="AO490" s="310"/>
      <c r="AP490" s="12"/>
      <c r="AQ490" s="3"/>
      <c r="AR490" s="3"/>
      <c r="AS490" s="3"/>
      <c r="AT490" s="3"/>
      <c r="AU490" s="3"/>
      <c r="AV490" s="3"/>
      <c r="AW490" s="3"/>
      <c r="AX490" s="3"/>
      <c r="AY490" s="3"/>
      <c r="AZ490" s="3"/>
      <c r="BA490" s="3"/>
      <c r="BB490" s="3"/>
      <c r="BC490" s="3"/>
    </row>
    <row r="491" ht="15.75" customHeight="1">
      <c r="A491" s="12"/>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c r="AA491" s="310"/>
      <c r="AB491" s="310"/>
      <c r="AC491" s="310"/>
      <c r="AD491" s="310"/>
      <c r="AE491" s="310"/>
      <c r="AF491" s="310"/>
      <c r="AG491" s="310"/>
      <c r="AH491" s="310"/>
      <c r="AI491" s="310"/>
      <c r="AJ491" s="310"/>
      <c r="AK491" s="310"/>
      <c r="AL491" s="310"/>
      <c r="AM491" s="310"/>
      <c r="AN491" s="310"/>
      <c r="AO491" s="310"/>
      <c r="AP491" s="12"/>
      <c r="AQ491" s="3"/>
      <c r="AR491" s="3"/>
      <c r="AS491" s="3"/>
      <c r="AT491" s="3"/>
      <c r="AU491" s="3"/>
      <c r="AV491" s="3"/>
      <c r="AW491" s="3"/>
      <c r="AX491" s="3"/>
      <c r="AY491" s="3"/>
      <c r="AZ491" s="3"/>
      <c r="BA491" s="3"/>
      <c r="BB491" s="3"/>
      <c r="BC491" s="3"/>
    </row>
    <row r="492" ht="15.75" customHeight="1">
      <c r="A492" s="12"/>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c r="AA492" s="310"/>
      <c r="AB492" s="310"/>
      <c r="AC492" s="310"/>
      <c r="AD492" s="310"/>
      <c r="AE492" s="310"/>
      <c r="AF492" s="310"/>
      <c r="AG492" s="310"/>
      <c r="AH492" s="310"/>
      <c r="AI492" s="310"/>
      <c r="AJ492" s="310"/>
      <c r="AK492" s="310"/>
      <c r="AL492" s="310"/>
      <c r="AM492" s="310"/>
      <c r="AN492" s="310"/>
      <c r="AO492" s="310"/>
      <c r="AP492" s="12"/>
      <c r="AQ492" s="3"/>
      <c r="AR492" s="3"/>
      <c r="AS492" s="3"/>
      <c r="AT492" s="3"/>
      <c r="AU492" s="3"/>
      <c r="AV492" s="3"/>
      <c r="AW492" s="3"/>
      <c r="AX492" s="3"/>
      <c r="AY492" s="3"/>
      <c r="AZ492" s="3"/>
      <c r="BA492" s="3"/>
      <c r="BB492" s="3"/>
      <c r="BC492" s="3"/>
    </row>
    <row r="493" ht="15.75" customHeight="1">
      <c r="A493" s="12"/>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c r="AA493" s="310"/>
      <c r="AB493" s="310"/>
      <c r="AC493" s="310"/>
      <c r="AD493" s="310"/>
      <c r="AE493" s="310"/>
      <c r="AF493" s="310"/>
      <c r="AG493" s="310"/>
      <c r="AH493" s="310"/>
      <c r="AI493" s="310"/>
      <c r="AJ493" s="310"/>
      <c r="AK493" s="310"/>
      <c r="AL493" s="310"/>
      <c r="AM493" s="310"/>
      <c r="AN493" s="310"/>
      <c r="AO493" s="310"/>
      <c r="AP493" s="12"/>
      <c r="AQ493" s="3"/>
      <c r="AR493" s="3"/>
      <c r="AS493" s="3"/>
      <c r="AT493" s="3"/>
      <c r="AU493" s="3"/>
      <c r="AV493" s="3"/>
      <c r="AW493" s="3"/>
      <c r="AX493" s="3"/>
      <c r="AY493" s="3"/>
      <c r="AZ493" s="3"/>
      <c r="BA493" s="3"/>
      <c r="BB493" s="3"/>
      <c r="BC493" s="3"/>
    </row>
    <row r="494" ht="15.75" customHeight="1">
      <c r="A494" s="12"/>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c r="AA494" s="310"/>
      <c r="AB494" s="310"/>
      <c r="AC494" s="310"/>
      <c r="AD494" s="310"/>
      <c r="AE494" s="310"/>
      <c r="AF494" s="310"/>
      <c r="AG494" s="310"/>
      <c r="AH494" s="310"/>
      <c r="AI494" s="310"/>
      <c r="AJ494" s="310"/>
      <c r="AK494" s="310"/>
      <c r="AL494" s="310"/>
      <c r="AM494" s="310"/>
      <c r="AN494" s="310"/>
      <c r="AO494" s="310"/>
      <c r="AP494" s="12"/>
      <c r="AQ494" s="3"/>
      <c r="AR494" s="3"/>
      <c r="AS494" s="3"/>
      <c r="AT494" s="3"/>
      <c r="AU494" s="3"/>
      <c r="AV494" s="3"/>
      <c r="AW494" s="3"/>
      <c r="AX494" s="3"/>
      <c r="AY494" s="3"/>
      <c r="AZ494" s="3"/>
      <c r="BA494" s="3"/>
      <c r="BB494" s="3"/>
      <c r="BC494" s="3"/>
    </row>
    <row r="495" ht="15.75" customHeight="1">
      <c r="A495" s="12"/>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c r="AA495" s="310"/>
      <c r="AB495" s="310"/>
      <c r="AC495" s="310"/>
      <c r="AD495" s="310"/>
      <c r="AE495" s="310"/>
      <c r="AF495" s="310"/>
      <c r="AG495" s="310"/>
      <c r="AH495" s="310"/>
      <c r="AI495" s="310"/>
      <c r="AJ495" s="310"/>
      <c r="AK495" s="310"/>
      <c r="AL495" s="310"/>
      <c r="AM495" s="310"/>
      <c r="AN495" s="310"/>
      <c r="AO495" s="310"/>
      <c r="AP495" s="12"/>
      <c r="AQ495" s="3"/>
      <c r="AR495" s="3"/>
      <c r="AS495" s="3"/>
      <c r="AT495" s="3"/>
      <c r="AU495" s="3"/>
      <c r="AV495" s="3"/>
      <c r="AW495" s="3"/>
      <c r="AX495" s="3"/>
      <c r="AY495" s="3"/>
      <c r="AZ495" s="3"/>
      <c r="BA495" s="3"/>
      <c r="BB495" s="3"/>
      <c r="BC495" s="3"/>
    </row>
    <row r="496" ht="15.75" customHeight="1">
      <c r="A496" s="12"/>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c r="AA496" s="310"/>
      <c r="AB496" s="310"/>
      <c r="AC496" s="310"/>
      <c r="AD496" s="310"/>
      <c r="AE496" s="310"/>
      <c r="AF496" s="310"/>
      <c r="AG496" s="310"/>
      <c r="AH496" s="310"/>
      <c r="AI496" s="310"/>
      <c r="AJ496" s="310"/>
      <c r="AK496" s="310"/>
      <c r="AL496" s="310"/>
      <c r="AM496" s="310"/>
      <c r="AN496" s="310"/>
      <c r="AO496" s="310"/>
      <c r="AP496" s="12"/>
      <c r="AQ496" s="3"/>
      <c r="AR496" s="3"/>
      <c r="AS496" s="3"/>
      <c r="AT496" s="3"/>
      <c r="AU496" s="3"/>
      <c r="AV496" s="3"/>
      <c r="AW496" s="3"/>
      <c r="AX496" s="3"/>
      <c r="AY496" s="3"/>
      <c r="AZ496" s="3"/>
      <c r="BA496" s="3"/>
      <c r="BB496" s="3"/>
      <c r="BC496" s="3"/>
    </row>
    <row r="497" ht="15.75" customHeight="1">
      <c r="A497" s="12"/>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c r="AA497" s="310"/>
      <c r="AB497" s="310"/>
      <c r="AC497" s="310"/>
      <c r="AD497" s="310"/>
      <c r="AE497" s="310"/>
      <c r="AF497" s="310"/>
      <c r="AG497" s="310"/>
      <c r="AH497" s="310"/>
      <c r="AI497" s="310"/>
      <c r="AJ497" s="310"/>
      <c r="AK497" s="310"/>
      <c r="AL497" s="310"/>
      <c r="AM497" s="310"/>
      <c r="AN497" s="310"/>
      <c r="AO497" s="310"/>
      <c r="AP497" s="12"/>
      <c r="AQ497" s="3"/>
      <c r="AR497" s="3"/>
      <c r="AS497" s="3"/>
      <c r="AT497" s="3"/>
      <c r="AU497" s="3"/>
      <c r="AV497" s="3"/>
      <c r="AW497" s="3"/>
      <c r="AX497" s="3"/>
      <c r="AY497" s="3"/>
      <c r="AZ497" s="3"/>
      <c r="BA497" s="3"/>
      <c r="BB497" s="3"/>
      <c r="BC497" s="3"/>
    </row>
    <row r="498" ht="15.75" customHeight="1">
      <c r="A498" s="12"/>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c r="AA498" s="310"/>
      <c r="AB498" s="310"/>
      <c r="AC498" s="310"/>
      <c r="AD498" s="310"/>
      <c r="AE498" s="310"/>
      <c r="AF498" s="310"/>
      <c r="AG498" s="310"/>
      <c r="AH498" s="310"/>
      <c r="AI498" s="310"/>
      <c r="AJ498" s="310"/>
      <c r="AK498" s="310"/>
      <c r="AL498" s="310"/>
      <c r="AM498" s="310"/>
      <c r="AN498" s="310"/>
      <c r="AO498" s="310"/>
      <c r="AP498" s="12"/>
      <c r="AQ498" s="3"/>
      <c r="AR498" s="3"/>
      <c r="AS498" s="3"/>
      <c r="AT498" s="3"/>
      <c r="AU498" s="3"/>
      <c r="AV498" s="3"/>
      <c r="AW498" s="3"/>
      <c r="AX498" s="3"/>
      <c r="AY498" s="3"/>
      <c r="AZ498" s="3"/>
      <c r="BA498" s="3"/>
      <c r="BB498" s="3"/>
      <c r="BC498" s="3"/>
    </row>
    <row r="499" ht="15.75" customHeight="1">
      <c r="A499" s="12"/>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c r="AA499" s="310"/>
      <c r="AB499" s="310"/>
      <c r="AC499" s="310"/>
      <c r="AD499" s="310"/>
      <c r="AE499" s="310"/>
      <c r="AF499" s="310"/>
      <c r="AG499" s="310"/>
      <c r="AH499" s="310"/>
      <c r="AI499" s="310"/>
      <c r="AJ499" s="310"/>
      <c r="AK499" s="310"/>
      <c r="AL499" s="310"/>
      <c r="AM499" s="310"/>
      <c r="AN499" s="310"/>
      <c r="AO499" s="310"/>
      <c r="AP499" s="12"/>
      <c r="AQ499" s="3"/>
      <c r="AR499" s="3"/>
      <c r="AS499" s="3"/>
      <c r="AT499" s="3"/>
      <c r="AU499" s="3"/>
      <c r="AV499" s="3"/>
      <c r="AW499" s="3"/>
      <c r="AX499" s="3"/>
      <c r="AY499" s="3"/>
      <c r="AZ499" s="3"/>
      <c r="BA499" s="3"/>
      <c r="BB499" s="3"/>
      <c r="BC499" s="3"/>
    </row>
    <row r="500" ht="15.75" customHeight="1">
      <c r="A500" s="12"/>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c r="AA500" s="310"/>
      <c r="AB500" s="310"/>
      <c r="AC500" s="310"/>
      <c r="AD500" s="310"/>
      <c r="AE500" s="310"/>
      <c r="AF500" s="310"/>
      <c r="AG500" s="310"/>
      <c r="AH500" s="310"/>
      <c r="AI500" s="310"/>
      <c r="AJ500" s="310"/>
      <c r="AK500" s="310"/>
      <c r="AL500" s="310"/>
      <c r="AM500" s="310"/>
      <c r="AN500" s="310"/>
      <c r="AO500" s="310"/>
      <c r="AP500" s="12"/>
      <c r="AQ500" s="3"/>
      <c r="AR500" s="3"/>
      <c r="AS500" s="3"/>
      <c r="AT500" s="3"/>
      <c r="AU500" s="3"/>
      <c r="AV500" s="3"/>
      <c r="AW500" s="3"/>
      <c r="AX500" s="3"/>
      <c r="AY500" s="3"/>
      <c r="AZ500" s="3"/>
      <c r="BA500" s="3"/>
      <c r="BB500" s="3"/>
      <c r="BC500" s="3"/>
    </row>
    <row r="501" ht="15.75" customHeight="1">
      <c r="A501" s="12"/>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c r="AA501" s="310"/>
      <c r="AB501" s="310"/>
      <c r="AC501" s="310"/>
      <c r="AD501" s="310"/>
      <c r="AE501" s="310"/>
      <c r="AF501" s="310"/>
      <c r="AG501" s="310"/>
      <c r="AH501" s="310"/>
      <c r="AI501" s="310"/>
      <c r="AJ501" s="310"/>
      <c r="AK501" s="310"/>
      <c r="AL501" s="310"/>
      <c r="AM501" s="310"/>
      <c r="AN501" s="310"/>
      <c r="AO501" s="310"/>
      <c r="AP501" s="12"/>
      <c r="AQ501" s="3"/>
      <c r="AR501" s="3"/>
      <c r="AS501" s="3"/>
      <c r="AT501" s="3"/>
      <c r="AU501" s="3"/>
      <c r="AV501" s="3"/>
      <c r="AW501" s="3"/>
      <c r="AX501" s="3"/>
      <c r="AY501" s="3"/>
      <c r="AZ501" s="3"/>
      <c r="BA501" s="3"/>
      <c r="BB501" s="3"/>
      <c r="BC501" s="3"/>
    </row>
    <row r="502" ht="15.75" customHeight="1">
      <c r="A502" s="12"/>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c r="AA502" s="310"/>
      <c r="AB502" s="310"/>
      <c r="AC502" s="310"/>
      <c r="AD502" s="310"/>
      <c r="AE502" s="310"/>
      <c r="AF502" s="310"/>
      <c r="AG502" s="310"/>
      <c r="AH502" s="310"/>
      <c r="AI502" s="310"/>
      <c r="AJ502" s="310"/>
      <c r="AK502" s="310"/>
      <c r="AL502" s="310"/>
      <c r="AM502" s="310"/>
      <c r="AN502" s="310"/>
      <c r="AO502" s="310"/>
      <c r="AP502" s="12"/>
      <c r="AQ502" s="3"/>
      <c r="AR502" s="3"/>
      <c r="AS502" s="3"/>
      <c r="AT502" s="3"/>
      <c r="AU502" s="3"/>
      <c r="AV502" s="3"/>
      <c r="AW502" s="3"/>
      <c r="AX502" s="3"/>
      <c r="AY502" s="3"/>
      <c r="AZ502" s="3"/>
      <c r="BA502" s="3"/>
      <c r="BB502" s="3"/>
      <c r="BC502" s="3"/>
    </row>
    <row r="503" ht="15.75" customHeight="1">
      <c r="A503" s="12"/>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c r="AA503" s="310"/>
      <c r="AB503" s="310"/>
      <c r="AC503" s="310"/>
      <c r="AD503" s="310"/>
      <c r="AE503" s="310"/>
      <c r="AF503" s="310"/>
      <c r="AG503" s="310"/>
      <c r="AH503" s="310"/>
      <c r="AI503" s="310"/>
      <c r="AJ503" s="310"/>
      <c r="AK503" s="310"/>
      <c r="AL503" s="310"/>
      <c r="AM503" s="310"/>
      <c r="AN503" s="310"/>
      <c r="AO503" s="310"/>
      <c r="AP503" s="12"/>
      <c r="AQ503" s="3"/>
      <c r="AR503" s="3"/>
      <c r="AS503" s="3"/>
      <c r="AT503" s="3"/>
      <c r="AU503" s="3"/>
      <c r="AV503" s="3"/>
      <c r="AW503" s="3"/>
      <c r="AX503" s="3"/>
      <c r="AY503" s="3"/>
      <c r="AZ503" s="3"/>
      <c r="BA503" s="3"/>
      <c r="BB503" s="3"/>
      <c r="BC503" s="3"/>
    </row>
    <row r="504" ht="15.75" customHeight="1">
      <c r="A504" s="12"/>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c r="AA504" s="310"/>
      <c r="AB504" s="310"/>
      <c r="AC504" s="310"/>
      <c r="AD504" s="310"/>
      <c r="AE504" s="310"/>
      <c r="AF504" s="310"/>
      <c r="AG504" s="310"/>
      <c r="AH504" s="310"/>
      <c r="AI504" s="310"/>
      <c r="AJ504" s="310"/>
      <c r="AK504" s="310"/>
      <c r="AL504" s="310"/>
      <c r="AM504" s="310"/>
      <c r="AN504" s="310"/>
      <c r="AO504" s="310"/>
      <c r="AP504" s="12"/>
      <c r="AQ504" s="3"/>
      <c r="AR504" s="3"/>
      <c r="AS504" s="3"/>
      <c r="AT504" s="3"/>
      <c r="AU504" s="3"/>
      <c r="AV504" s="3"/>
      <c r="AW504" s="3"/>
      <c r="AX504" s="3"/>
      <c r="AY504" s="3"/>
      <c r="AZ504" s="3"/>
      <c r="BA504" s="3"/>
      <c r="BB504" s="3"/>
      <c r="BC504" s="3"/>
    </row>
    <row r="505" ht="15.75" customHeight="1">
      <c r="A505" s="12"/>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c r="AA505" s="310"/>
      <c r="AB505" s="310"/>
      <c r="AC505" s="310"/>
      <c r="AD505" s="310"/>
      <c r="AE505" s="310"/>
      <c r="AF505" s="310"/>
      <c r="AG505" s="310"/>
      <c r="AH505" s="310"/>
      <c r="AI505" s="310"/>
      <c r="AJ505" s="310"/>
      <c r="AK505" s="310"/>
      <c r="AL505" s="310"/>
      <c r="AM505" s="310"/>
      <c r="AN505" s="310"/>
      <c r="AO505" s="310"/>
      <c r="AP505" s="12"/>
      <c r="AQ505" s="3"/>
      <c r="AR505" s="3"/>
      <c r="AS505" s="3"/>
      <c r="AT505" s="3"/>
      <c r="AU505" s="3"/>
      <c r="AV505" s="3"/>
      <c r="AW505" s="3"/>
      <c r="AX505" s="3"/>
      <c r="AY505" s="3"/>
      <c r="AZ505" s="3"/>
      <c r="BA505" s="3"/>
      <c r="BB505" s="3"/>
      <c r="BC505" s="3"/>
    </row>
    <row r="506" ht="15.75" customHeight="1">
      <c r="A506" s="12"/>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c r="AA506" s="310"/>
      <c r="AB506" s="310"/>
      <c r="AC506" s="310"/>
      <c r="AD506" s="310"/>
      <c r="AE506" s="310"/>
      <c r="AF506" s="310"/>
      <c r="AG506" s="310"/>
      <c r="AH506" s="310"/>
      <c r="AI506" s="310"/>
      <c r="AJ506" s="310"/>
      <c r="AK506" s="310"/>
      <c r="AL506" s="310"/>
      <c r="AM506" s="310"/>
      <c r="AN506" s="310"/>
      <c r="AO506" s="310"/>
      <c r="AP506" s="12"/>
      <c r="AQ506" s="3"/>
      <c r="AR506" s="3"/>
      <c r="AS506" s="3"/>
      <c r="AT506" s="3"/>
      <c r="AU506" s="3"/>
      <c r="AV506" s="3"/>
      <c r="AW506" s="3"/>
      <c r="AX506" s="3"/>
      <c r="AY506" s="3"/>
      <c r="AZ506" s="3"/>
      <c r="BA506" s="3"/>
      <c r="BB506" s="3"/>
      <c r="BC506" s="3"/>
    </row>
    <row r="507" ht="15.75" customHeight="1">
      <c r="A507" s="12"/>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c r="AA507" s="310"/>
      <c r="AB507" s="310"/>
      <c r="AC507" s="310"/>
      <c r="AD507" s="310"/>
      <c r="AE507" s="310"/>
      <c r="AF507" s="310"/>
      <c r="AG507" s="310"/>
      <c r="AH507" s="310"/>
      <c r="AI507" s="310"/>
      <c r="AJ507" s="310"/>
      <c r="AK507" s="310"/>
      <c r="AL507" s="310"/>
      <c r="AM507" s="310"/>
      <c r="AN507" s="310"/>
      <c r="AO507" s="310"/>
      <c r="AP507" s="12"/>
      <c r="AQ507" s="3"/>
      <c r="AR507" s="3"/>
      <c r="AS507" s="3"/>
      <c r="AT507" s="3"/>
      <c r="AU507" s="3"/>
      <c r="AV507" s="3"/>
      <c r="AW507" s="3"/>
      <c r="AX507" s="3"/>
      <c r="AY507" s="3"/>
      <c r="AZ507" s="3"/>
      <c r="BA507" s="3"/>
      <c r="BB507" s="3"/>
      <c r="BC507" s="3"/>
    </row>
    <row r="508" ht="15.75" customHeight="1">
      <c r="A508" s="12"/>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c r="AA508" s="310"/>
      <c r="AB508" s="310"/>
      <c r="AC508" s="310"/>
      <c r="AD508" s="310"/>
      <c r="AE508" s="310"/>
      <c r="AF508" s="310"/>
      <c r="AG508" s="310"/>
      <c r="AH508" s="310"/>
      <c r="AI508" s="310"/>
      <c r="AJ508" s="310"/>
      <c r="AK508" s="310"/>
      <c r="AL508" s="310"/>
      <c r="AM508" s="310"/>
      <c r="AN508" s="310"/>
      <c r="AO508" s="310"/>
      <c r="AP508" s="12"/>
      <c r="AQ508" s="3"/>
      <c r="AR508" s="3"/>
      <c r="AS508" s="3"/>
      <c r="AT508" s="3"/>
      <c r="AU508" s="3"/>
      <c r="AV508" s="3"/>
      <c r="AW508" s="3"/>
      <c r="AX508" s="3"/>
      <c r="AY508" s="3"/>
      <c r="AZ508" s="3"/>
      <c r="BA508" s="3"/>
      <c r="BB508" s="3"/>
      <c r="BC508" s="3"/>
    </row>
    <row r="509" ht="15.75" customHeight="1">
      <c r="A509" s="12"/>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c r="AA509" s="310"/>
      <c r="AB509" s="310"/>
      <c r="AC509" s="310"/>
      <c r="AD509" s="310"/>
      <c r="AE509" s="310"/>
      <c r="AF509" s="310"/>
      <c r="AG509" s="310"/>
      <c r="AH509" s="310"/>
      <c r="AI509" s="310"/>
      <c r="AJ509" s="310"/>
      <c r="AK509" s="310"/>
      <c r="AL509" s="310"/>
      <c r="AM509" s="310"/>
      <c r="AN509" s="310"/>
      <c r="AO509" s="310"/>
      <c r="AP509" s="12"/>
      <c r="AQ509" s="3"/>
      <c r="AR509" s="3"/>
      <c r="AS509" s="3"/>
      <c r="AT509" s="3"/>
      <c r="AU509" s="3"/>
      <c r="AV509" s="3"/>
      <c r="AW509" s="3"/>
      <c r="AX509" s="3"/>
      <c r="AY509" s="3"/>
      <c r="AZ509" s="3"/>
      <c r="BA509" s="3"/>
      <c r="BB509" s="3"/>
      <c r="BC509" s="3"/>
    </row>
    <row r="510" ht="15.75" customHeight="1">
      <c r="A510" s="12"/>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c r="AA510" s="310"/>
      <c r="AB510" s="310"/>
      <c r="AC510" s="310"/>
      <c r="AD510" s="310"/>
      <c r="AE510" s="310"/>
      <c r="AF510" s="310"/>
      <c r="AG510" s="310"/>
      <c r="AH510" s="310"/>
      <c r="AI510" s="310"/>
      <c r="AJ510" s="310"/>
      <c r="AK510" s="310"/>
      <c r="AL510" s="310"/>
      <c r="AM510" s="310"/>
      <c r="AN510" s="310"/>
      <c r="AO510" s="310"/>
      <c r="AP510" s="12"/>
      <c r="AQ510" s="3"/>
      <c r="AR510" s="3"/>
      <c r="AS510" s="3"/>
      <c r="AT510" s="3"/>
      <c r="AU510" s="3"/>
      <c r="AV510" s="3"/>
      <c r="AW510" s="3"/>
      <c r="AX510" s="3"/>
      <c r="AY510" s="3"/>
      <c r="AZ510" s="3"/>
      <c r="BA510" s="3"/>
      <c r="BB510" s="3"/>
      <c r="BC510" s="3"/>
    </row>
    <row r="511" ht="15.75" customHeight="1">
      <c r="A511" s="12"/>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c r="AA511" s="310"/>
      <c r="AB511" s="310"/>
      <c r="AC511" s="310"/>
      <c r="AD511" s="310"/>
      <c r="AE511" s="310"/>
      <c r="AF511" s="310"/>
      <c r="AG511" s="310"/>
      <c r="AH511" s="310"/>
      <c r="AI511" s="310"/>
      <c r="AJ511" s="310"/>
      <c r="AK511" s="310"/>
      <c r="AL511" s="310"/>
      <c r="AM511" s="310"/>
      <c r="AN511" s="310"/>
      <c r="AO511" s="310"/>
      <c r="AP511" s="12"/>
      <c r="AQ511" s="3"/>
      <c r="AR511" s="3"/>
      <c r="AS511" s="3"/>
      <c r="AT511" s="3"/>
      <c r="AU511" s="3"/>
      <c r="AV511" s="3"/>
      <c r="AW511" s="3"/>
      <c r="AX511" s="3"/>
      <c r="AY511" s="3"/>
      <c r="AZ511" s="3"/>
      <c r="BA511" s="3"/>
      <c r="BB511" s="3"/>
      <c r="BC511" s="3"/>
    </row>
    <row r="512" ht="15.75" customHeight="1">
      <c r="A512" s="12"/>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c r="AA512" s="310"/>
      <c r="AB512" s="310"/>
      <c r="AC512" s="310"/>
      <c r="AD512" s="310"/>
      <c r="AE512" s="310"/>
      <c r="AF512" s="310"/>
      <c r="AG512" s="310"/>
      <c r="AH512" s="310"/>
      <c r="AI512" s="310"/>
      <c r="AJ512" s="310"/>
      <c r="AK512" s="310"/>
      <c r="AL512" s="310"/>
      <c r="AM512" s="310"/>
      <c r="AN512" s="310"/>
      <c r="AO512" s="310"/>
      <c r="AP512" s="12"/>
      <c r="AQ512" s="3"/>
      <c r="AR512" s="3"/>
      <c r="AS512" s="3"/>
      <c r="AT512" s="3"/>
      <c r="AU512" s="3"/>
      <c r="AV512" s="3"/>
      <c r="AW512" s="3"/>
      <c r="AX512" s="3"/>
      <c r="AY512" s="3"/>
      <c r="AZ512" s="3"/>
      <c r="BA512" s="3"/>
      <c r="BB512" s="3"/>
      <c r="BC512" s="3"/>
    </row>
    <row r="513" ht="15.75" customHeight="1">
      <c r="A513" s="12"/>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c r="AA513" s="310"/>
      <c r="AB513" s="310"/>
      <c r="AC513" s="310"/>
      <c r="AD513" s="310"/>
      <c r="AE513" s="310"/>
      <c r="AF513" s="310"/>
      <c r="AG513" s="310"/>
      <c r="AH513" s="310"/>
      <c r="AI513" s="310"/>
      <c r="AJ513" s="310"/>
      <c r="AK513" s="310"/>
      <c r="AL513" s="310"/>
      <c r="AM513" s="310"/>
      <c r="AN513" s="310"/>
      <c r="AO513" s="310"/>
      <c r="AP513" s="12"/>
      <c r="AQ513" s="3"/>
      <c r="AR513" s="3"/>
      <c r="AS513" s="3"/>
      <c r="AT513" s="3"/>
      <c r="AU513" s="3"/>
      <c r="AV513" s="3"/>
      <c r="AW513" s="3"/>
      <c r="AX513" s="3"/>
      <c r="AY513" s="3"/>
      <c r="AZ513" s="3"/>
      <c r="BA513" s="3"/>
      <c r="BB513" s="3"/>
      <c r="BC513" s="3"/>
    </row>
    <row r="514" ht="15.75" customHeight="1">
      <c r="A514" s="12"/>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c r="AA514" s="310"/>
      <c r="AB514" s="310"/>
      <c r="AC514" s="310"/>
      <c r="AD514" s="310"/>
      <c r="AE514" s="310"/>
      <c r="AF514" s="310"/>
      <c r="AG514" s="310"/>
      <c r="AH514" s="310"/>
      <c r="AI514" s="310"/>
      <c r="AJ514" s="310"/>
      <c r="AK514" s="310"/>
      <c r="AL514" s="310"/>
      <c r="AM514" s="310"/>
      <c r="AN514" s="310"/>
      <c r="AO514" s="310"/>
      <c r="AP514" s="12"/>
      <c r="AQ514" s="3"/>
      <c r="AR514" s="3"/>
      <c r="AS514" s="3"/>
      <c r="AT514" s="3"/>
      <c r="AU514" s="3"/>
      <c r="AV514" s="3"/>
      <c r="AW514" s="3"/>
      <c r="AX514" s="3"/>
      <c r="AY514" s="3"/>
      <c r="AZ514" s="3"/>
      <c r="BA514" s="3"/>
      <c r="BB514" s="3"/>
      <c r="BC514" s="3"/>
    </row>
    <row r="515" ht="15.75" customHeight="1">
      <c r="A515" s="12"/>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c r="AA515" s="310"/>
      <c r="AB515" s="310"/>
      <c r="AC515" s="310"/>
      <c r="AD515" s="310"/>
      <c r="AE515" s="310"/>
      <c r="AF515" s="310"/>
      <c r="AG515" s="310"/>
      <c r="AH515" s="310"/>
      <c r="AI515" s="310"/>
      <c r="AJ515" s="310"/>
      <c r="AK515" s="310"/>
      <c r="AL515" s="310"/>
      <c r="AM515" s="310"/>
      <c r="AN515" s="310"/>
      <c r="AO515" s="310"/>
      <c r="AP515" s="12"/>
      <c r="AQ515" s="3"/>
      <c r="AR515" s="3"/>
      <c r="AS515" s="3"/>
      <c r="AT515" s="3"/>
      <c r="AU515" s="3"/>
      <c r="AV515" s="3"/>
      <c r="AW515" s="3"/>
      <c r="AX515" s="3"/>
      <c r="AY515" s="3"/>
      <c r="AZ515" s="3"/>
      <c r="BA515" s="3"/>
      <c r="BB515" s="3"/>
      <c r="BC515" s="3"/>
    </row>
    <row r="516" ht="15.75" customHeight="1">
      <c r="A516" s="12"/>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c r="AA516" s="310"/>
      <c r="AB516" s="310"/>
      <c r="AC516" s="310"/>
      <c r="AD516" s="310"/>
      <c r="AE516" s="310"/>
      <c r="AF516" s="310"/>
      <c r="AG516" s="310"/>
      <c r="AH516" s="310"/>
      <c r="AI516" s="310"/>
      <c r="AJ516" s="310"/>
      <c r="AK516" s="310"/>
      <c r="AL516" s="310"/>
      <c r="AM516" s="310"/>
      <c r="AN516" s="310"/>
      <c r="AO516" s="310"/>
      <c r="AP516" s="12"/>
      <c r="AQ516" s="3"/>
      <c r="AR516" s="3"/>
      <c r="AS516" s="3"/>
      <c r="AT516" s="3"/>
      <c r="AU516" s="3"/>
      <c r="AV516" s="3"/>
      <c r="AW516" s="3"/>
      <c r="AX516" s="3"/>
      <c r="AY516" s="3"/>
      <c r="AZ516" s="3"/>
      <c r="BA516" s="3"/>
      <c r="BB516" s="3"/>
      <c r="BC516" s="3"/>
    </row>
    <row r="517" ht="15.75" customHeight="1">
      <c r="A517" s="12"/>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c r="AA517" s="310"/>
      <c r="AB517" s="310"/>
      <c r="AC517" s="310"/>
      <c r="AD517" s="310"/>
      <c r="AE517" s="310"/>
      <c r="AF517" s="310"/>
      <c r="AG517" s="310"/>
      <c r="AH517" s="310"/>
      <c r="AI517" s="310"/>
      <c r="AJ517" s="310"/>
      <c r="AK517" s="310"/>
      <c r="AL517" s="310"/>
      <c r="AM517" s="310"/>
      <c r="AN517" s="310"/>
      <c r="AO517" s="310"/>
      <c r="AP517" s="12"/>
      <c r="AQ517" s="3"/>
      <c r="AR517" s="3"/>
      <c r="AS517" s="3"/>
      <c r="AT517" s="3"/>
      <c r="AU517" s="3"/>
      <c r="AV517" s="3"/>
      <c r="AW517" s="3"/>
      <c r="AX517" s="3"/>
      <c r="AY517" s="3"/>
      <c r="AZ517" s="3"/>
      <c r="BA517" s="3"/>
      <c r="BB517" s="3"/>
      <c r="BC517" s="3"/>
    </row>
    <row r="518" ht="15.75" customHeight="1">
      <c r="A518" s="12"/>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c r="AA518" s="310"/>
      <c r="AB518" s="310"/>
      <c r="AC518" s="310"/>
      <c r="AD518" s="310"/>
      <c r="AE518" s="310"/>
      <c r="AF518" s="310"/>
      <c r="AG518" s="310"/>
      <c r="AH518" s="310"/>
      <c r="AI518" s="310"/>
      <c r="AJ518" s="310"/>
      <c r="AK518" s="310"/>
      <c r="AL518" s="310"/>
      <c r="AM518" s="310"/>
      <c r="AN518" s="310"/>
      <c r="AO518" s="310"/>
      <c r="AP518" s="12"/>
      <c r="AQ518" s="3"/>
      <c r="AR518" s="3"/>
      <c r="AS518" s="3"/>
      <c r="AT518" s="3"/>
      <c r="AU518" s="3"/>
      <c r="AV518" s="3"/>
      <c r="AW518" s="3"/>
      <c r="AX518" s="3"/>
      <c r="AY518" s="3"/>
      <c r="AZ518" s="3"/>
      <c r="BA518" s="3"/>
      <c r="BB518" s="3"/>
      <c r="BC518" s="3"/>
    </row>
    <row r="519" ht="15.75" customHeight="1">
      <c r="A519" s="12"/>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c r="AA519" s="310"/>
      <c r="AB519" s="310"/>
      <c r="AC519" s="310"/>
      <c r="AD519" s="310"/>
      <c r="AE519" s="310"/>
      <c r="AF519" s="310"/>
      <c r="AG519" s="310"/>
      <c r="AH519" s="310"/>
      <c r="AI519" s="310"/>
      <c r="AJ519" s="310"/>
      <c r="AK519" s="310"/>
      <c r="AL519" s="310"/>
      <c r="AM519" s="310"/>
      <c r="AN519" s="310"/>
      <c r="AO519" s="310"/>
      <c r="AP519" s="12"/>
      <c r="AQ519" s="3"/>
      <c r="AR519" s="3"/>
      <c r="AS519" s="3"/>
      <c r="AT519" s="3"/>
      <c r="AU519" s="3"/>
      <c r="AV519" s="3"/>
      <c r="AW519" s="3"/>
      <c r="AX519" s="3"/>
      <c r="AY519" s="3"/>
      <c r="AZ519" s="3"/>
      <c r="BA519" s="3"/>
      <c r="BB519" s="3"/>
      <c r="BC519" s="3"/>
    </row>
    <row r="520" ht="15.75" customHeight="1">
      <c r="A520" s="12"/>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c r="AA520" s="310"/>
      <c r="AB520" s="310"/>
      <c r="AC520" s="310"/>
      <c r="AD520" s="310"/>
      <c r="AE520" s="310"/>
      <c r="AF520" s="310"/>
      <c r="AG520" s="310"/>
      <c r="AH520" s="310"/>
      <c r="AI520" s="310"/>
      <c r="AJ520" s="310"/>
      <c r="AK520" s="310"/>
      <c r="AL520" s="310"/>
      <c r="AM520" s="310"/>
      <c r="AN520" s="310"/>
      <c r="AO520" s="310"/>
      <c r="AP520" s="12"/>
      <c r="AQ520" s="3"/>
      <c r="AR520" s="3"/>
      <c r="AS520" s="3"/>
      <c r="AT520" s="3"/>
      <c r="AU520" s="3"/>
      <c r="AV520" s="3"/>
      <c r="AW520" s="3"/>
      <c r="AX520" s="3"/>
      <c r="AY520" s="3"/>
      <c r="AZ520" s="3"/>
      <c r="BA520" s="3"/>
      <c r="BB520" s="3"/>
      <c r="BC520" s="3"/>
    </row>
    <row r="521" ht="15.75" customHeight="1">
      <c r="A521" s="12"/>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c r="AA521" s="310"/>
      <c r="AB521" s="310"/>
      <c r="AC521" s="310"/>
      <c r="AD521" s="310"/>
      <c r="AE521" s="310"/>
      <c r="AF521" s="310"/>
      <c r="AG521" s="310"/>
      <c r="AH521" s="310"/>
      <c r="AI521" s="310"/>
      <c r="AJ521" s="310"/>
      <c r="AK521" s="310"/>
      <c r="AL521" s="310"/>
      <c r="AM521" s="310"/>
      <c r="AN521" s="310"/>
      <c r="AO521" s="310"/>
      <c r="AP521" s="12"/>
      <c r="AQ521" s="3"/>
      <c r="AR521" s="3"/>
      <c r="AS521" s="3"/>
      <c r="AT521" s="3"/>
      <c r="AU521" s="3"/>
      <c r="AV521" s="3"/>
      <c r="AW521" s="3"/>
      <c r="AX521" s="3"/>
      <c r="AY521" s="3"/>
      <c r="AZ521" s="3"/>
      <c r="BA521" s="3"/>
      <c r="BB521" s="3"/>
      <c r="BC521" s="3"/>
    </row>
    <row r="522" ht="15.75" customHeight="1">
      <c r="A522" s="12"/>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c r="AA522" s="310"/>
      <c r="AB522" s="310"/>
      <c r="AC522" s="310"/>
      <c r="AD522" s="310"/>
      <c r="AE522" s="310"/>
      <c r="AF522" s="310"/>
      <c r="AG522" s="310"/>
      <c r="AH522" s="310"/>
      <c r="AI522" s="310"/>
      <c r="AJ522" s="310"/>
      <c r="AK522" s="310"/>
      <c r="AL522" s="310"/>
      <c r="AM522" s="310"/>
      <c r="AN522" s="310"/>
      <c r="AO522" s="310"/>
      <c r="AP522" s="12"/>
      <c r="AQ522" s="3"/>
      <c r="AR522" s="3"/>
      <c r="AS522" s="3"/>
      <c r="AT522" s="3"/>
      <c r="AU522" s="3"/>
      <c r="AV522" s="3"/>
      <c r="AW522" s="3"/>
      <c r="AX522" s="3"/>
      <c r="AY522" s="3"/>
      <c r="AZ522" s="3"/>
      <c r="BA522" s="3"/>
      <c r="BB522" s="3"/>
      <c r="BC522" s="3"/>
    </row>
    <row r="523" ht="15.75" customHeight="1">
      <c r="A523" s="12"/>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c r="AA523" s="310"/>
      <c r="AB523" s="310"/>
      <c r="AC523" s="310"/>
      <c r="AD523" s="310"/>
      <c r="AE523" s="310"/>
      <c r="AF523" s="310"/>
      <c r="AG523" s="310"/>
      <c r="AH523" s="310"/>
      <c r="AI523" s="310"/>
      <c r="AJ523" s="310"/>
      <c r="AK523" s="310"/>
      <c r="AL523" s="310"/>
      <c r="AM523" s="310"/>
      <c r="AN523" s="310"/>
      <c r="AO523" s="310"/>
      <c r="AP523" s="12"/>
      <c r="AQ523" s="3"/>
      <c r="AR523" s="3"/>
      <c r="AS523" s="3"/>
      <c r="AT523" s="3"/>
      <c r="AU523" s="3"/>
      <c r="AV523" s="3"/>
      <c r="AW523" s="3"/>
      <c r="AX523" s="3"/>
      <c r="AY523" s="3"/>
      <c r="AZ523" s="3"/>
      <c r="BA523" s="3"/>
      <c r="BB523" s="3"/>
      <c r="BC523" s="3"/>
    </row>
    <row r="524" ht="15.75" customHeight="1">
      <c r="A524" s="12"/>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c r="AA524" s="310"/>
      <c r="AB524" s="310"/>
      <c r="AC524" s="310"/>
      <c r="AD524" s="310"/>
      <c r="AE524" s="310"/>
      <c r="AF524" s="310"/>
      <c r="AG524" s="310"/>
      <c r="AH524" s="310"/>
      <c r="AI524" s="310"/>
      <c r="AJ524" s="310"/>
      <c r="AK524" s="310"/>
      <c r="AL524" s="310"/>
      <c r="AM524" s="310"/>
      <c r="AN524" s="310"/>
      <c r="AO524" s="310"/>
      <c r="AP524" s="12"/>
      <c r="AQ524" s="3"/>
      <c r="AR524" s="3"/>
      <c r="AS524" s="3"/>
      <c r="AT524" s="3"/>
      <c r="AU524" s="3"/>
      <c r="AV524" s="3"/>
      <c r="AW524" s="3"/>
      <c r="AX524" s="3"/>
      <c r="AY524" s="3"/>
      <c r="AZ524" s="3"/>
      <c r="BA524" s="3"/>
      <c r="BB524" s="3"/>
      <c r="BC524" s="3"/>
    </row>
    <row r="525" ht="15.75" customHeight="1">
      <c r="A525" s="12"/>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c r="AA525" s="310"/>
      <c r="AB525" s="310"/>
      <c r="AC525" s="310"/>
      <c r="AD525" s="310"/>
      <c r="AE525" s="310"/>
      <c r="AF525" s="310"/>
      <c r="AG525" s="310"/>
      <c r="AH525" s="310"/>
      <c r="AI525" s="310"/>
      <c r="AJ525" s="310"/>
      <c r="AK525" s="310"/>
      <c r="AL525" s="310"/>
      <c r="AM525" s="310"/>
      <c r="AN525" s="310"/>
      <c r="AO525" s="310"/>
      <c r="AP525" s="12"/>
      <c r="AQ525" s="3"/>
      <c r="AR525" s="3"/>
      <c r="AS525" s="3"/>
      <c r="AT525" s="3"/>
      <c r="AU525" s="3"/>
      <c r="AV525" s="3"/>
      <c r="AW525" s="3"/>
      <c r="AX525" s="3"/>
      <c r="AY525" s="3"/>
      <c r="AZ525" s="3"/>
      <c r="BA525" s="3"/>
      <c r="BB525" s="3"/>
      <c r="BC525" s="3"/>
    </row>
    <row r="526" ht="15.75" customHeight="1">
      <c r="A526" s="12"/>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c r="AA526" s="310"/>
      <c r="AB526" s="310"/>
      <c r="AC526" s="310"/>
      <c r="AD526" s="310"/>
      <c r="AE526" s="310"/>
      <c r="AF526" s="310"/>
      <c r="AG526" s="310"/>
      <c r="AH526" s="310"/>
      <c r="AI526" s="310"/>
      <c r="AJ526" s="310"/>
      <c r="AK526" s="310"/>
      <c r="AL526" s="310"/>
      <c r="AM526" s="310"/>
      <c r="AN526" s="310"/>
      <c r="AO526" s="310"/>
      <c r="AP526" s="12"/>
      <c r="AQ526" s="3"/>
      <c r="AR526" s="3"/>
      <c r="AS526" s="3"/>
      <c r="AT526" s="3"/>
      <c r="AU526" s="3"/>
      <c r="AV526" s="3"/>
      <c r="AW526" s="3"/>
      <c r="AX526" s="3"/>
      <c r="AY526" s="3"/>
      <c r="AZ526" s="3"/>
      <c r="BA526" s="3"/>
      <c r="BB526" s="3"/>
      <c r="BC526" s="3"/>
    </row>
    <row r="527" ht="15.75" customHeight="1">
      <c r="A527" s="12"/>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c r="AA527" s="310"/>
      <c r="AB527" s="310"/>
      <c r="AC527" s="310"/>
      <c r="AD527" s="310"/>
      <c r="AE527" s="310"/>
      <c r="AF527" s="310"/>
      <c r="AG527" s="310"/>
      <c r="AH527" s="310"/>
      <c r="AI527" s="310"/>
      <c r="AJ527" s="310"/>
      <c r="AK527" s="310"/>
      <c r="AL527" s="310"/>
      <c r="AM527" s="310"/>
      <c r="AN527" s="310"/>
      <c r="AO527" s="310"/>
      <c r="AP527" s="12"/>
      <c r="AQ527" s="3"/>
      <c r="AR527" s="3"/>
      <c r="AS527" s="3"/>
      <c r="AT527" s="3"/>
      <c r="AU527" s="3"/>
      <c r="AV527" s="3"/>
      <c r="AW527" s="3"/>
      <c r="AX527" s="3"/>
      <c r="AY527" s="3"/>
      <c r="AZ527" s="3"/>
      <c r="BA527" s="3"/>
      <c r="BB527" s="3"/>
      <c r="BC527" s="3"/>
    </row>
    <row r="528" ht="15.75" customHeight="1">
      <c r="A528" s="12"/>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c r="AA528" s="310"/>
      <c r="AB528" s="310"/>
      <c r="AC528" s="310"/>
      <c r="AD528" s="310"/>
      <c r="AE528" s="310"/>
      <c r="AF528" s="310"/>
      <c r="AG528" s="310"/>
      <c r="AH528" s="310"/>
      <c r="AI528" s="310"/>
      <c r="AJ528" s="310"/>
      <c r="AK528" s="310"/>
      <c r="AL528" s="310"/>
      <c r="AM528" s="310"/>
      <c r="AN528" s="310"/>
      <c r="AO528" s="310"/>
      <c r="AP528" s="12"/>
      <c r="AQ528" s="3"/>
      <c r="AR528" s="3"/>
      <c r="AS528" s="3"/>
      <c r="AT528" s="3"/>
      <c r="AU528" s="3"/>
      <c r="AV528" s="3"/>
      <c r="AW528" s="3"/>
      <c r="AX528" s="3"/>
      <c r="AY528" s="3"/>
      <c r="AZ528" s="3"/>
      <c r="BA528" s="3"/>
      <c r="BB528" s="3"/>
      <c r="BC528" s="3"/>
    </row>
    <row r="529" ht="15.75" customHeight="1">
      <c r="A529" s="12"/>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c r="AA529" s="310"/>
      <c r="AB529" s="310"/>
      <c r="AC529" s="310"/>
      <c r="AD529" s="310"/>
      <c r="AE529" s="310"/>
      <c r="AF529" s="310"/>
      <c r="AG529" s="310"/>
      <c r="AH529" s="310"/>
      <c r="AI529" s="310"/>
      <c r="AJ529" s="310"/>
      <c r="AK529" s="310"/>
      <c r="AL529" s="310"/>
      <c r="AM529" s="310"/>
      <c r="AN529" s="310"/>
      <c r="AO529" s="310"/>
      <c r="AP529" s="12"/>
      <c r="AQ529" s="3"/>
      <c r="AR529" s="3"/>
      <c r="AS529" s="3"/>
      <c r="AT529" s="3"/>
      <c r="AU529" s="3"/>
      <c r="AV529" s="3"/>
      <c r="AW529" s="3"/>
      <c r="AX529" s="3"/>
      <c r="AY529" s="3"/>
      <c r="AZ529" s="3"/>
      <c r="BA529" s="3"/>
      <c r="BB529" s="3"/>
      <c r="BC529" s="3"/>
    </row>
    <row r="530" ht="15.75" customHeight="1">
      <c r="A530" s="12"/>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c r="AA530" s="310"/>
      <c r="AB530" s="310"/>
      <c r="AC530" s="310"/>
      <c r="AD530" s="310"/>
      <c r="AE530" s="310"/>
      <c r="AF530" s="310"/>
      <c r="AG530" s="310"/>
      <c r="AH530" s="310"/>
      <c r="AI530" s="310"/>
      <c r="AJ530" s="310"/>
      <c r="AK530" s="310"/>
      <c r="AL530" s="310"/>
      <c r="AM530" s="310"/>
      <c r="AN530" s="310"/>
      <c r="AO530" s="310"/>
      <c r="AP530" s="12"/>
      <c r="AQ530" s="3"/>
      <c r="AR530" s="3"/>
      <c r="AS530" s="3"/>
      <c r="AT530" s="3"/>
      <c r="AU530" s="3"/>
      <c r="AV530" s="3"/>
      <c r="AW530" s="3"/>
      <c r="AX530" s="3"/>
      <c r="AY530" s="3"/>
      <c r="AZ530" s="3"/>
      <c r="BA530" s="3"/>
      <c r="BB530" s="3"/>
      <c r="BC530" s="3"/>
    </row>
    <row r="531" ht="15.75" customHeight="1">
      <c r="A531" s="12"/>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c r="AA531" s="310"/>
      <c r="AB531" s="310"/>
      <c r="AC531" s="310"/>
      <c r="AD531" s="310"/>
      <c r="AE531" s="310"/>
      <c r="AF531" s="310"/>
      <c r="AG531" s="310"/>
      <c r="AH531" s="310"/>
      <c r="AI531" s="310"/>
      <c r="AJ531" s="310"/>
      <c r="AK531" s="310"/>
      <c r="AL531" s="310"/>
      <c r="AM531" s="310"/>
      <c r="AN531" s="310"/>
      <c r="AO531" s="310"/>
      <c r="AP531" s="12"/>
      <c r="AQ531" s="3"/>
      <c r="AR531" s="3"/>
      <c r="AS531" s="3"/>
      <c r="AT531" s="3"/>
      <c r="AU531" s="3"/>
      <c r="AV531" s="3"/>
      <c r="AW531" s="3"/>
      <c r="AX531" s="3"/>
      <c r="AY531" s="3"/>
      <c r="AZ531" s="3"/>
      <c r="BA531" s="3"/>
      <c r="BB531" s="3"/>
      <c r="BC531" s="3"/>
    </row>
    <row r="532" ht="15.75" customHeight="1">
      <c r="A532" s="12"/>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c r="AA532" s="310"/>
      <c r="AB532" s="310"/>
      <c r="AC532" s="310"/>
      <c r="AD532" s="310"/>
      <c r="AE532" s="310"/>
      <c r="AF532" s="310"/>
      <c r="AG532" s="310"/>
      <c r="AH532" s="310"/>
      <c r="AI532" s="310"/>
      <c r="AJ532" s="310"/>
      <c r="AK532" s="310"/>
      <c r="AL532" s="310"/>
      <c r="AM532" s="310"/>
      <c r="AN532" s="310"/>
      <c r="AO532" s="310"/>
      <c r="AP532" s="12"/>
      <c r="AQ532" s="3"/>
      <c r="AR532" s="3"/>
      <c r="AS532" s="3"/>
      <c r="AT532" s="3"/>
      <c r="AU532" s="3"/>
      <c r="AV532" s="3"/>
      <c r="AW532" s="3"/>
      <c r="AX532" s="3"/>
      <c r="AY532" s="3"/>
      <c r="AZ532" s="3"/>
      <c r="BA532" s="3"/>
      <c r="BB532" s="3"/>
      <c r="BC532" s="3"/>
    </row>
    <row r="533" ht="15.75" customHeight="1">
      <c r="A533" s="12"/>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c r="AA533" s="310"/>
      <c r="AB533" s="310"/>
      <c r="AC533" s="310"/>
      <c r="AD533" s="310"/>
      <c r="AE533" s="310"/>
      <c r="AF533" s="310"/>
      <c r="AG533" s="310"/>
      <c r="AH533" s="310"/>
      <c r="AI533" s="310"/>
      <c r="AJ533" s="310"/>
      <c r="AK533" s="310"/>
      <c r="AL533" s="310"/>
      <c r="AM533" s="310"/>
      <c r="AN533" s="310"/>
      <c r="AO533" s="310"/>
      <c r="AP533" s="12"/>
      <c r="AQ533" s="3"/>
      <c r="AR533" s="3"/>
      <c r="AS533" s="3"/>
      <c r="AT533" s="3"/>
      <c r="AU533" s="3"/>
      <c r="AV533" s="3"/>
      <c r="AW533" s="3"/>
      <c r="AX533" s="3"/>
      <c r="AY533" s="3"/>
      <c r="AZ533" s="3"/>
      <c r="BA533" s="3"/>
      <c r="BB533" s="3"/>
      <c r="BC533" s="3"/>
    </row>
    <row r="534" ht="15.75" customHeight="1">
      <c r="A534" s="12"/>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c r="AA534" s="310"/>
      <c r="AB534" s="310"/>
      <c r="AC534" s="310"/>
      <c r="AD534" s="310"/>
      <c r="AE534" s="310"/>
      <c r="AF534" s="310"/>
      <c r="AG534" s="310"/>
      <c r="AH534" s="310"/>
      <c r="AI534" s="310"/>
      <c r="AJ534" s="310"/>
      <c r="AK534" s="310"/>
      <c r="AL534" s="310"/>
      <c r="AM534" s="310"/>
      <c r="AN534" s="310"/>
      <c r="AO534" s="310"/>
      <c r="AP534" s="12"/>
      <c r="AQ534" s="3"/>
      <c r="AR534" s="3"/>
      <c r="AS534" s="3"/>
      <c r="AT534" s="3"/>
      <c r="AU534" s="3"/>
      <c r="AV534" s="3"/>
      <c r="AW534" s="3"/>
      <c r="AX534" s="3"/>
      <c r="AY534" s="3"/>
      <c r="AZ534" s="3"/>
      <c r="BA534" s="3"/>
      <c r="BB534" s="3"/>
      <c r="BC534" s="3"/>
    </row>
    <row r="535" ht="15.75" customHeight="1">
      <c r="A535" s="12"/>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c r="AA535" s="310"/>
      <c r="AB535" s="310"/>
      <c r="AC535" s="310"/>
      <c r="AD535" s="310"/>
      <c r="AE535" s="310"/>
      <c r="AF535" s="310"/>
      <c r="AG535" s="310"/>
      <c r="AH535" s="310"/>
      <c r="AI535" s="310"/>
      <c r="AJ535" s="310"/>
      <c r="AK535" s="310"/>
      <c r="AL535" s="310"/>
      <c r="AM535" s="310"/>
      <c r="AN535" s="310"/>
      <c r="AO535" s="310"/>
      <c r="AP535" s="12"/>
      <c r="AQ535" s="3"/>
      <c r="AR535" s="3"/>
      <c r="AS535" s="3"/>
      <c r="AT535" s="3"/>
      <c r="AU535" s="3"/>
      <c r="AV535" s="3"/>
      <c r="AW535" s="3"/>
      <c r="AX535" s="3"/>
      <c r="AY535" s="3"/>
      <c r="AZ535" s="3"/>
      <c r="BA535" s="3"/>
      <c r="BB535" s="3"/>
      <c r="BC535" s="3"/>
    </row>
    <row r="536" ht="15.75" customHeight="1">
      <c r="A536" s="12"/>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c r="AA536" s="310"/>
      <c r="AB536" s="310"/>
      <c r="AC536" s="310"/>
      <c r="AD536" s="310"/>
      <c r="AE536" s="310"/>
      <c r="AF536" s="310"/>
      <c r="AG536" s="310"/>
      <c r="AH536" s="310"/>
      <c r="AI536" s="310"/>
      <c r="AJ536" s="310"/>
      <c r="AK536" s="310"/>
      <c r="AL536" s="310"/>
      <c r="AM536" s="310"/>
      <c r="AN536" s="310"/>
      <c r="AO536" s="310"/>
      <c r="AP536" s="12"/>
      <c r="AQ536" s="3"/>
      <c r="AR536" s="3"/>
      <c r="AS536" s="3"/>
      <c r="AT536" s="3"/>
      <c r="AU536" s="3"/>
      <c r="AV536" s="3"/>
      <c r="AW536" s="3"/>
      <c r="AX536" s="3"/>
      <c r="AY536" s="3"/>
      <c r="AZ536" s="3"/>
      <c r="BA536" s="3"/>
      <c r="BB536" s="3"/>
      <c r="BC536" s="3"/>
    </row>
    <row r="537" ht="15.75" customHeight="1">
      <c r="A537" s="12"/>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c r="AA537" s="310"/>
      <c r="AB537" s="310"/>
      <c r="AC537" s="310"/>
      <c r="AD537" s="310"/>
      <c r="AE537" s="310"/>
      <c r="AF537" s="310"/>
      <c r="AG537" s="310"/>
      <c r="AH537" s="310"/>
      <c r="AI537" s="310"/>
      <c r="AJ537" s="310"/>
      <c r="AK537" s="310"/>
      <c r="AL537" s="310"/>
      <c r="AM537" s="310"/>
      <c r="AN537" s="310"/>
      <c r="AO537" s="310"/>
      <c r="AP537" s="12"/>
      <c r="AQ537" s="3"/>
      <c r="AR537" s="3"/>
      <c r="AS537" s="3"/>
      <c r="AT537" s="3"/>
      <c r="AU537" s="3"/>
      <c r="AV537" s="3"/>
      <c r="AW537" s="3"/>
      <c r="AX537" s="3"/>
      <c r="AY537" s="3"/>
      <c r="AZ537" s="3"/>
      <c r="BA537" s="3"/>
      <c r="BB537" s="3"/>
      <c r="BC537" s="3"/>
    </row>
    <row r="538" ht="15.75" customHeight="1">
      <c r="A538" s="12"/>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c r="AA538" s="310"/>
      <c r="AB538" s="310"/>
      <c r="AC538" s="310"/>
      <c r="AD538" s="310"/>
      <c r="AE538" s="310"/>
      <c r="AF538" s="310"/>
      <c r="AG538" s="310"/>
      <c r="AH538" s="310"/>
      <c r="AI538" s="310"/>
      <c r="AJ538" s="310"/>
      <c r="AK538" s="310"/>
      <c r="AL538" s="310"/>
      <c r="AM538" s="310"/>
      <c r="AN538" s="310"/>
      <c r="AO538" s="310"/>
      <c r="AP538" s="12"/>
      <c r="AQ538" s="3"/>
      <c r="AR538" s="3"/>
      <c r="AS538" s="3"/>
      <c r="AT538" s="3"/>
      <c r="AU538" s="3"/>
      <c r="AV538" s="3"/>
      <c r="AW538" s="3"/>
      <c r="AX538" s="3"/>
      <c r="AY538" s="3"/>
      <c r="AZ538" s="3"/>
      <c r="BA538" s="3"/>
      <c r="BB538" s="3"/>
      <c r="BC538" s="3"/>
    </row>
    <row r="539" ht="15.75" customHeight="1">
      <c r="A539" s="12"/>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c r="AA539" s="310"/>
      <c r="AB539" s="310"/>
      <c r="AC539" s="310"/>
      <c r="AD539" s="310"/>
      <c r="AE539" s="310"/>
      <c r="AF539" s="310"/>
      <c r="AG539" s="310"/>
      <c r="AH539" s="310"/>
      <c r="AI539" s="310"/>
      <c r="AJ539" s="310"/>
      <c r="AK539" s="310"/>
      <c r="AL539" s="310"/>
      <c r="AM539" s="310"/>
      <c r="AN539" s="310"/>
      <c r="AO539" s="310"/>
      <c r="AP539" s="12"/>
      <c r="AQ539" s="3"/>
      <c r="AR539" s="3"/>
      <c r="AS539" s="3"/>
      <c r="AT539" s="3"/>
      <c r="AU539" s="3"/>
      <c r="AV539" s="3"/>
      <c r="AW539" s="3"/>
      <c r="AX539" s="3"/>
      <c r="AY539" s="3"/>
      <c r="AZ539" s="3"/>
      <c r="BA539" s="3"/>
      <c r="BB539" s="3"/>
      <c r="BC539" s="3"/>
    </row>
    <row r="540" ht="15.75" customHeight="1">
      <c r="A540" s="12"/>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c r="AA540" s="310"/>
      <c r="AB540" s="310"/>
      <c r="AC540" s="310"/>
      <c r="AD540" s="310"/>
      <c r="AE540" s="310"/>
      <c r="AF540" s="310"/>
      <c r="AG540" s="310"/>
      <c r="AH540" s="310"/>
      <c r="AI540" s="310"/>
      <c r="AJ540" s="310"/>
      <c r="AK540" s="310"/>
      <c r="AL540" s="310"/>
      <c r="AM540" s="310"/>
      <c r="AN540" s="310"/>
      <c r="AO540" s="310"/>
      <c r="AP540" s="12"/>
      <c r="AQ540" s="3"/>
      <c r="AR540" s="3"/>
      <c r="AS540" s="3"/>
      <c r="AT540" s="3"/>
      <c r="AU540" s="3"/>
      <c r="AV540" s="3"/>
      <c r="AW540" s="3"/>
      <c r="AX540" s="3"/>
      <c r="AY540" s="3"/>
      <c r="AZ540" s="3"/>
      <c r="BA540" s="3"/>
      <c r="BB540" s="3"/>
      <c r="BC540" s="3"/>
    </row>
    <row r="541" ht="15.75" customHeight="1">
      <c r="A541" s="12"/>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c r="AA541" s="310"/>
      <c r="AB541" s="310"/>
      <c r="AC541" s="310"/>
      <c r="AD541" s="310"/>
      <c r="AE541" s="310"/>
      <c r="AF541" s="310"/>
      <c r="AG541" s="310"/>
      <c r="AH541" s="310"/>
      <c r="AI541" s="310"/>
      <c r="AJ541" s="310"/>
      <c r="AK541" s="310"/>
      <c r="AL541" s="310"/>
      <c r="AM541" s="310"/>
      <c r="AN541" s="310"/>
      <c r="AO541" s="310"/>
      <c r="AP541" s="12"/>
      <c r="AQ541" s="3"/>
      <c r="AR541" s="3"/>
      <c r="AS541" s="3"/>
      <c r="AT541" s="3"/>
      <c r="AU541" s="3"/>
      <c r="AV541" s="3"/>
      <c r="AW541" s="3"/>
      <c r="AX541" s="3"/>
      <c r="AY541" s="3"/>
      <c r="AZ541" s="3"/>
      <c r="BA541" s="3"/>
      <c r="BB541" s="3"/>
      <c r="BC541" s="3"/>
    </row>
    <row r="542" ht="15.75" customHeight="1">
      <c r="A542" s="12"/>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c r="AB542" s="310"/>
      <c r="AC542" s="310"/>
      <c r="AD542" s="310"/>
      <c r="AE542" s="310"/>
      <c r="AF542" s="310"/>
      <c r="AG542" s="310"/>
      <c r="AH542" s="310"/>
      <c r="AI542" s="310"/>
      <c r="AJ542" s="310"/>
      <c r="AK542" s="310"/>
      <c r="AL542" s="310"/>
      <c r="AM542" s="310"/>
      <c r="AN542" s="310"/>
      <c r="AO542" s="310"/>
      <c r="AP542" s="12"/>
      <c r="AQ542" s="3"/>
      <c r="AR542" s="3"/>
      <c r="AS542" s="3"/>
      <c r="AT542" s="3"/>
      <c r="AU542" s="3"/>
      <c r="AV542" s="3"/>
      <c r="AW542" s="3"/>
      <c r="AX542" s="3"/>
      <c r="AY542" s="3"/>
      <c r="AZ542" s="3"/>
      <c r="BA542" s="3"/>
      <c r="BB542" s="3"/>
      <c r="BC542" s="3"/>
    </row>
    <row r="543" ht="15.75" customHeight="1">
      <c r="A543" s="12"/>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c r="AA543" s="310"/>
      <c r="AB543" s="310"/>
      <c r="AC543" s="310"/>
      <c r="AD543" s="310"/>
      <c r="AE543" s="310"/>
      <c r="AF543" s="310"/>
      <c r="AG543" s="310"/>
      <c r="AH543" s="310"/>
      <c r="AI543" s="310"/>
      <c r="AJ543" s="310"/>
      <c r="AK543" s="310"/>
      <c r="AL543" s="310"/>
      <c r="AM543" s="310"/>
      <c r="AN543" s="310"/>
      <c r="AO543" s="310"/>
      <c r="AP543" s="12"/>
      <c r="AQ543" s="3"/>
      <c r="AR543" s="3"/>
      <c r="AS543" s="3"/>
      <c r="AT543" s="3"/>
      <c r="AU543" s="3"/>
      <c r="AV543" s="3"/>
      <c r="AW543" s="3"/>
      <c r="AX543" s="3"/>
      <c r="AY543" s="3"/>
      <c r="AZ543" s="3"/>
      <c r="BA543" s="3"/>
      <c r="BB543" s="3"/>
      <c r="BC543" s="3"/>
    </row>
    <row r="544" ht="15.75" customHeight="1">
      <c r="A544" s="12"/>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c r="AA544" s="310"/>
      <c r="AB544" s="310"/>
      <c r="AC544" s="310"/>
      <c r="AD544" s="310"/>
      <c r="AE544" s="310"/>
      <c r="AF544" s="310"/>
      <c r="AG544" s="310"/>
      <c r="AH544" s="310"/>
      <c r="AI544" s="310"/>
      <c r="AJ544" s="310"/>
      <c r="AK544" s="310"/>
      <c r="AL544" s="310"/>
      <c r="AM544" s="310"/>
      <c r="AN544" s="310"/>
      <c r="AO544" s="310"/>
      <c r="AP544" s="12"/>
      <c r="AQ544" s="3"/>
      <c r="AR544" s="3"/>
      <c r="AS544" s="3"/>
      <c r="AT544" s="3"/>
      <c r="AU544" s="3"/>
      <c r="AV544" s="3"/>
      <c r="AW544" s="3"/>
      <c r="AX544" s="3"/>
      <c r="AY544" s="3"/>
      <c r="AZ544" s="3"/>
      <c r="BA544" s="3"/>
      <c r="BB544" s="3"/>
      <c r="BC544" s="3"/>
    </row>
    <row r="545" ht="15.75" customHeight="1">
      <c r="A545" s="12"/>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c r="AA545" s="310"/>
      <c r="AB545" s="310"/>
      <c r="AC545" s="310"/>
      <c r="AD545" s="310"/>
      <c r="AE545" s="310"/>
      <c r="AF545" s="310"/>
      <c r="AG545" s="310"/>
      <c r="AH545" s="310"/>
      <c r="AI545" s="310"/>
      <c r="AJ545" s="310"/>
      <c r="AK545" s="310"/>
      <c r="AL545" s="310"/>
      <c r="AM545" s="310"/>
      <c r="AN545" s="310"/>
      <c r="AO545" s="310"/>
      <c r="AP545" s="12"/>
      <c r="AQ545" s="3"/>
      <c r="AR545" s="3"/>
      <c r="AS545" s="3"/>
      <c r="AT545" s="3"/>
      <c r="AU545" s="3"/>
      <c r="AV545" s="3"/>
      <c r="AW545" s="3"/>
      <c r="AX545" s="3"/>
      <c r="AY545" s="3"/>
      <c r="AZ545" s="3"/>
      <c r="BA545" s="3"/>
      <c r="BB545" s="3"/>
      <c r="BC545" s="3"/>
    </row>
    <row r="546" ht="15.75" customHeight="1">
      <c r="A546" s="12"/>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c r="AA546" s="310"/>
      <c r="AB546" s="310"/>
      <c r="AC546" s="310"/>
      <c r="AD546" s="310"/>
      <c r="AE546" s="310"/>
      <c r="AF546" s="310"/>
      <c r="AG546" s="310"/>
      <c r="AH546" s="310"/>
      <c r="AI546" s="310"/>
      <c r="AJ546" s="310"/>
      <c r="AK546" s="310"/>
      <c r="AL546" s="310"/>
      <c r="AM546" s="310"/>
      <c r="AN546" s="310"/>
      <c r="AO546" s="310"/>
      <c r="AP546" s="12"/>
      <c r="AQ546" s="3"/>
      <c r="AR546" s="3"/>
      <c r="AS546" s="3"/>
      <c r="AT546" s="3"/>
      <c r="AU546" s="3"/>
      <c r="AV546" s="3"/>
      <c r="AW546" s="3"/>
      <c r="AX546" s="3"/>
      <c r="AY546" s="3"/>
      <c r="AZ546" s="3"/>
      <c r="BA546" s="3"/>
      <c r="BB546" s="3"/>
      <c r="BC546" s="3"/>
    </row>
    <row r="547" ht="15.75" customHeight="1">
      <c r="A547" s="12"/>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c r="AA547" s="310"/>
      <c r="AB547" s="310"/>
      <c r="AC547" s="310"/>
      <c r="AD547" s="310"/>
      <c r="AE547" s="310"/>
      <c r="AF547" s="310"/>
      <c r="AG547" s="310"/>
      <c r="AH547" s="310"/>
      <c r="AI547" s="310"/>
      <c r="AJ547" s="310"/>
      <c r="AK547" s="310"/>
      <c r="AL547" s="310"/>
      <c r="AM547" s="310"/>
      <c r="AN547" s="310"/>
      <c r="AO547" s="310"/>
      <c r="AP547" s="12"/>
      <c r="AQ547" s="3"/>
      <c r="AR547" s="3"/>
      <c r="AS547" s="3"/>
      <c r="AT547" s="3"/>
      <c r="AU547" s="3"/>
      <c r="AV547" s="3"/>
      <c r="AW547" s="3"/>
      <c r="AX547" s="3"/>
      <c r="AY547" s="3"/>
      <c r="AZ547" s="3"/>
      <c r="BA547" s="3"/>
      <c r="BB547" s="3"/>
      <c r="BC547" s="3"/>
    </row>
    <row r="548" ht="15.75" customHeight="1">
      <c r="A548" s="12"/>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c r="AA548" s="310"/>
      <c r="AB548" s="310"/>
      <c r="AC548" s="310"/>
      <c r="AD548" s="310"/>
      <c r="AE548" s="310"/>
      <c r="AF548" s="310"/>
      <c r="AG548" s="310"/>
      <c r="AH548" s="310"/>
      <c r="AI548" s="310"/>
      <c r="AJ548" s="310"/>
      <c r="AK548" s="310"/>
      <c r="AL548" s="310"/>
      <c r="AM548" s="310"/>
      <c r="AN548" s="310"/>
      <c r="AO548" s="310"/>
      <c r="AP548" s="12"/>
      <c r="AQ548" s="3"/>
      <c r="AR548" s="3"/>
      <c r="AS548" s="3"/>
      <c r="AT548" s="3"/>
      <c r="AU548" s="3"/>
      <c r="AV548" s="3"/>
      <c r="AW548" s="3"/>
      <c r="AX548" s="3"/>
      <c r="AY548" s="3"/>
      <c r="AZ548" s="3"/>
      <c r="BA548" s="3"/>
      <c r="BB548" s="3"/>
      <c r="BC548" s="3"/>
    </row>
    <row r="549" ht="15.75" customHeight="1">
      <c r="A549" s="12"/>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c r="AA549" s="310"/>
      <c r="AB549" s="310"/>
      <c r="AC549" s="310"/>
      <c r="AD549" s="310"/>
      <c r="AE549" s="310"/>
      <c r="AF549" s="310"/>
      <c r="AG549" s="310"/>
      <c r="AH549" s="310"/>
      <c r="AI549" s="310"/>
      <c r="AJ549" s="310"/>
      <c r="AK549" s="310"/>
      <c r="AL549" s="310"/>
      <c r="AM549" s="310"/>
      <c r="AN549" s="310"/>
      <c r="AO549" s="310"/>
      <c r="AP549" s="12"/>
      <c r="AQ549" s="3"/>
      <c r="AR549" s="3"/>
      <c r="AS549" s="3"/>
      <c r="AT549" s="3"/>
      <c r="AU549" s="3"/>
      <c r="AV549" s="3"/>
      <c r="AW549" s="3"/>
      <c r="AX549" s="3"/>
      <c r="AY549" s="3"/>
      <c r="AZ549" s="3"/>
      <c r="BA549" s="3"/>
      <c r="BB549" s="3"/>
      <c r="BC549" s="3"/>
    </row>
    <row r="550" ht="15.75" customHeight="1">
      <c r="A550" s="12"/>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c r="AA550" s="310"/>
      <c r="AB550" s="310"/>
      <c r="AC550" s="310"/>
      <c r="AD550" s="310"/>
      <c r="AE550" s="310"/>
      <c r="AF550" s="310"/>
      <c r="AG550" s="310"/>
      <c r="AH550" s="310"/>
      <c r="AI550" s="310"/>
      <c r="AJ550" s="310"/>
      <c r="AK550" s="310"/>
      <c r="AL550" s="310"/>
      <c r="AM550" s="310"/>
      <c r="AN550" s="310"/>
      <c r="AO550" s="310"/>
      <c r="AP550" s="12"/>
      <c r="AQ550" s="3"/>
      <c r="AR550" s="3"/>
      <c r="AS550" s="3"/>
      <c r="AT550" s="3"/>
      <c r="AU550" s="3"/>
      <c r="AV550" s="3"/>
      <c r="AW550" s="3"/>
      <c r="AX550" s="3"/>
      <c r="AY550" s="3"/>
      <c r="AZ550" s="3"/>
      <c r="BA550" s="3"/>
      <c r="BB550" s="3"/>
      <c r="BC550" s="3"/>
    </row>
    <row r="551" ht="15.75" customHeight="1">
      <c r="A551" s="12"/>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c r="AA551" s="310"/>
      <c r="AB551" s="310"/>
      <c r="AC551" s="310"/>
      <c r="AD551" s="310"/>
      <c r="AE551" s="310"/>
      <c r="AF551" s="310"/>
      <c r="AG551" s="310"/>
      <c r="AH551" s="310"/>
      <c r="AI551" s="310"/>
      <c r="AJ551" s="310"/>
      <c r="AK551" s="310"/>
      <c r="AL551" s="310"/>
      <c r="AM551" s="310"/>
      <c r="AN551" s="310"/>
      <c r="AO551" s="310"/>
      <c r="AP551" s="12"/>
      <c r="AQ551" s="3"/>
      <c r="AR551" s="3"/>
      <c r="AS551" s="3"/>
      <c r="AT551" s="3"/>
      <c r="AU551" s="3"/>
      <c r="AV551" s="3"/>
      <c r="AW551" s="3"/>
      <c r="AX551" s="3"/>
      <c r="AY551" s="3"/>
      <c r="AZ551" s="3"/>
      <c r="BA551" s="3"/>
      <c r="BB551" s="3"/>
      <c r="BC551" s="3"/>
    </row>
    <row r="552" ht="15.75" customHeight="1">
      <c r="A552" s="12"/>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c r="AA552" s="310"/>
      <c r="AB552" s="310"/>
      <c r="AC552" s="310"/>
      <c r="AD552" s="310"/>
      <c r="AE552" s="310"/>
      <c r="AF552" s="310"/>
      <c r="AG552" s="310"/>
      <c r="AH552" s="310"/>
      <c r="AI552" s="310"/>
      <c r="AJ552" s="310"/>
      <c r="AK552" s="310"/>
      <c r="AL552" s="310"/>
      <c r="AM552" s="310"/>
      <c r="AN552" s="310"/>
      <c r="AO552" s="310"/>
      <c r="AP552" s="12"/>
      <c r="AQ552" s="3"/>
      <c r="AR552" s="3"/>
      <c r="AS552" s="3"/>
      <c r="AT552" s="3"/>
      <c r="AU552" s="3"/>
      <c r="AV552" s="3"/>
      <c r="AW552" s="3"/>
      <c r="AX552" s="3"/>
      <c r="AY552" s="3"/>
      <c r="AZ552" s="3"/>
      <c r="BA552" s="3"/>
      <c r="BB552" s="3"/>
      <c r="BC552" s="3"/>
    </row>
    <row r="553" ht="15.75" customHeight="1">
      <c r="A553" s="12"/>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c r="AA553" s="310"/>
      <c r="AB553" s="310"/>
      <c r="AC553" s="310"/>
      <c r="AD553" s="310"/>
      <c r="AE553" s="310"/>
      <c r="AF553" s="310"/>
      <c r="AG553" s="310"/>
      <c r="AH553" s="310"/>
      <c r="AI553" s="310"/>
      <c r="AJ553" s="310"/>
      <c r="AK553" s="310"/>
      <c r="AL553" s="310"/>
      <c r="AM553" s="310"/>
      <c r="AN553" s="310"/>
      <c r="AO553" s="310"/>
      <c r="AP553" s="12"/>
      <c r="AQ553" s="3"/>
      <c r="AR553" s="3"/>
      <c r="AS553" s="3"/>
      <c r="AT553" s="3"/>
      <c r="AU553" s="3"/>
      <c r="AV553" s="3"/>
      <c r="AW553" s="3"/>
      <c r="AX553" s="3"/>
      <c r="AY553" s="3"/>
      <c r="AZ553" s="3"/>
      <c r="BA553" s="3"/>
      <c r="BB553" s="3"/>
      <c r="BC553" s="3"/>
    </row>
    <row r="554" ht="15.75" customHeight="1">
      <c r="A554" s="12"/>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c r="AA554" s="310"/>
      <c r="AB554" s="310"/>
      <c r="AC554" s="310"/>
      <c r="AD554" s="310"/>
      <c r="AE554" s="310"/>
      <c r="AF554" s="310"/>
      <c r="AG554" s="310"/>
      <c r="AH554" s="310"/>
      <c r="AI554" s="310"/>
      <c r="AJ554" s="310"/>
      <c r="AK554" s="310"/>
      <c r="AL554" s="310"/>
      <c r="AM554" s="310"/>
      <c r="AN554" s="310"/>
      <c r="AO554" s="310"/>
      <c r="AP554" s="12"/>
      <c r="AQ554" s="3"/>
      <c r="AR554" s="3"/>
      <c r="AS554" s="3"/>
      <c r="AT554" s="3"/>
      <c r="AU554" s="3"/>
      <c r="AV554" s="3"/>
      <c r="AW554" s="3"/>
      <c r="AX554" s="3"/>
      <c r="AY554" s="3"/>
      <c r="AZ554" s="3"/>
      <c r="BA554" s="3"/>
      <c r="BB554" s="3"/>
      <c r="BC554" s="3"/>
    </row>
    <row r="555" ht="15.75" customHeight="1">
      <c r="A555" s="12"/>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c r="AA555" s="310"/>
      <c r="AB555" s="310"/>
      <c r="AC555" s="310"/>
      <c r="AD555" s="310"/>
      <c r="AE555" s="310"/>
      <c r="AF555" s="310"/>
      <c r="AG555" s="310"/>
      <c r="AH555" s="310"/>
      <c r="AI555" s="310"/>
      <c r="AJ555" s="310"/>
      <c r="AK555" s="310"/>
      <c r="AL555" s="310"/>
      <c r="AM555" s="310"/>
      <c r="AN555" s="310"/>
      <c r="AO555" s="310"/>
      <c r="AP555" s="12"/>
      <c r="AQ555" s="3"/>
      <c r="AR555" s="3"/>
      <c r="AS555" s="3"/>
      <c r="AT555" s="3"/>
      <c r="AU555" s="3"/>
      <c r="AV555" s="3"/>
      <c r="AW555" s="3"/>
      <c r="AX555" s="3"/>
      <c r="AY555" s="3"/>
      <c r="AZ555" s="3"/>
      <c r="BA555" s="3"/>
      <c r="BB555" s="3"/>
      <c r="BC555" s="3"/>
    </row>
    <row r="556" ht="15.75" customHeight="1">
      <c r="A556" s="12"/>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c r="AA556" s="310"/>
      <c r="AB556" s="310"/>
      <c r="AC556" s="310"/>
      <c r="AD556" s="310"/>
      <c r="AE556" s="310"/>
      <c r="AF556" s="310"/>
      <c r="AG556" s="310"/>
      <c r="AH556" s="310"/>
      <c r="AI556" s="310"/>
      <c r="AJ556" s="310"/>
      <c r="AK556" s="310"/>
      <c r="AL556" s="310"/>
      <c r="AM556" s="310"/>
      <c r="AN556" s="310"/>
      <c r="AO556" s="310"/>
      <c r="AP556" s="12"/>
      <c r="AQ556" s="3"/>
      <c r="AR556" s="3"/>
      <c r="AS556" s="3"/>
      <c r="AT556" s="3"/>
      <c r="AU556" s="3"/>
      <c r="AV556" s="3"/>
      <c r="AW556" s="3"/>
      <c r="AX556" s="3"/>
      <c r="AY556" s="3"/>
      <c r="AZ556" s="3"/>
      <c r="BA556" s="3"/>
      <c r="BB556" s="3"/>
      <c r="BC556" s="3"/>
    </row>
    <row r="557" ht="15.75" customHeight="1">
      <c r="A557" s="12"/>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c r="AA557" s="310"/>
      <c r="AB557" s="310"/>
      <c r="AC557" s="310"/>
      <c r="AD557" s="310"/>
      <c r="AE557" s="310"/>
      <c r="AF557" s="310"/>
      <c r="AG557" s="310"/>
      <c r="AH557" s="310"/>
      <c r="AI557" s="310"/>
      <c r="AJ557" s="310"/>
      <c r="AK557" s="310"/>
      <c r="AL557" s="310"/>
      <c r="AM557" s="310"/>
      <c r="AN557" s="310"/>
      <c r="AO557" s="310"/>
      <c r="AP557" s="12"/>
      <c r="AQ557" s="3"/>
      <c r="AR557" s="3"/>
      <c r="AS557" s="3"/>
      <c r="AT557" s="3"/>
      <c r="AU557" s="3"/>
      <c r="AV557" s="3"/>
      <c r="AW557" s="3"/>
      <c r="AX557" s="3"/>
      <c r="AY557" s="3"/>
      <c r="AZ557" s="3"/>
      <c r="BA557" s="3"/>
      <c r="BB557" s="3"/>
      <c r="BC557" s="3"/>
    </row>
    <row r="558" ht="15.75" customHeight="1">
      <c r="A558" s="12"/>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c r="AA558" s="310"/>
      <c r="AB558" s="310"/>
      <c r="AC558" s="310"/>
      <c r="AD558" s="310"/>
      <c r="AE558" s="310"/>
      <c r="AF558" s="310"/>
      <c r="AG558" s="310"/>
      <c r="AH558" s="310"/>
      <c r="AI558" s="310"/>
      <c r="AJ558" s="310"/>
      <c r="AK558" s="310"/>
      <c r="AL558" s="310"/>
      <c r="AM558" s="310"/>
      <c r="AN558" s="310"/>
      <c r="AO558" s="310"/>
      <c r="AP558" s="12"/>
      <c r="AQ558" s="3"/>
      <c r="AR558" s="3"/>
      <c r="AS558" s="3"/>
      <c r="AT558" s="3"/>
      <c r="AU558" s="3"/>
      <c r="AV558" s="3"/>
      <c r="AW558" s="3"/>
      <c r="AX558" s="3"/>
      <c r="AY558" s="3"/>
      <c r="AZ558" s="3"/>
      <c r="BA558" s="3"/>
      <c r="BB558" s="3"/>
      <c r="BC558" s="3"/>
    </row>
    <row r="559" ht="15.75" customHeight="1">
      <c r="A559" s="12"/>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c r="AA559" s="310"/>
      <c r="AB559" s="310"/>
      <c r="AC559" s="310"/>
      <c r="AD559" s="310"/>
      <c r="AE559" s="310"/>
      <c r="AF559" s="310"/>
      <c r="AG559" s="310"/>
      <c r="AH559" s="310"/>
      <c r="AI559" s="310"/>
      <c r="AJ559" s="310"/>
      <c r="AK559" s="310"/>
      <c r="AL559" s="310"/>
      <c r="AM559" s="310"/>
      <c r="AN559" s="310"/>
      <c r="AO559" s="310"/>
      <c r="AP559" s="12"/>
      <c r="AQ559" s="3"/>
      <c r="AR559" s="3"/>
      <c r="AS559" s="3"/>
      <c r="AT559" s="3"/>
      <c r="AU559" s="3"/>
      <c r="AV559" s="3"/>
      <c r="AW559" s="3"/>
      <c r="AX559" s="3"/>
      <c r="AY559" s="3"/>
      <c r="AZ559" s="3"/>
      <c r="BA559" s="3"/>
      <c r="BB559" s="3"/>
      <c r="BC559" s="3"/>
    </row>
    <row r="560" ht="15.75" customHeight="1">
      <c r="A560" s="12"/>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c r="AA560" s="310"/>
      <c r="AB560" s="310"/>
      <c r="AC560" s="310"/>
      <c r="AD560" s="310"/>
      <c r="AE560" s="310"/>
      <c r="AF560" s="310"/>
      <c r="AG560" s="310"/>
      <c r="AH560" s="310"/>
      <c r="AI560" s="310"/>
      <c r="AJ560" s="310"/>
      <c r="AK560" s="310"/>
      <c r="AL560" s="310"/>
      <c r="AM560" s="310"/>
      <c r="AN560" s="310"/>
      <c r="AO560" s="310"/>
      <c r="AP560" s="12"/>
      <c r="AQ560" s="3"/>
      <c r="AR560" s="3"/>
      <c r="AS560" s="3"/>
      <c r="AT560" s="3"/>
      <c r="AU560" s="3"/>
      <c r="AV560" s="3"/>
      <c r="AW560" s="3"/>
      <c r="AX560" s="3"/>
      <c r="AY560" s="3"/>
      <c r="AZ560" s="3"/>
      <c r="BA560" s="3"/>
      <c r="BB560" s="3"/>
      <c r="BC560" s="3"/>
    </row>
    <row r="561" ht="15.75" customHeight="1">
      <c r="A561" s="12"/>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c r="AA561" s="310"/>
      <c r="AB561" s="310"/>
      <c r="AC561" s="310"/>
      <c r="AD561" s="310"/>
      <c r="AE561" s="310"/>
      <c r="AF561" s="310"/>
      <c r="AG561" s="310"/>
      <c r="AH561" s="310"/>
      <c r="AI561" s="310"/>
      <c r="AJ561" s="310"/>
      <c r="AK561" s="310"/>
      <c r="AL561" s="310"/>
      <c r="AM561" s="310"/>
      <c r="AN561" s="310"/>
      <c r="AO561" s="310"/>
      <c r="AP561" s="12"/>
      <c r="AQ561" s="3"/>
      <c r="AR561" s="3"/>
      <c r="AS561" s="3"/>
      <c r="AT561" s="3"/>
      <c r="AU561" s="3"/>
      <c r="AV561" s="3"/>
      <c r="AW561" s="3"/>
      <c r="AX561" s="3"/>
      <c r="AY561" s="3"/>
      <c r="AZ561" s="3"/>
      <c r="BA561" s="3"/>
      <c r="BB561" s="3"/>
      <c r="BC561" s="3"/>
    </row>
    <row r="562" ht="15.75" customHeight="1">
      <c r="A562" s="12"/>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c r="AA562" s="310"/>
      <c r="AB562" s="310"/>
      <c r="AC562" s="310"/>
      <c r="AD562" s="310"/>
      <c r="AE562" s="310"/>
      <c r="AF562" s="310"/>
      <c r="AG562" s="310"/>
      <c r="AH562" s="310"/>
      <c r="AI562" s="310"/>
      <c r="AJ562" s="310"/>
      <c r="AK562" s="310"/>
      <c r="AL562" s="310"/>
      <c r="AM562" s="310"/>
      <c r="AN562" s="310"/>
      <c r="AO562" s="310"/>
      <c r="AP562" s="12"/>
      <c r="AQ562" s="3"/>
      <c r="AR562" s="3"/>
      <c r="AS562" s="3"/>
      <c r="AT562" s="3"/>
      <c r="AU562" s="3"/>
      <c r="AV562" s="3"/>
      <c r="AW562" s="3"/>
      <c r="AX562" s="3"/>
      <c r="AY562" s="3"/>
      <c r="AZ562" s="3"/>
      <c r="BA562" s="3"/>
      <c r="BB562" s="3"/>
      <c r="BC562" s="3"/>
    </row>
    <row r="563" ht="15.75" customHeight="1">
      <c r="A563" s="12"/>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c r="AA563" s="310"/>
      <c r="AB563" s="310"/>
      <c r="AC563" s="310"/>
      <c r="AD563" s="310"/>
      <c r="AE563" s="310"/>
      <c r="AF563" s="310"/>
      <c r="AG563" s="310"/>
      <c r="AH563" s="310"/>
      <c r="AI563" s="310"/>
      <c r="AJ563" s="310"/>
      <c r="AK563" s="310"/>
      <c r="AL563" s="310"/>
      <c r="AM563" s="310"/>
      <c r="AN563" s="310"/>
      <c r="AO563" s="310"/>
      <c r="AP563" s="12"/>
      <c r="AQ563" s="3"/>
      <c r="AR563" s="3"/>
      <c r="AS563" s="3"/>
      <c r="AT563" s="3"/>
      <c r="AU563" s="3"/>
      <c r="AV563" s="3"/>
      <c r="AW563" s="3"/>
      <c r="AX563" s="3"/>
      <c r="AY563" s="3"/>
      <c r="AZ563" s="3"/>
      <c r="BA563" s="3"/>
      <c r="BB563" s="3"/>
      <c r="BC563" s="3"/>
    </row>
    <row r="564" ht="15.75" customHeight="1">
      <c r="A564" s="12"/>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c r="AA564" s="310"/>
      <c r="AB564" s="310"/>
      <c r="AC564" s="310"/>
      <c r="AD564" s="310"/>
      <c r="AE564" s="310"/>
      <c r="AF564" s="310"/>
      <c r="AG564" s="310"/>
      <c r="AH564" s="310"/>
      <c r="AI564" s="310"/>
      <c r="AJ564" s="310"/>
      <c r="AK564" s="310"/>
      <c r="AL564" s="310"/>
      <c r="AM564" s="310"/>
      <c r="AN564" s="310"/>
      <c r="AO564" s="310"/>
      <c r="AP564" s="12"/>
      <c r="AQ564" s="3"/>
      <c r="AR564" s="3"/>
      <c r="AS564" s="3"/>
      <c r="AT564" s="3"/>
      <c r="AU564" s="3"/>
      <c r="AV564" s="3"/>
      <c r="AW564" s="3"/>
      <c r="AX564" s="3"/>
      <c r="AY564" s="3"/>
      <c r="AZ564" s="3"/>
      <c r="BA564" s="3"/>
      <c r="BB564" s="3"/>
      <c r="BC564" s="3"/>
    </row>
    <row r="565" ht="15.75" customHeight="1">
      <c r="A565" s="12"/>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c r="AA565" s="310"/>
      <c r="AB565" s="310"/>
      <c r="AC565" s="310"/>
      <c r="AD565" s="310"/>
      <c r="AE565" s="310"/>
      <c r="AF565" s="310"/>
      <c r="AG565" s="310"/>
      <c r="AH565" s="310"/>
      <c r="AI565" s="310"/>
      <c r="AJ565" s="310"/>
      <c r="AK565" s="310"/>
      <c r="AL565" s="310"/>
      <c r="AM565" s="310"/>
      <c r="AN565" s="310"/>
      <c r="AO565" s="310"/>
      <c r="AP565" s="12"/>
      <c r="AQ565" s="3"/>
      <c r="AR565" s="3"/>
      <c r="AS565" s="3"/>
      <c r="AT565" s="3"/>
      <c r="AU565" s="3"/>
      <c r="AV565" s="3"/>
      <c r="AW565" s="3"/>
      <c r="AX565" s="3"/>
      <c r="AY565" s="3"/>
      <c r="AZ565" s="3"/>
      <c r="BA565" s="3"/>
      <c r="BB565" s="3"/>
      <c r="BC565" s="3"/>
    </row>
    <row r="566" ht="15.75" customHeight="1">
      <c r="A566" s="12"/>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c r="AA566" s="310"/>
      <c r="AB566" s="310"/>
      <c r="AC566" s="310"/>
      <c r="AD566" s="310"/>
      <c r="AE566" s="310"/>
      <c r="AF566" s="310"/>
      <c r="AG566" s="310"/>
      <c r="AH566" s="310"/>
      <c r="AI566" s="310"/>
      <c r="AJ566" s="310"/>
      <c r="AK566" s="310"/>
      <c r="AL566" s="310"/>
      <c r="AM566" s="310"/>
      <c r="AN566" s="310"/>
      <c r="AO566" s="310"/>
      <c r="AP566" s="12"/>
      <c r="AQ566" s="3"/>
      <c r="AR566" s="3"/>
      <c r="AS566" s="3"/>
      <c r="AT566" s="3"/>
      <c r="AU566" s="3"/>
      <c r="AV566" s="3"/>
      <c r="AW566" s="3"/>
      <c r="AX566" s="3"/>
      <c r="AY566" s="3"/>
      <c r="AZ566" s="3"/>
      <c r="BA566" s="3"/>
      <c r="BB566" s="3"/>
      <c r="BC566" s="3"/>
    </row>
    <row r="567" ht="15.75" customHeight="1">
      <c r="A567" s="12"/>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c r="AA567" s="310"/>
      <c r="AB567" s="310"/>
      <c r="AC567" s="310"/>
      <c r="AD567" s="310"/>
      <c r="AE567" s="310"/>
      <c r="AF567" s="310"/>
      <c r="AG567" s="310"/>
      <c r="AH567" s="310"/>
      <c r="AI567" s="310"/>
      <c r="AJ567" s="310"/>
      <c r="AK567" s="310"/>
      <c r="AL567" s="310"/>
      <c r="AM567" s="310"/>
      <c r="AN567" s="310"/>
      <c r="AO567" s="310"/>
      <c r="AP567" s="12"/>
      <c r="AQ567" s="3"/>
      <c r="AR567" s="3"/>
      <c r="AS567" s="3"/>
      <c r="AT567" s="3"/>
      <c r="AU567" s="3"/>
      <c r="AV567" s="3"/>
      <c r="AW567" s="3"/>
      <c r="AX567" s="3"/>
      <c r="AY567" s="3"/>
      <c r="AZ567" s="3"/>
      <c r="BA567" s="3"/>
      <c r="BB567" s="3"/>
      <c r="BC567" s="3"/>
    </row>
    <row r="568" ht="15.75" customHeight="1">
      <c r="A568" s="12"/>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c r="AA568" s="310"/>
      <c r="AB568" s="310"/>
      <c r="AC568" s="310"/>
      <c r="AD568" s="310"/>
      <c r="AE568" s="310"/>
      <c r="AF568" s="310"/>
      <c r="AG568" s="310"/>
      <c r="AH568" s="310"/>
      <c r="AI568" s="310"/>
      <c r="AJ568" s="310"/>
      <c r="AK568" s="310"/>
      <c r="AL568" s="310"/>
      <c r="AM568" s="310"/>
      <c r="AN568" s="310"/>
      <c r="AO568" s="310"/>
      <c r="AP568" s="12"/>
      <c r="AQ568" s="3"/>
      <c r="AR568" s="3"/>
      <c r="AS568" s="3"/>
      <c r="AT568" s="3"/>
      <c r="AU568" s="3"/>
      <c r="AV568" s="3"/>
      <c r="AW568" s="3"/>
      <c r="AX568" s="3"/>
      <c r="AY568" s="3"/>
      <c r="AZ568" s="3"/>
      <c r="BA568" s="3"/>
      <c r="BB568" s="3"/>
      <c r="BC568" s="3"/>
    </row>
    <row r="569" ht="15.75" customHeight="1">
      <c r="A569" s="12"/>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c r="AA569" s="310"/>
      <c r="AB569" s="310"/>
      <c r="AC569" s="310"/>
      <c r="AD569" s="310"/>
      <c r="AE569" s="310"/>
      <c r="AF569" s="310"/>
      <c r="AG569" s="310"/>
      <c r="AH569" s="310"/>
      <c r="AI569" s="310"/>
      <c r="AJ569" s="310"/>
      <c r="AK569" s="310"/>
      <c r="AL569" s="310"/>
      <c r="AM569" s="310"/>
      <c r="AN569" s="310"/>
      <c r="AO569" s="310"/>
      <c r="AP569" s="12"/>
      <c r="AQ569" s="3"/>
      <c r="AR569" s="3"/>
      <c r="AS569" s="3"/>
      <c r="AT569" s="3"/>
      <c r="AU569" s="3"/>
      <c r="AV569" s="3"/>
      <c r="AW569" s="3"/>
      <c r="AX569" s="3"/>
      <c r="AY569" s="3"/>
      <c r="AZ569" s="3"/>
      <c r="BA569" s="3"/>
      <c r="BB569" s="3"/>
      <c r="BC569" s="3"/>
    </row>
    <row r="570" ht="15.75" customHeight="1">
      <c r="A570" s="12"/>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c r="AA570" s="310"/>
      <c r="AB570" s="310"/>
      <c r="AC570" s="310"/>
      <c r="AD570" s="310"/>
      <c r="AE570" s="310"/>
      <c r="AF570" s="310"/>
      <c r="AG570" s="310"/>
      <c r="AH570" s="310"/>
      <c r="AI570" s="310"/>
      <c r="AJ570" s="310"/>
      <c r="AK570" s="310"/>
      <c r="AL570" s="310"/>
      <c r="AM570" s="310"/>
      <c r="AN570" s="310"/>
      <c r="AO570" s="310"/>
      <c r="AP570" s="12"/>
      <c r="AQ570" s="3"/>
      <c r="AR570" s="3"/>
      <c r="AS570" s="3"/>
      <c r="AT570" s="3"/>
      <c r="AU570" s="3"/>
      <c r="AV570" s="3"/>
      <c r="AW570" s="3"/>
      <c r="AX570" s="3"/>
      <c r="AY570" s="3"/>
      <c r="AZ570" s="3"/>
      <c r="BA570" s="3"/>
      <c r="BB570" s="3"/>
      <c r="BC570" s="3"/>
    </row>
    <row r="571" ht="15.75" customHeight="1">
      <c r="A571" s="12"/>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c r="AA571" s="310"/>
      <c r="AB571" s="310"/>
      <c r="AC571" s="310"/>
      <c r="AD571" s="310"/>
      <c r="AE571" s="310"/>
      <c r="AF571" s="310"/>
      <c r="AG571" s="310"/>
      <c r="AH571" s="310"/>
      <c r="AI571" s="310"/>
      <c r="AJ571" s="310"/>
      <c r="AK571" s="310"/>
      <c r="AL571" s="310"/>
      <c r="AM571" s="310"/>
      <c r="AN571" s="310"/>
      <c r="AO571" s="310"/>
      <c r="AP571" s="12"/>
      <c r="AQ571" s="3"/>
      <c r="AR571" s="3"/>
      <c r="AS571" s="3"/>
      <c r="AT571" s="3"/>
      <c r="AU571" s="3"/>
      <c r="AV571" s="3"/>
      <c r="AW571" s="3"/>
      <c r="AX571" s="3"/>
      <c r="AY571" s="3"/>
      <c r="AZ571" s="3"/>
      <c r="BA571" s="3"/>
      <c r="BB571" s="3"/>
      <c r="BC571" s="3"/>
    </row>
    <row r="572" ht="15.75" customHeight="1">
      <c r="A572" s="12"/>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c r="AA572" s="310"/>
      <c r="AB572" s="310"/>
      <c r="AC572" s="310"/>
      <c r="AD572" s="310"/>
      <c r="AE572" s="310"/>
      <c r="AF572" s="310"/>
      <c r="AG572" s="310"/>
      <c r="AH572" s="310"/>
      <c r="AI572" s="310"/>
      <c r="AJ572" s="310"/>
      <c r="AK572" s="310"/>
      <c r="AL572" s="310"/>
      <c r="AM572" s="310"/>
      <c r="AN572" s="310"/>
      <c r="AO572" s="310"/>
      <c r="AP572" s="12"/>
      <c r="AQ572" s="3"/>
      <c r="AR572" s="3"/>
      <c r="AS572" s="3"/>
      <c r="AT572" s="3"/>
      <c r="AU572" s="3"/>
      <c r="AV572" s="3"/>
      <c r="AW572" s="3"/>
      <c r="AX572" s="3"/>
      <c r="AY572" s="3"/>
      <c r="AZ572" s="3"/>
      <c r="BA572" s="3"/>
      <c r="BB572" s="3"/>
      <c r="BC572" s="3"/>
    </row>
    <row r="573" ht="15.75" customHeight="1">
      <c r="A573" s="12"/>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c r="AA573" s="310"/>
      <c r="AB573" s="310"/>
      <c r="AC573" s="310"/>
      <c r="AD573" s="310"/>
      <c r="AE573" s="310"/>
      <c r="AF573" s="310"/>
      <c r="AG573" s="310"/>
      <c r="AH573" s="310"/>
      <c r="AI573" s="310"/>
      <c r="AJ573" s="310"/>
      <c r="AK573" s="310"/>
      <c r="AL573" s="310"/>
      <c r="AM573" s="310"/>
      <c r="AN573" s="310"/>
      <c r="AO573" s="310"/>
      <c r="AP573" s="12"/>
      <c r="AQ573" s="3"/>
      <c r="AR573" s="3"/>
      <c r="AS573" s="3"/>
      <c r="AT573" s="3"/>
      <c r="AU573" s="3"/>
      <c r="AV573" s="3"/>
      <c r="AW573" s="3"/>
      <c r="AX573" s="3"/>
      <c r="AY573" s="3"/>
      <c r="AZ573" s="3"/>
      <c r="BA573" s="3"/>
      <c r="BB573" s="3"/>
      <c r="BC573" s="3"/>
    </row>
    <row r="574" ht="15.75" customHeight="1">
      <c r="A574" s="12"/>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c r="AA574" s="310"/>
      <c r="AB574" s="310"/>
      <c r="AC574" s="310"/>
      <c r="AD574" s="310"/>
      <c r="AE574" s="310"/>
      <c r="AF574" s="310"/>
      <c r="AG574" s="310"/>
      <c r="AH574" s="310"/>
      <c r="AI574" s="310"/>
      <c r="AJ574" s="310"/>
      <c r="AK574" s="310"/>
      <c r="AL574" s="310"/>
      <c r="AM574" s="310"/>
      <c r="AN574" s="310"/>
      <c r="AO574" s="310"/>
      <c r="AP574" s="12"/>
      <c r="AQ574" s="3"/>
      <c r="AR574" s="3"/>
      <c r="AS574" s="3"/>
      <c r="AT574" s="3"/>
      <c r="AU574" s="3"/>
      <c r="AV574" s="3"/>
      <c r="AW574" s="3"/>
      <c r="AX574" s="3"/>
      <c r="AY574" s="3"/>
      <c r="AZ574" s="3"/>
      <c r="BA574" s="3"/>
      <c r="BB574" s="3"/>
      <c r="BC574" s="3"/>
    </row>
    <row r="575" ht="15.75" customHeight="1">
      <c r="A575" s="12"/>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c r="AA575" s="310"/>
      <c r="AB575" s="310"/>
      <c r="AC575" s="310"/>
      <c r="AD575" s="310"/>
      <c r="AE575" s="310"/>
      <c r="AF575" s="310"/>
      <c r="AG575" s="310"/>
      <c r="AH575" s="310"/>
      <c r="AI575" s="310"/>
      <c r="AJ575" s="310"/>
      <c r="AK575" s="310"/>
      <c r="AL575" s="310"/>
      <c r="AM575" s="310"/>
      <c r="AN575" s="310"/>
      <c r="AO575" s="310"/>
      <c r="AP575" s="12"/>
      <c r="AQ575" s="3"/>
      <c r="AR575" s="3"/>
      <c r="AS575" s="3"/>
      <c r="AT575" s="3"/>
      <c r="AU575" s="3"/>
      <c r="AV575" s="3"/>
      <c r="AW575" s="3"/>
      <c r="AX575" s="3"/>
      <c r="AY575" s="3"/>
      <c r="AZ575" s="3"/>
      <c r="BA575" s="3"/>
      <c r="BB575" s="3"/>
      <c r="BC575" s="3"/>
    </row>
    <row r="576" ht="15.75" customHeight="1">
      <c r="A576" s="12"/>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c r="AA576" s="310"/>
      <c r="AB576" s="310"/>
      <c r="AC576" s="310"/>
      <c r="AD576" s="310"/>
      <c r="AE576" s="310"/>
      <c r="AF576" s="310"/>
      <c r="AG576" s="310"/>
      <c r="AH576" s="310"/>
      <c r="AI576" s="310"/>
      <c r="AJ576" s="310"/>
      <c r="AK576" s="310"/>
      <c r="AL576" s="310"/>
      <c r="AM576" s="310"/>
      <c r="AN576" s="310"/>
      <c r="AO576" s="310"/>
      <c r="AP576" s="12"/>
      <c r="AQ576" s="3"/>
      <c r="AR576" s="3"/>
      <c r="AS576" s="3"/>
      <c r="AT576" s="3"/>
      <c r="AU576" s="3"/>
      <c r="AV576" s="3"/>
      <c r="AW576" s="3"/>
      <c r="AX576" s="3"/>
      <c r="AY576" s="3"/>
      <c r="AZ576" s="3"/>
      <c r="BA576" s="3"/>
      <c r="BB576" s="3"/>
      <c r="BC576" s="3"/>
    </row>
    <row r="577" ht="15.75" customHeight="1">
      <c r="A577" s="12"/>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c r="AA577" s="310"/>
      <c r="AB577" s="310"/>
      <c r="AC577" s="310"/>
      <c r="AD577" s="310"/>
      <c r="AE577" s="310"/>
      <c r="AF577" s="310"/>
      <c r="AG577" s="310"/>
      <c r="AH577" s="310"/>
      <c r="AI577" s="310"/>
      <c r="AJ577" s="310"/>
      <c r="AK577" s="310"/>
      <c r="AL577" s="310"/>
      <c r="AM577" s="310"/>
      <c r="AN577" s="310"/>
      <c r="AO577" s="310"/>
      <c r="AP577" s="12"/>
      <c r="AQ577" s="3"/>
      <c r="AR577" s="3"/>
      <c r="AS577" s="3"/>
      <c r="AT577" s="3"/>
      <c r="AU577" s="3"/>
      <c r="AV577" s="3"/>
      <c r="AW577" s="3"/>
      <c r="AX577" s="3"/>
      <c r="AY577" s="3"/>
      <c r="AZ577" s="3"/>
      <c r="BA577" s="3"/>
      <c r="BB577" s="3"/>
      <c r="BC577" s="3"/>
    </row>
    <row r="578" ht="15.75" customHeight="1">
      <c r="A578" s="12"/>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c r="AA578" s="310"/>
      <c r="AB578" s="310"/>
      <c r="AC578" s="310"/>
      <c r="AD578" s="310"/>
      <c r="AE578" s="310"/>
      <c r="AF578" s="310"/>
      <c r="AG578" s="310"/>
      <c r="AH578" s="310"/>
      <c r="AI578" s="310"/>
      <c r="AJ578" s="310"/>
      <c r="AK578" s="310"/>
      <c r="AL578" s="310"/>
      <c r="AM578" s="310"/>
      <c r="AN578" s="310"/>
      <c r="AO578" s="310"/>
      <c r="AP578" s="12"/>
      <c r="AQ578" s="3"/>
      <c r="AR578" s="3"/>
      <c r="AS578" s="3"/>
      <c r="AT578" s="3"/>
      <c r="AU578" s="3"/>
      <c r="AV578" s="3"/>
      <c r="AW578" s="3"/>
      <c r="AX578" s="3"/>
      <c r="AY578" s="3"/>
      <c r="AZ578" s="3"/>
      <c r="BA578" s="3"/>
      <c r="BB578" s="3"/>
      <c r="BC578" s="3"/>
    </row>
    <row r="579" ht="15.75" customHeight="1">
      <c r="A579" s="12"/>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c r="AA579" s="310"/>
      <c r="AB579" s="310"/>
      <c r="AC579" s="310"/>
      <c r="AD579" s="310"/>
      <c r="AE579" s="310"/>
      <c r="AF579" s="310"/>
      <c r="AG579" s="310"/>
      <c r="AH579" s="310"/>
      <c r="AI579" s="310"/>
      <c r="AJ579" s="310"/>
      <c r="AK579" s="310"/>
      <c r="AL579" s="310"/>
      <c r="AM579" s="310"/>
      <c r="AN579" s="310"/>
      <c r="AO579" s="310"/>
      <c r="AP579" s="12"/>
      <c r="AQ579" s="3"/>
      <c r="AR579" s="3"/>
      <c r="AS579" s="3"/>
      <c r="AT579" s="3"/>
      <c r="AU579" s="3"/>
      <c r="AV579" s="3"/>
      <c r="AW579" s="3"/>
      <c r="AX579" s="3"/>
      <c r="AY579" s="3"/>
      <c r="AZ579" s="3"/>
      <c r="BA579" s="3"/>
      <c r="BB579" s="3"/>
      <c r="BC579" s="3"/>
    </row>
    <row r="580" ht="15.75" customHeight="1">
      <c r="A580" s="12"/>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c r="AA580" s="310"/>
      <c r="AB580" s="310"/>
      <c r="AC580" s="310"/>
      <c r="AD580" s="310"/>
      <c r="AE580" s="310"/>
      <c r="AF580" s="310"/>
      <c r="AG580" s="310"/>
      <c r="AH580" s="310"/>
      <c r="AI580" s="310"/>
      <c r="AJ580" s="310"/>
      <c r="AK580" s="310"/>
      <c r="AL580" s="310"/>
      <c r="AM580" s="310"/>
      <c r="AN580" s="310"/>
      <c r="AO580" s="310"/>
      <c r="AP580" s="12"/>
      <c r="AQ580" s="3"/>
      <c r="AR580" s="3"/>
      <c r="AS580" s="3"/>
      <c r="AT580" s="3"/>
      <c r="AU580" s="3"/>
      <c r="AV580" s="3"/>
      <c r="AW580" s="3"/>
      <c r="AX580" s="3"/>
      <c r="AY580" s="3"/>
      <c r="AZ580" s="3"/>
      <c r="BA580" s="3"/>
      <c r="BB580" s="3"/>
      <c r="BC580" s="3"/>
    </row>
    <row r="581" ht="15.75" customHeight="1">
      <c r="A581" s="12"/>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c r="AA581" s="310"/>
      <c r="AB581" s="310"/>
      <c r="AC581" s="310"/>
      <c r="AD581" s="310"/>
      <c r="AE581" s="310"/>
      <c r="AF581" s="310"/>
      <c r="AG581" s="310"/>
      <c r="AH581" s="310"/>
      <c r="AI581" s="310"/>
      <c r="AJ581" s="310"/>
      <c r="AK581" s="310"/>
      <c r="AL581" s="310"/>
      <c r="AM581" s="310"/>
      <c r="AN581" s="310"/>
      <c r="AO581" s="310"/>
      <c r="AP581" s="12"/>
      <c r="AQ581" s="3"/>
      <c r="AR581" s="3"/>
      <c r="AS581" s="3"/>
      <c r="AT581" s="3"/>
      <c r="AU581" s="3"/>
      <c r="AV581" s="3"/>
      <c r="AW581" s="3"/>
      <c r="AX581" s="3"/>
      <c r="AY581" s="3"/>
      <c r="AZ581" s="3"/>
      <c r="BA581" s="3"/>
      <c r="BB581" s="3"/>
      <c r="BC581" s="3"/>
    </row>
    <row r="582" ht="15.75" customHeight="1">
      <c r="A582" s="12"/>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c r="AA582" s="310"/>
      <c r="AB582" s="310"/>
      <c r="AC582" s="310"/>
      <c r="AD582" s="310"/>
      <c r="AE582" s="310"/>
      <c r="AF582" s="310"/>
      <c r="AG582" s="310"/>
      <c r="AH582" s="310"/>
      <c r="AI582" s="310"/>
      <c r="AJ582" s="310"/>
      <c r="AK582" s="310"/>
      <c r="AL582" s="310"/>
      <c r="AM582" s="310"/>
      <c r="AN582" s="310"/>
      <c r="AO582" s="310"/>
      <c r="AP582" s="12"/>
      <c r="AQ582" s="3"/>
      <c r="AR582" s="3"/>
      <c r="AS582" s="3"/>
      <c r="AT582" s="3"/>
      <c r="AU582" s="3"/>
      <c r="AV582" s="3"/>
      <c r="AW582" s="3"/>
      <c r="AX582" s="3"/>
      <c r="AY582" s="3"/>
      <c r="AZ582" s="3"/>
      <c r="BA582" s="3"/>
      <c r="BB582" s="3"/>
      <c r="BC582" s="3"/>
    </row>
    <row r="583" ht="15.75" customHeight="1">
      <c r="A583" s="12"/>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c r="AA583" s="310"/>
      <c r="AB583" s="310"/>
      <c r="AC583" s="310"/>
      <c r="AD583" s="310"/>
      <c r="AE583" s="310"/>
      <c r="AF583" s="310"/>
      <c r="AG583" s="310"/>
      <c r="AH583" s="310"/>
      <c r="AI583" s="310"/>
      <c r="AJ583" s="310"/>
      <c r="AK583" s="310"/>
      <c r="AL583" s="310"/>
      <c r="AM583" s="310"/>
      <c r="AN583" s="310"/>
      <c r="AO583" s="310"/>
      <c r="AP583" s="12"/>
      <c r="AQ583" s="3"/>
      <c r="AR583" s="3"/>
      <c r="AS583" s="3"/>
      <c r="AT583" s="3"/>
      <c r="AU583" s="3"/>
      <c r="AV583" s="3"/>
      <c r="AW583" s="3"/>
      <c r="AX583" s="3"/>
      <c r="AY583" s="3"/>
      <c r="AZ583" s="3"/>
      <c r="BA583" s="3"/>
      <c r="BB583" s="3"/>
      <c r="BC583" s="3"/>
    </row>
    <row r="584" ht="15.75" customHeight="1">
      <c r="A584" s="12"/>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c r="AA584" s="310"/>
      <c r="AB584" s="310"/>
      <c r="AC584" s="310"/>
      <c r="AD584" s="310"/>
      <c r="AE584" s="310"/>
      <c r="AF584" s="310"/>
      <c r="AG584" s="310"/>
      <c r="AH584" s="310"/>
      <c r="AI584" s="310"/>
      <c r="AJ584" s="310"/>
      <c r="AK584" s="310"/>
      <c r="AL584" s="310"/>
      <c r="AM584" s="310"/>
      <c r="AN584" s="310"/>
      <c r="AO584" s="310"/>
      <c r="AP584" s="12"/>
      <c r="AQ584" s="3"/>
      <c r="AR584" s="3"/>
      <c r="AS584" s="3"/>
      <c r="AT584" s="3"/>
      <c r="AU584" s="3"/>
      <c r="AV584" s="3"/>
      <c r="AW584" s="3"/>
      <c r="AX584" s="3"/>
      <c r="AY584" s="3"/>
      <c r="AZ584" s="3"/>
      <c r="BA584" s="3"/>
      <c r="BB584" s="3"/>
      <c r="BC584" s="3"/>
    </row>
    <row r="585" ht="15.75" customHeight="1">
      <c r="A585" s="12"/>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c r="AA585" s="310"/>
      <c r="AB585" s="310"/>
      <c r="AC585" s="310"/>
      <c r="AD585" s="310"/>
      <c r="AE585" s="310"/>
      <c r="AF585" s="310"/>
      <c r="AG585" s="310"/>
      <c r="AH585" s="310"/>
      <c r="AI585" s="310"/>
      <c r="AJ585" s="310"/>
      <c r="AK585" s="310"/>
      <c r="AL585" s="310"/>
      <c r="AM585" s="310"/>
      <c r="AN585" s="310"/>
      <c r="AO585" s="310"/>
      <c r="AP585" s="12"/>
      <c r="AQ585" s="3"/>
      <c r="AR585" s="3"/>
      <c r="AS585" s="3"/>
      <c r="AT585" s="3"/>
      <c r="AU585" s="3"/>
      <c r="AV585" s="3"/>
      <c r="AW585" s="3"/>
      <c r="AX585" s="3"/>
      <c r="AY585" s="3"/>
      <c r="AZ585" s="3"/>
      <c r="BA585" s="3"/>
      <c r="BB585" s="3"/>
      <c r="BC585" s="3"/>
    </row>
    <row r="586" ht="15.75" customHeight="1">
      <c r="A586" s="12"/>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c r="AA586" s="310"/>
      <c r="AB586" s="310"/>
      <c r="AC586" s="310"/>
      <c r="AD586" s="310"/>
      <c r="AE586" s="310"/>
      <c r="AF586" s="310"/>
      <c r="AG586" s="310"/>
      <c r="AH586" s="310"/>
      <c r="AI586" s="310"/>
      <c r="AJ586" s="310"/>
      <c r="AK586" s="310"/>
      <c r="AL586" s="310"/>
      <c r="AM586" s="310"/>
      <c r="AN586" s="310"/>
      <c r="AO586" s="310"/>
      <c r="AP586" s="12"/>
      <c r="AQ586" s="3"/>
      <c r="AR586" s="3"/>
      <c r="AS586" s="3"/>
      <c r="AT586" s="3"/>
      <c r="AU586" s="3"/>
      <c r="AV586" s="3"/>
      <c r="AW586" s="3"/>
      <c r="AX586" s="3"/>
      <c r="AY586" s="3"/>
      <c r="AZ586" s="3"/>
      <c r="BA586" s="3"/>
      <c r="BB586" s="3"/>
      <c r="BC586" s="3"/>
    </row>
    <row r="587" ht="15.75" customHeight="1">
      <c r="A587" s="12"/>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c r="AA587" s="310"/>
      <c r="AB587" s="310"/>
      <c r="AC587" s="310"/>
      <c r="AD587" s="310"/>
      <c r="AE587" s="310"/>
      <c r="AF587" s="310"/>
      <c r="AG587" s="310"/>
      <c r="AH587" s="310"/>
      <c r="AI587" s="310"/>
      <c r="AJ587" s="310"/>
      <c r="AK587" s="310"/>
      <c r="AL587" s="310"/>
      <c r="AM587" s="310"/>
      <c r="AN587" s="310"/>
      <c r="AO587" s="310"/>
      <c r="AP587" s="12"/>
      <c r="AQ587" s="3"/>
      <c r="AR587" s="3"/>
      <c r="AS587" s="3"/>
      <c r="AT587" s="3"/>
      <c r="AU587" s="3"/>
      <c r="AV587" s="3"/>
      <c r="AW587" s="3"/>
      <c r="AX587" s="3"/>
      <c r="AY587" s="3"/>
      <c r="AZ587" s="3"/>
      <c r="BA587" s="3"/>
      <c r="BB587" s="3"/>
      <c r="BC587" s="3"/>
    </row>
    <row r="588" ht="15.75" customHeight="1">
      <c r="A588" s="12"/>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c r="AA588" s="310"/>
      <c r="AB588" s="310"/>
      <c r="AC588" s="310"/>
      <c r="AD588" s="310"/>
      <c r="AE588" s="310"/>
      <c r="AF588" s="310"/>
      <c r="AG588" s="310"/>
      <c r="AH588" s="310"/>
      <c r="AI588" s="310"/>
      <c r="AJ588" s="310"/>
      <c r="AK588" s="310"/>
      <c r="AL588" s="310"/>
      <c r="AM588" s="310"/>
      <c r="AN588" s="310"/>
      <c r="AO588" s="310"/>
      <c r="AP588" s="12"/>
      <c r="AQ588" s="3"/>
      <c r="AR588" s="3"/>
      <c r="AS588" s="3"/>
      <c r="AT588" s="3"/>
      <c r="AU588" s="3"/>
      <c r="AV588" s="3"/>
      <c r="AW588" s="3"/>
      <c r="AX588" s="3"/>
      <c r="AY588" s="3"/>
      <c r="AZ588" s="3"/>
      <c r="BA588" s="3"/>
      <c r="BB588" s="3"/>
      <c r="BC588" s="3"/>
    </row>
    <row r="589" ht="15.75" customHeight="1">
      <c r="A589" s="12"/>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c r="AA589" s="310"/>
      <c r="AB589" s="310"/>
      <c r="AC589" s="310"/>
      <c r="AD589" s="310"/>
      <c r="AE589" s="310"/>
      <c r="AF589" s="310"/>
      <c r="AG589" s="310"/>
      <c r="AH589" s="310"/>
      <c r="AI589" s="310"/>
      <c r="AJ589" s="310"/>
      <c r="AK589" s="310"/>
      <c r="AL589" s="310"/>
      <c r="AM589" s="310"/>
      <c r="AN589" s="310"/>
      <c r="AO589" s="310"/>
      <c r="AP589" s="12"/>
      <c r="AQ589" s="3"/>
      <c r="AR589" s="3"/>
      <c r="AS589" s="3"/>
      <c r="AT589" s="3"/>
      <c r="AU589" s="3"/>
      <c r="AV589" s="3"/>
      <c r="AW589" s="3"/>
      <c r="AX589" s="3"/>
      <c r="AY589" s="3"/>
      <c r="AZ589" s="3"/>
      <c r="BA589" s="3"/>
      <c r="BB589" s="3"/>
      <c r="BC589" s="3"/>
    </row>
    <row r="590" ht="15.75" customHeight="1">
      <c r="A590" s="12"/>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c r="AA590" s="310"/>
      <c r="AB590" s="310"/>
      <c r="AC590" s="310"/>
      <c r="AD590" s="310"/>
      <c r="AE590" s="310"/>
      <c r="AF590" s="310"/>
      <c r="AG590" s="310"/>
      <c r="AH590" s="310"/>
      <c r="AI590" s="310"/>
      <c r="AJ590" s="310"/>
      <c r="AK590" s="310"/>
      <c r="AL590" s="310"/>
      <c r="AM590" s="310"/>
      <c r="AN590" s="310"/>
      <c r="AO590" s="310"/>
      <c r="AP590" s="12"/>
      <c r="AQ590" s="3"/>
      <c r="AR590" s="3"/>
      <c r="AS590" s="3"/>
      <c r="AT590" s="3"/>
      <c r="AU590" s="3"/>
      <c r="AV590" s="3"/>
      <c r="AW590" s="3"/>
      <c r="AX590" s="3"/>
      <c r="AY590" s="3"/>
      <c r="AZ590" s="3"/>
      <c r="BA590" s="3"/>
      <c r="BB590" s="3"/>
      <c r="BC590" s="3"/>
    </row>
    <row r="591" ht="15.75" customHeight="1">
      <c r="A591" s="12"/>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c r="AA591" s="310"/>
      <c r="AB591" s="310"/>
      <c r="AC591" s="310"/>
      <c r="AD591" s="310"/>
      <c r="AE591" s="310"/>
      <c r="AF591" s="310"/>
      <c r="AG591" s="310"/>
      <c r="AH591" s="310"/>
      <c r="AI591" s="310"/>
      <c r="AJ591" s="310"/>
      <c r="AK591" s="310"/>
      <c r="AL591" s="310"/>
      <c r="AM591" s="310"/>
      <c r="AN591" s="310"/>
      <c r="AO591" s="310"/>
      <c r="AP591" s="12"/>
      <c r="AQ591" s="3"/>
      <c r="AR591" s="3"/>
      <c r="AS591" s="3"/>
      <c r="AT591" s="3"/>
      <c r="AU591" s="3"/>
      <c r="AV591" s="3"/>
      <c r="AW591" s="3"/>
      <c r="AX591" s="3"/>
      <c r="AY591" s="3"/>
      <c r="AZ591" s="3"/>
      <c r="BA591" s="3"/>
      <c r="BB591" s="3"/>
      <c r="BC591" s="3"/>
    </row>
    <row r="592" ht="15.75" customHeight="1">
      <c r="A592" s="12"/>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c r="AA592" s="310"/>
      <c r="AB592" s="310"/>
      <c r="AC592" s="310"/>
      <c r="AD592" s="310"/>
      <c r="AE592" s="310"/>
      <c r="AF592" s="310"/>
      <c r="AG592" s="310"/>
      <c r="AH592" s="310"/>
      <c r="AI592" s="310"/>
      <c r="AJ592" s="310"/>
      <c r="AK592" s="310"/>
      <c r="AL592" s="310"/>
      <c r="AM592" s="310"/>
      <c r="AN592" s="310"/>
      <c r="AO592" s="310"/>
      <c r="AP592" s="12"/>
      <c r="AQ592" s="3"/>
      <c r="AR592" s="3"/>
      <c r="AS592" s="3"/>
      <c r="AT592" s="3"/>
      <c r="AU592" s="3"/>
      <c r="AV592" s="3"/>
      <c r="AW592" s="3"/>
      <c r="AX592" s="3"/>
      <c r="AY592" s="3"/>
      <c r="AZ592" s="3"/>
      <c r="BA592" s="3"/>
      <c r="BB592" s="3"/>
      <c r="BC592" s="3"/>
    </row>
    <row r="593" ht="15.75" customHeight="1">
      <c r="A593" s="12"/>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c r="AA593" s="310"/>
      <c r="AB593" s="310"/>
      <c r="AC593" s="310"/>
      <c r="AD593" s="310"/>
      <c r="AE593" s="310"/>
      <c r="AF593" s="310"/>
      <c r="AG593" s="310"/>
      <c r="AH593" s="310"/>
      <c r="AI593" s="310"/>
      <c r="AJ593" s="310"/>
      <c r="AK593" s="310"/>
      <c r="AL593" s="310"/>
      <c r="AM593" s="310"/>
      <c r="AN593" s="310"/>
      <c r="AO593" s="310"/>
      <c r="AP593" s="12"/>
      <c r="AQ593" s="3"/>
      <c r="AR593" s="3"/>
      <c r="AS593" s="3"/>
      <c r="AT593" s="3"/>
      <c r="AU593" s="3"/>
      <c r="AV593" s="3"/>
      <c r="AW593" s="3"/>
      <c r="AX593" s="3"/>
      <c r="AY593" s="3"/>
      <c r="AZ593" s="3"/>
      <c r="BA593" s="3"/>
      <c r="BB593" s="3"/>
      <c r="BC593" s="3"/>
    </row>
    <row r="594" ht="15.75" customHeight="1">
      <c r="A594" s="12"/>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c r="AA594" s="310"/>
      <c r="AB594" s="310"/>
      <c r="AC594" s="310"/>
      <c r="AD594" s="310"/>
      <c r="AE594" s="310"/>
      <c r="AF594" s="310"/>
      <c r="AG594" s="310"/>
      <c r="AH594" s="310"/>
      <c r="AI594" s="310"/>
      <c r="AJ594" s="310"/>
      <c r="AK594" s="310"/>
      <c r="AL594" s="310"/>
      <c r="AM594" s="310"/>
      <c r="AN594" s="310"/>
      <c r="AO594" s="310"/>
      <c r="AP594" s="12"/>
      <c r="AQ594" s="3"/>
      <c r="AR594" s="3"/>
      <c r="AS594" s="3"/>
      <c r="AT594" s="3"/>
      <c r="AU594" s="3"/>
      <c r="AV594" s="3"/>
      <c r="AW594" s="3"/>
      <c r="AX594" s="3"/>
      <c r="AY594" s="3"/>
      <c r="AZ594" s="3"/>
      <c r="BA594" s="3"/>
      <c r="BB594" s="3"/>
      <c r="BC594" s="3"/>
    </row>
    <row r="595" ht="15.75" customHeight="1">
      <c r="A595" s="12"/>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c r="AA595" s="310"/>
      <c r="AB595" s="310"/>
      <c r="AC595" s="310"/>
      <c r="AD595" s="310"/>
      <c r="AE595" s="310"/>
      <c r="AF595" s="310"/>
      <c r="AG595" s="310"/>
      <c r="AH595" s="310"/>
      <c r="AI595" s="310"/>
      <c r="AJ595" s="310"/>
      <c r="AK595" s="310"/>
      <c r="AL595" s="310"/>
      <c r="AM595" s="310"/>
      <c r="AN595" s="310"/>
      <c r="AO595" s="310"/>
      <c r="AP595" s="12"/>
      <c r="AQ595" s="3"/>
      <c r="AR595" s="3"/>
      <c r="AS595" s="3"/>
      <c r="AT595" s="3"/>
      <c r="AU595" s="3"/>
      <c r="AV595" s="3"/>
      <c r="AW595" s="3"/>
      <c r="AX595" s="3"/>
      <c r="AY595" s="3"/>
      <c r="AZ595" s="3"/>
      <c r="BA595" s="3"/>
      <c r="BB595" s="3"/>
      <c r="BC595" s="3"/>
    </row>
    <row r="596" ht="15.75" customHeight="1">
      <c r="A596" s="12"/>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c r="AA596" s="310"/>
      <c r="AB596" s="310"/>
      <c r="AC596" s="310"/>
      <c r="AD596" s="310"/>
      <c r="AE596" s="310"/>
      <c r="AF596" s="310"/>
      <c r="AG596" s="310"/>
      <c r="AH596" s="310"/>
      <c r="AI596" s="310"/>
      <c r="AJ596" s="310"/>
      <c r="AK596" s="310"/>
      <c r="AL596" s="310"/>
      <c r="AM596" s="310"/>
      <c r="AN596" s="310"/>
      <c r="AO596" s="310"/>
      <c r="AP596" s="12"/>
      <c r="AQ596" s="3"/>
      <c r="AR596" s="3"/>
      <c r="AS596" s="3"/>
      <c r="AT596" s="3"/>
      <c r="AU596" s="3"/>
      <c r="AV596" s="3"/>
      <c r="AW596" s="3"/>
      <c r="AX596" s="3"/>
      <c r="AY596" s="3"/>
      <c r="AZ596" s="3"/>
      <c r="BA596" s="3"/>
      <c r="BB596" s="3"/>
      <c r="BC596" s="3"/>
    </row>
    <row r="597" ht="15.75" customHeight="1">
      <c r="A597" s="12"/>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c r="AA597" s="310"/>
      <c r="AB597" s="310"/>
      <c r="AC597" s="310"/>
      <c r="AD597" s="310"/>
      <c r="AE597" s="310"/>
      <c r="AF597" s="310"/>
      <c r="AG597" s="310"/>
      <c r="AH597" s="310"/>
      <c r="AI597" s="310"/>
      <c r="AJ597" s="310"/>
      <c r="AK597" s="310"/>
      <c r="AL597" s="310"/>
      <c r="AM597" s="310"/>
      <c r="AN597" s="310"/>
      <c r="AO597" s="310"/>
      <c r="AP597" s="12"/>
      <c r="AQ597" s="3"/>
      <c r="AR597" s="3"/>
      <c r="AS597" s="3"/>
      <c r="AT597" s="3"/>
      <c r="AU597" s="3"/>
      <c r="AV597" s="3"/>
      <c r="AW597" s="3"/>
      <c r="AX597" s="3"/>
      <c r="AY597" s="3"/>
      <c r="AZ597" s="3"/>
      <c r="BA597" s="3"/>
      <c r="BB597" s="3"/>
      <c r="BC597" s="3"/>
    </row>
    <row r="598" ht="15.75" customHeight="1">
      <c r="A598" s="12"/>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c r="AA598" s="310"/>
      <c r="AB598" s="310"/>
      <c r="AC598" s="310"/>
      <c r="AD598" s="310"/>
      <c r="AE598" s="310"/>
      <c r="AF598" s="310"/>
      <c r="AG598" s="310"/>
      <c r="AH598" s="310"/>
      <c r="AI598" s="310"/>
      <c r="AJ598" s="310"/>
      <c r="AK598" s="310"/>
      <c r="AL598" s="310"/>
      <c r="AM598" s="310"/>
      <c r="AN598" s="310"/>
      <c r="AO598" s="310"/>
      <c r="AP598" s="12"/>
      <c r="AQ598" s="3"/>
      <c r="AR598" s="3"/>
      <c r="AS598" s="3"/>
      <c r="AT598" s="3"/>
      <c r="AU598" s="3"/>
      <c r="AV598" s="3"/>
      <c r="AW598" s="3"/>
      <c r="AX598" s="3"/>
      <c r="AY598" s="3"/>
      <c r="AZ598" s="3"/>
      <c r="BA598" s="3"/>
      <c r="BB598" s="3"/>
      <c r="BC598" s="3"/>
    </row>
    <row r="599" ht="15.75" customHeight="1">
      <c r="A599" s="12"/>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c r="AA599" s="310"/>
      <c r="AB599" s="310"/>
      <c r="AC599" s="310"/>
      <c r="AD599" s="310"/>
      <c r="AE599" s="310"/>
      <c r="AF599" s="310"/>
      <c r="AG599" s="310"/>
      <c r="AH599" s="310"/>
      <c r="AI599" s="310"/>
      <c r="AJ599" s="310"/>
      <c r="AK599" s="310"/>
      <c r="AL599" s="310"/>
      <c r="AM599" s="310"/>
      <c r="AN599" s="310"/>
      <c r="AO599" s="310"/>
      <c r="AP599" s="12"/>
      <c r="AQ599" s="3"/>
      <c r="AR599" s="3"/>
      <c r="AS599" s="3"/>
      <c r="AT599" s="3"/>
      <c r="AU599" s="3"/>
      <c r="AV599" s="3"/>
      <c r="AW599" s="3"/>
      <c r="AX599" s="3"/>
      <c r="AY599" s="3"/>
      <c r="AZ599" s="3"/>
      <c r="BA599" s="3"/>
      <c r="BB599" s="3"/>
      <c r="BC599" s="3"/>
    </row>
    <row r="600" ht="15.75" customHeight="1">
      <c r="A600" s="12"/>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c r="AA600" s="310"/>
      <c r="AB600" s="310"/>
      <c r="AC600" s="310"/>
      <c r="AD600" s="310"/>
      <c r="AE600" s="310"/>
      <c r="AF600" s="310"/>
      <c r="AG600" s="310"/>
      <c r="AH600" s="310"/>
      <c r="AI600" s="310"/>
      <c r="AJ600" s="310"/>
      <c r="AK600" s="310"/>
      <c r="AL600" s="310"/>
      <c r="AM600" s="310"/>
      <c r="AN600" s="310"/>
      <c r="AO600" s="310"/>
      <c r="AP600" s="12"/>
      <c r="AQ600" s="3"/>
      <c r="AR600" s="3"/>
      <c r="AS600" s="3"/>
      <c r="AT600" s="3"/>
      <c r="AU600" s="3"/>
      <c r="AV600" s="3"/>
      <c r="AW600" s="3"/>
      <c r="AX600" s="3"/>
      <c r="AY600" s="3"/>
      <c r="AZ600" s="3"/>
      <c r="BA600" s="3"/>
      <c r="BB600" s="3"/>
      <c r="BC600" s="3"/>
    </row>
    <row r="601" ht="15.75" customHeight="1">
      <c r="A601" s="12"/>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c r="AA601" s="310"/>
      <c r="AB601" s="310"/>
      <c r="AC601" s="310"/>
      <c r="AD601" s="310"/>
      <c r="AE601" s="310"/>
      <c r="AF601" s="310"/>
      <c r="AG601" s="310"/>
      <c r="AH601" s="310"/>
      <c r="AI601" s="310"/>
      <c r="AJ601" s="310"/>
      <c r="AK601" s="310"/>
      <c r="AL601" s="310"/>
      <c r="AM601" s="310"/>
      <c r="AN601" s="310"/>
      <c r="AO601" s="310"/>
      <c r="AP601" s="12"/>
      <c r="AQ601" s="3"/>
      <c r="AR601" s="3"/>
      <c r="AS601" s="3"/>
      <c r="AT601" s="3"/>
      <c r="AU601" s="3"/>
      <c r="AV601" s="3"/>
      <c r="AW601" s="3"/>
      <c r="AX601" s="3"/>
      <c r="AY601" s="3"/>
      <c r="AZ601" s="3"/>
      <c r="BA601" s="3"/>
      <c r="BB601" s="3"/>
      <c r="BC601" s="3"/>
    </row>
    <row r="602" ht="15.75" customHeight="1">
      <c r="A602" s="12"/>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c r="AA602" s="310"/>
      <c r="AB602" s="310"/>
      <c r="AC602" s="310"/>
      <c r="AD602" s="310"/>
      <c r="AE602" s="310"/>
      <c r="AF602" s="310"/>
      <c r="AG602" s="310"/>
      <c r="AH602" s="310"/>
      <c r="AI602" s="310"/>
      <c r="AJ602" s="310"/>
      <c r="AK602" s="310"/>
      <c r="AL602" s="310"/>
      <c r="AM602" s="310"/>
      <c r="AN602" s="310"/>
      <c r="AO602" s="310"/>
      <c r="AP602" s="12"/>
      <c r="AQ602" s="3"/>
      <c r="AR602" s="3"/>
      <c r="AS602" s="3"/>
      <c r="AT602" s="3"/>
      <c r="AU602" s="3"/>
      <c r="AV602" s="3"/>
      <c r="AW602" s="3"/>
      <c r="AX602" s="3"/>
      <c r="AY602" s="3"/>
      <c r="AZ602" s="3"/>
      <c r="BA602" s="3"/>
      <c r="BB602" s="3"/>
      <c r="BC602" s="3"/>
    </row>
    <row r="603" ht="15.75" customHeight="1">
      <c r="A603" s="12"/>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c r="AA603" s="310"/>
      <c r="AB603" s="310"/>
      <c r="AC603" s="310"/>
      <c r="AD603" s="310"/>
      <c r="AE603" s="310"/>
      <c r="AF603" s="310"/>
      <c r="AG603" s="310"/>
      <c r="AH603" s="310"/>
      <c r="AI603" s="310"/>
      <c r="AJ603" s="310"/>
      <c r="AK603" s="310"/>
      <c r="AL603" s="310"/>
      <c r="AM603" s="310"/>
      <c r="AN603" s="310"/>
      <c r="AO603" s="310"/>
      <c r="AP603" s="12"/>
      <c r="AQ603" s="3"/>
      <c r="AR603" s="3"/>
      <c r="AS603" s="3"/>
      <c r="AT603" s="3"/>
      <c r="AU603" s="3"/>
      <c r="AV603" s="3"/>
      <c r="AW603" s="3"/>
      <c r="AX603" s="3"/>
      <c r="AY603" s="3"/>
      <c r="AZ603" s="3"/>
      <c r="BA603" s="3"/>
      <c r="BB603" s="3"/>
      <c r="BC603" s="3"/>
    </row>
    <row r="604" ht="15.75" customHeight="1">
      <c r="A604" s="12"/>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c r="AA604" s="310"/>
      <c r="AB604" s="310"/>
      <c r="AC604" s="310"/>
      <c r="AD604" s="310"/>
      <c r="AE604" s="310"/>
      <c r="AF604" s="310"/>
      <c r="AG604" s="310"/>
      <c r="AH604" s="310"/>
      <c r="AI604" s="310"/>
      <c r="AJ604" s="310"/>
      <c r="AK604" s="310"/>
      <c r="AL604" s="310"/>
      <c r="AM604" s="310"/>
      <c r="AN604" s="310"/>
      <c r="AO604" s="310"/>
      <c r="AP604" s="12"/>
      <c r="AQ604" s="3"/>
      <c r="AR604" s="3"/>
      <c r="AS604" s="3"/>
      <c r="AT604" s="3"/>
      <c r="AU604" s="3"/>
      <c r="AV604" s="3"/>
      <c r="AW604" s="3"/>
      <c r="AX604" s="3"/>
      <c r="AY604" s="3"/>
      <c r="AZ604" s="3"/>
      <c r="BA604" s="3"/>
      <c r="BB604" s="3"/>
      <c r="BC604" s="3"/>
    </row>
    <row r="605" ht="15.75" customHeight="1">
      <c r="A605" s="12"/>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c r="AA605" s="310"/>
      <c r="AB605" s="310"/>
      <c r="AC605" s="310"/>
      <c r="AD605" s="310"/>
      <c r="AE605" s="310"/>
      <c r="AF605" s="310"/>
      <c r="AG605" s="310"/>
      <c r="AH605" s="310"/>
      <c r="AI605" s="310"/>
      <c r="AJ605" s="310"/>
      <c r="AK605" s="310"/>
      <c r="AL605" s="310"/>
      <c r="AM605" s="310"/>
      <c r="AN605" s="310"/>
      <c r="AO605" s="310"/>
      <c r="AP605" s="12"/>
      <c r="AQ605" s="3"/>
      <c r="AR605" s="3"/>
      <c r="AS605" s="3"/>
      <c r="AT605" s="3"/>
      <c r="AU605" s="3"/>
      <c r="AV605" s="3"/>
      <c r="AW605" s="3"/>
      <c r="AX605" s="3"/>
      <c r="AY605" s="3"/>
      <c r="AZ605" s="3"/>
      <c r="BA605" s="3"/>
      <c r="BB605" s="3"/>
      <c r="BC605" s="3"/>
    </row>
    <row r="606" ht="15.75" customHeight="1">
      <c r="A606" s="12"/>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c r="AA606" s="310"/>
      <c r="AB606" s="310"/>
      <c r="AC606" s="310"/>
      <c r="AD606" s="310"/>
      <c r="AE606" s="310"/>
      <c r="AF606" s="310"/>
      <c r="AG606" s="310"/>
      <c r="AH606" s="310"/>
      <c r="AI606" s="310"/>
      <c r="AJ606" s="310"/>
      <c r="AK606" s="310"/>
      <c r="AL606" s="310"/>
      <c r="AM606" s="310"/>
      <c r="AN606" s="310"/>
      <c r="AO606" s="310"/>
      <c r="AP606" s="12"/>
      <c r="AQ606" s="3"/>
      <c r="AR606" s="3"/>
      <c r="AS606" s="3"/>
      <c r="AT606" s="3"/>
      <c r="AU606" s="3"/>
      <c r="AV606" s="3"/>
      <c r="AW606" s="3"/>
      <c r="AX606" s="3"/>
      <c r="AY606" s="3"/>
      <c r="AZ606" s="3"/>
      <c r="BA606" s="3"/>
      <c r="BB606" s="3"/>
      <c r="BC606" s="3"/>
    </row>
    <row r="607" ht="15.75" customHeight="1">
      <c r="A607" s="12"/>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c r="AA607" s="310"/>
      <c r="AB607" s="310"/>
      <c r="AC607" s="310"/>
      <c r="AD607" s="310"/>
      <c r="AE607" s="310"/>
      <c r="AF607" s="310"/>
      <c r="AG607" s="310"/>
      <c r="AH607" s="310"/>
      <c r="AI607" s="310"/>
      <c r="AJ607" s="310"/>
      <c r="AK607" s="310"/>
      <c r="AL607" s="310"/>
      <c r="AM607" s="310"/>
      <c r="AN607" s="310"/>
      <c r="AO607" s="310"/>
      <c r="AP607" s="12"/>
      <c r="AQ607" s="3"/>
      <c r="AR607" s="3"/>
      <c r="AS607" s="3"/>
      <c r="AT607" s="3"/>
      <c r="AU607" s="3"/>
      <c r="AV607" s="3"/>
      <c r="AW607" s="3"/>
      <c r="AX607" s="3"/>
      <c r="AY607" s="3"/>
      <c r="AZ607" s="3"/>
      <c r="BA607" s="3"/>
      <c r="BB607" s="3"/>
      <c r="BC607" s="3"/>
    </row>
    <row r="608" ht="15.75" customHeight="1">
      <c r="A608" s="12"/>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c r="AA608" s="310"/>
      <c r="AB608" s="310"/>
      <c r="AC608" s="310"/>
      <c r="AD608" s="310"/>
      <c r="AE608" s="310"/>
      <c r="AF608" s="310"/>
      <c r="AG608" s="310"/>
      <c r="AH608" s="310"/>
      <c r="AI608" s="310"/>
      <c r="AJ608" s="310"/>
      <c r="AK608" s="310"/>
      <c r="AL608" s="310"/>
      <c r="AM608" s="310"/>
      <c r="AN608" s="310"/>
      <c r="AO608" s="310"/>
      <c r="AP608" s="12"/>
      <c r="AQ608" s="3"/>
      <c r="AR608" s="3"/>
      <c r="AS608" s="3"/>
      <c r="AT608" s="3"/>
      <c r="AU608" s="3"/>
      <c r="AV608" s="3"/>
      <c r="AW608" s="3"/>
      <c r="AX608" s="3"/>
      <c r="AY608" s="3"/>
      <c r="AZ608" s="3"/>
      <c r="BA608" s="3"/>
      <c r="BB608" s="3"/>
      <c r="BC608" s="3"/>
    </row>
    <row r="609" ht="15.75" customHeight="1">
      <c r="A609" s="12"/>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c r="AA609" s="310"/>
      <c r="AB609" s="310"/>
      <c r="AC609" s="310"/>
      <c r="AD609" s="310"/>
      <c r="AE609" s="310"/>
      <c r="AF609" s="310"/>
      <c r="AG609" s="310"/>
      <c r="AH609" s="310"/>
      <c r="AI609" s="310"/>
      <c r="AJ609" s="310"/>
      <c r="AK609" s="310"/>
      <c r="AL609" s="310"/>
      <c r="AM609" s="310"/>
      <c r="AN609" s="310"/>
      <c r="AO609" s="310"/>
      <c r="AP609" s="12"/>
      <c r="AQ609" s="3"/>
      <c r="AR609" s="3"/>
      <c r="AS609" s="3"/>
      <c r="AT609" s="3"/>
      <c r="AU609" s="3"/>
      <c r="AV609" s="3"/>
      <c r="AW609" s="3"/>
      <c r="AX609" s="3"/>
      <c r="AY609" s="3"/>
      <c r="AZ609" s="3"/>
      <c r="BA609" s="3"/>
      <c r="BB609" s="3"/>
      <c r="BC609" s="3"/>
    </row>
    <row r="610" ht="15.75" customHeight="1">
      <c r="A610" s="12"/>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c r="AA610" s="310"/>
      <c r="AB610" s="310"/>
      <c r="AC610" s="310"/>
      <c r="AD610" s="310"/>
      <c r="AE610" s="310"/>
      <c r="AF610" s="310"/>
      <c r="AG610" s="310"/>
      <c r="AH610" s="310"/>
      <c r="AI610" s="310"/>
      <c r="AJ610" s="310"/>
      <c r="AK610" s="310"/>
      <c r="AL610" s="310"/>
      <c r="AM610" s="310"/>
      <c r="AN610" s="310"/>
      <c r="AO610" s="310"/>
      <c r="AP610" s="12"/>
      <c r="AQ610" s="3"/>
      <c r="AR610" s="3"/>
      <c r="AS610" s="3"/>
      <c r="AT610" s="3"/>
      <c r="AU610" s="3"/>
      <c r="AV610" s="3"/>
      <c r="AW610" s="3"/>
      <c r="AX610" s="3"/>
      <c r="AY610" s="3"/>
      <c r="AZ610" s="3"/>
      <c r="BA610" s="3"/>
      <c r="BB610" s="3"/>
      <c r="BC610" s="3"/>
    </row>
    <row r="611" ht="15.75" customHeight="1">
      <c r="A611" s="12"/>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c r="AA611" s="310"/>
      <c r="AB611" s="310"/>
      <c r="AC611" s="310"/>
      <c r="AD611" s="310"/>
      <c r="AE611" s="310"/>
      <c r="AF611" s="310"/>
      <c r="AG611" s="310"/>
      <c r="AH611" s="310"/>
      <c r="AI611" s="310"/>
      <c r="AJ611" s="310"/>
      <c r="AK611" s="310"/>
      <c r="AL611" s="310"/>
      <c r="AM611" s="310"/>
      <c r="AN611" s="310"/>
      <c r="AO611" s="310"/>
      <c r="AP611" s="12"/>
      <c r="AQ611" s="3"/>
      <c r="AR611" s="3"/>
      <c r="AS611" s="3"/>
      <c r="AT611" s="3"/>
      <c r="AU611" s="3"/>
      <c r="AV611" s="3"/>
      <c r="AW611" s="3"/>
      <c r="AX611" s="3"/>
      <c r="AY611" s="3"/>
      <c r="AZ611" s="3"/>
      <c r="BA611" s="3"/>
      <c r="BB611" s="3"/>
      <c r="BC611" s="3"/>
    </row>
    <row r="612" ht="15.75" customHeight="1">
      <c r="A612" s="12"/>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c r="AA612" s="310"/>
      <c r="AB612" s="310"/>
      <c r="AC612" s="310"/>
      <c r="AD612" s="310"/>
      <c r="AE612" s="310"/>
      <c r="AF612" s="310"/>
      <c r="AG612" s="310"/>
      <c r="AH612" s="310"/>
      <c r="AI612" s="310"/>
      <c r="AJ612" s="310"/>
      <c r="AK612" s="310"/>
      <c r="AL612" s="310"/>
      <c r="AM612" s="310"/>
      <c r="AN612" s="310"/>
      <c r="AO612" s="310"/>
      <c r="AP612" s="12"/>
      <c r="AQ612" s="3"/>
      <c r="AR612" s="3"/>
      <c r="AS612" s="3"/>
      <c r="AT612" s="3"/>
      <c r="AU612" s="3"/>
      <c r="AV612" s="3"/>
      <c r="AW612" s="3"/>
      <c r="AX612" s="3"/>
      <c r="AY612" s="3"/>
      <c r="AZ612" s="3"/>
      <c r="BA612" s="3"/>
      <c r="BB612" s="3"/>
      <c r="BC612" s="3"/>
    </row>
    <row r="613" ht="15.75" customHeight="1">
      <c r="A613" s="12"/>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c r="AA613" s="310"/>
      <c r="AB613" s="310"/>
      <c r="AC613" s="310"/>
      <c r="AD613" s="310"/>
      <c r="AE613" s="310"/>
      <c r="AF613" s="310"/>
      <c r="AG613" s="310"/>
      <c r="AH613" s="310"/>
      <c r="AI613" s="310"/>
      <c r="AJ613" s="310"/>
      <c r="AK613" s="310"/>
      <c r="AL613" s="310"/>
      <c r="AM613" s="310"/>
      <c r="AN613" s="310"/>
      <c r="AO613" s="310"/>
      <c r="AP613" s="12"/>
      <c r="AQ613" s="3"/>
      <c r="AR613" s="3"/>
      <c r="AS613" s="3"/>
      <c r="AT613" s="3"/>
      <c r="AU613" s="3"/>
      <c r="AV613" s="3"/>
      <c r="AW613" s="3"/>
      <c r="AX613" s="3"/>
      <c r="AY613" s="3"/>
      <c r="AZ613" s="3"/>
      <c r="BA613" s="3"/>
      <c r="BB613" s="3"/>
      <c r="BC613" s="3"/>
    </row>
    <row r="614" ht="15.75" customHeight="1">
      <c r="A614" s="12"/>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c r="AA614" s="310"/>
      <c r="AB614" s="310"/>
      <c r="AC614" s="310"/>
      <c r="AD614" s="310"/>
      <c r="AE614" s="310"/>
      <c r="AF614" s="310"/>
      <c r="AG614" s="310"/>
      <c r="AH614" s="310"/>
      <c r="AI614" s="310"/>
      <c r="AJ614" s="310"/>
      <c r="AK614" s="310"/>
      <c r="AL614" s="310"/>
      <c r="AM614" s="310"/>
      <c r="AN614" s="310"/>
      <c r="AO614" s="310"/>
      <c r="AP614" s="12"/>
      <c r="AQ614" s="3"/>
      <c r="AR614" s="3"/>
      <c r="AS614" s="3"/>
      <c r="AT614" s="3"/>
      <c r="AU614" s="3"/>
      <c r="AV614" s="3"/>
      <c r="AW614" s="3"/>
      <c r="AX614" s="3"/>
      <c r="AY614" s="3"/>
      <c r="AZ614" s="3"/>
      <c r="BA614" s="3"/>
      <c r="BB614" s="3"/>
      <c r="BC614" s="3"/>
    </row>
    <row r="615" ht="15.75" customHeight="1">
      <c r="A615" s="12"/>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c r="AA615" s="310"/>
      <c r="AB615" s="310"/>
      <c r="AC615" s="310"/>
      <c r="AD615" s="310"/>
      <c r="AE615" s="310"/>
      <c r="AF615" s="310"/>
      <c r="AG615" s="310"/>
      <c r="AH615" s="310"/>
      <c r="AI615" s="310"/>
      <c r="AJ615" s="310"/>
      <c r="AK615" s="310"/>
      <c r="AL615" s="310"/>
      <c r="AM615" s="310"/>
      <c r="AN615" s="310"/>
      <c r="AO615" s="310"/>
      <c r="AP615" s="12"/>
      <c r="AQ615" s="3"/>
      <c r="AR615" s="3"/>
      <c r="AS615" s="3"/>
      <c r="AT615" s="3"/>
      <c r="AU615" s="3"/>
      <c r="AV615" s="3"/>
      <c r="AW615" s="3"/>
      <c r="AX615" s="3"/>
      <c r="AY615" s="3"/>
      <c r="AZ615" s="3"/>
      <c r="BA615" s="3"/>
      <c r="BB615" s="3"/>
      <c r="BC615" s="3"/>
    </row>
    <row r="616" ht="15.75" customHeight="1">
      <c r="A616" s="12"/>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c r="AA616" s="310"/>
      <c r="AB616" s="310"/>
      <c r="AC616" s="310"/>
      <c r="AD616" s="310"/>
      <c r="AE616" s="310"/>
      <c r="AF616" s="310"/>
      <c r="AG616" s="310"/>
      <c r="AH616" s="310"/>
      <c r="AI616" s="310"/>
      <c r="AJ616" s="310"/>
      <c r="AK616" s="310"/>
      <c r="AL616" s="310"/>
      <c r="AM616" s="310"/>
      <c r="AN616" s="310"/>
      <c r="AO616" s="310"/>
      <c r="AP616" s="12"/>
      <c r="AQ616" s="3"/>
      <c r="AR616" s="3"/>
      <c r="AS616" s="3"/>
      <c r="AT616" s="3"/>
      <c r="AU616" s="3"/>
      <c r="AV616" s="3"/>
      <c r="AW616" s="3"/>
      <c r="AX616" s="3"/>
      <c r="AY616" s="3"/>
      <c r="AZ616" s="3"/>
      <c r="BA616" s="3"/>
      <c r="BB616" s="3"/>
      <c r="BC616" s="3"/>
    </row>
    <row r="617" ht="15.75" customHeight="1">
      <c r="A617" s="12"/>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c r="AA617" s="310"/>
      <c r="AB617" s="310"/>
      <c r="AC617" s="310"/>
      <c r="AD617" s="310"/>
      <c r="AE617" s="310"/>
      <c r="AF617" s="310"/>
      <c r="AG617" s="310"/>
      <c r="AH617" s="310"/>
      <c r="AI617" s="310"/>
      <c r="AJ617" s="310"/>
      <c r="AK617" s="310"/>
      <c r="AL617" s="310"/>
      <c r="AM617" s="310"/>
      <c r="AN617" s="310"/>
      <c r="AO617" s="310"/>
      <c r="AP617" s="12"/>
      <c r="AQ617" s="3"/>
      <c r="AR617" s="3"/>
      <c r="AS617" s="3"/>
      <c r="AT617" s="3"/>
      <c r="AU617" s="3"/>
      <c r="AV617" s="3"/>
      <c r="AW617" s="3"/>
      <c r="AX617" s="3"/>
      <c r="AY617" s="3"/>
      <c r="AZ617" s="3"/>
      <c r="BA617" s="3"/>
      <c r="BB617" s="3"/>
      <c r="BC617" s="3"/>
    </row>
    <row r="618" ht="15.75" customHeight="1">
      <c r="A618" s="12"/>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c r="AA618" s="310"/>
      <c r="AB618" s="310"/>
      <c r="AC618" s="310"/>
      <c r="AD618" s="310"/>
      <c r="AE618" s="310"/>
      <c r="AF618" s="310"/>
      <c r="AG618" s="310"/>
      <c r="AH618" s="310"/>
      <c r="AI618" s="310"/>
      <c r="AJ618" s="310"/>
      <c r="AK618" s="310"/>
      <c r="AL618" s="310"/>
      <c r="AM618" s="310"/>
      <c r="AN618" s="310"/>
      <c r="AO618" s="310"/>
      <c r="AP618" s="12"/>
      <c r="AQ618" s="3"/>
      <c r="AR618" s="3"/>
      <c r="AS618" s="3"/>
      <c r="AT618" s="3"/>
      <c r="AU618" s="3"/>
      <c r="AV618" s="3"/>
      <c r="AW618" s="3"/>
      <c r="AX618" s="3"/>
      <c r="AY618" s="3"/>
      <c r="AZ618" s="3"/>
      <c r="BA618" s="3"/>
      <c r="BB618" s="3"/>
      <c r="BC618" s="3"/>
    </row>
    <row r="619" ht="15.75" customHeight="1">
      <c r="A619" s="12"/>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c r="AA619" s="310"/>
      <c r="AB619" s="310"/>
      <c r="AC619" s="310"/>
      <c r="AD619" s="310"/>
      <c r="AE619" s="310"/>
      <c r="AF619" s="310"/>
      <c r="AG619" s="310"/>
      <c r="AH619" s="310"/>
      <c r="AI619" s="310"/>
      <c r="AJ619" s="310"/>
      <c r="AK619" s="310"/>
      <c r="AL619" s="310"/>
      <c r="AM619" s="310"/>
      <c r="AN619" s="310"/>
      <c r="AO619" s="310"/>
      <c r="AP619" s="12"/>
      <c r="AQ619" s="3"/>
      <c r="AR619" s="3"/>
      <c r="AS619" s="3"/>
      <c r="AT619" s="3"/>
      <c r="AU619" s="3"/>
      <c r="AV619" s="3"/>
      <c r="AW619" s="3"/>
      <c r="AX619" s="3"/>
      <c r="AY619" s="3"/>
      <c r="AZ619" s="3"/>
      <c r="BA619" s="3"/>
      <c r="BB619" s="3"/>
      <c r="BC619" s="3"/>
    </row>
    <row r="620" ht="15.75" customHeight="1">
      <c r="A620" s="12"/>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c r="AA620" s="310"/>
      <c r="AB620" s="310"/>
      <c r="AC620" s="310"/>
      <c r="AD620" s="310"/>
      <c r="AE620" s="310"/>
      <c r="AF620" s="310"/>
      <c r="AG620" s="310"/>
      <c r="AH620" s="310"/>
      <c r="AI620" s="310"/>
      <c r="AJ620" s="310"/>
      <c r="AK620" s="310"/>
      <c r="AL620" s="310"/>
      <c r="AM620" s="310"/>
      <c r="AN620" s="310"/>
      <c r="AO620" s="310"/>
      <c r="AP620" s="12"/>
      <c r="AQ620" s="3"/>
      <c r="AR620" s="3"/>
      <c r="AS620" s="3"/>
      <c r="AT620" s="3"/>
      <c r="AU620" s="3"/>
      <c r="AV620" s="3"/>
      <c r="AW620" s="3"/>
      <c r="AX620" s="3"/>
      <c r="AY620" s="3"/>
      <c r="AZ620" s="3"/>
      <c r="BA620" s="3"/>
      <c r="BB620" s="3"/>
      <c r="BC620" s="3"/>
    </row>
    <row r="621" ht="15.75" customHeight="1">
      <c r="A621" s="12"/>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c r="AA621" s="310"/>
      <c r="AB621" s="310"/>
      <c r="AC621" s="310"/>
      <c r="AD621" s="310"/>
      <c r="AE621" s="310"/>
      <c r="AF621" s="310"/>
      <c r="AG621" s="310"/>
      <c r="AH621" s="310"/>
      <c r="AI621" s="310"/>
      <c r="AJ621" s="310"/>
      <c r="AK621" s="310"/>
      <c r="AL621" s="310"/>
      <c r="AM621" s="310"/>
      <c r="AN621" s="310"/>
      <c r="AO621" s="310"/>
      <c r="AP621" s="12"/>
      <c r="AQ621" s="3"/>
      <c r="AR621" s="3"/>
      <c r="AS621" s="3"/>
      <c r="AT621" s="3"/>
      <c r="AU621" s="3"/>
      <c r="AV621" s="3"/>
      <c r="AW621" s="3"/>
      <c r="AX621" s="3"/>
      <c r="AY621" s="3"/>
      <c r="AZ621" s="3"/>
      <c r="BA621" s="3"/>
      <c r="BB621" s="3"/>
      <c r="BC621" s="3"/>
    </row>
    <row r="622" ht="15.75" customHeight="1">
      <c r="A622" s="12"/>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c r="AA622" s="310"/>
      <c r="AB622" s="310"/>
      <c r="AC622" s="310"/>
      <c r="AD622" s="310"/>
      <c r="AE622" s="310"/>
      <c r="AF622" s="310"/>
      <c r="AG622" s="310"/>
      <c r="AH622" s="310"/>
      <c r="AI622" s="310"/>
      <c r="AJ622" s="310"/>
      <c r="AK622" s="310"/>
      <c r="AL622" s="310"/>
      <c r="AM622" s="310"/>
      <c r="AN622" s="310"/>
      <c r="AO622" s="310"/>
      <c r="AP622" s="12"/>
      <c r="AQ622" s="3"/>
      <c r="AR622" s="3"/>
      <c r="AS622" s="3"/>
      <c r="AT622" s="3"/>
      <c r="AU622" s="3"/>
      <c r="AV622" s="3"/>
      <c r="AW622" s="3"/>
      <c r="AX622" s="3"/>
      <c r="AY622" s="3"/>
      <c r="AZ622" s="3"/>
      <c r="BA622" s="3"/>
      <c r="BB622" s="3"/>
      <c r="BC622" s="3"/>
    </row>
    <row r="623" ht="15.75" customHeight="1">
      <c r="A623" s="12"/>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c r="AA623" s="310"/>
      <c r="AB623" s="310"/>
      <c r="AC623" s="310"/>
      <c r="AD623" s="310"/>
      <c r="AE623" s="310"/>
      <c r="AF623" s="310"/>
      <c r="AG623" s="310"/>
      <c r="AH623" s="310"/>
      <c r="AI623" s="310"/>
      <c r="AJ623" s="310"/>
      <c r="AK623" s="310"/>
      <c r="AL623" s="310"/>
      <c r="AM623" s="310"/>
      <c r="AN623" s="310"/>
      <c r="AO623" s="310"/>
      <c r="AP623" s="12"/>
      <c r="AQ623" s="3"/>
      <c r="AR623" s="3"/>
      <c r="AS623" s="3"/>
      <c r="AT623" s="3"/>
      <c r="AU623" s="3"/>
      <c r="AV623" s="3"/>
      <c r="AW623" s="3"/>
      <c r="AX623" s="3"/>
      <c r="AY623" s="3"/>
      <c r="AZ623" s="3"/>
      <c r="BA623" s="3"/>
      <c r="BB623" s="3"/>
      <c r="BC623" s="3"/>
    </row>
    <row r="624" ht="15.75" customHeight="1">
      <c r="A624" s="12"/>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c r="AA624" s="310"/>
      <c r="AB624" s="310"/>
      <c r="AC624" s="310"/>
      <c r="AD624" s="310"/>
      <c r="AE624" s="310"/>
      <c r="AF624" s="310"/>
      <c r="AG624" s="310"/>
      <c r="AH624" s="310"/>
      <c r="AI624" s="310"/>
      <c r="AJ624" s="310"/>
      <c r="AK624" s="310"/>
      <c r="AL624" s="310"/>
      <c r="AM624" s="310"/>
      <c r="AN624" s="310"/>
      <c r="AO624" s="310"/>
      <c r="AP624" s="12"/>
      <c r="AQ624" s="3"/>
      <c r="AR624" s="3"/>
      <c r="AS624" s="3"/>
      <c r="AT624" s="3"/>
      <c r="AU624" s="3"/>
      <c r="AV624" s="3"/>
      <c r="AW624" s="3"/>
      <c r="AX624" s="3"/>
      <c r="AY624" s="3"/>
      <c r="AZ624" s="3"/>
      <c r="BA624" s="3"/>
      <c r="BB624" s="3"/>
      <c r="BC624" s="3"/>
    </row>
    <row r="625" ht="15.75" customHeight="1">
      <c r="A625" s="12"/>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c r="AA625" s="310"/>
      <c r="AB625" s="310"/>
      <c r="AC625" s="310"/>
      <c r="AD625" s="310"/>
      <c r="AE625" s="310"/>
      <c r="AF625" s="310"/>
      <c r="AG625" s="310"/>
      <c r="AH625" s="310"/>
      <c r="AI625" s="310"/>
      <c r="AJ625" s="310"/>
      <c r="AK625" s="310"/>
      <c r="AL625" s="310"/>
      <c r="AM625" s="310"/>
      <c r="AN625" s="310"/>
      <c r="AO625" s="310"/>
      <c r="AP625" s="12"/>
      <c r="AQ625" s="3"/>
      <c r="AR625" s="3"/>
      <c r="AS625" s="3"/>
      <c r="AT625" s="3"/>
      <c r="AU625" s="3"/>
      <c r="AV625" s="3"/>
      <c r="AW625" s="3"/>
      <c r="AX625" s="3"/>
      <c r="AY625" s="3"/>
      <c r="AZ625" s="3"/>
      <c r="BA625" s="3"/>
      <c r="BB625" s="3"/>
      <c r="BC625" s="3"/>
    </row>
    <row r="626" ht="15.75" customHeight="1">
      <c r="A626" s="12"/>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c r="AA626" s="310"/>
      <c r="AB626" s="310"/>
      <c r="AC626" s="310"/>
      <c r="AD626" s="310"/>
      <c r="AE626" s="310"/>
      <c r="AF626" s="310"/>
      <c r="AG626" s="310"/>
      <c r="AH626" s="310"/>
      <c r="AI626" s="310"/>
      <c r="AJ626" s="310"/>
      <c r="AK626" s="310"/>
      <c r="AL626" s="310"/>
      <c r="AM626" s="310"/>
      <c r="AN626" s="310"/>
      <c r="AO626" s="310"/>
      <c r="AP626" s="12"/>
      <c r="AQ626" s="3"/>
      <c r="AR626" s="3"/>
      <c r="AS626" s="3"/>
      <c r="AT626" s="3"/>
      <c r="AU626" s="3"/>
      <c r="AV626" s="3"/>
      <c r="AW626" s="3"/>
      <c r="AX626" s="3"/>
      <c r="AY626" s="3"/>
      <c r="AZ626" s="3"/>
      <c r="BA626" s="3"/>
      <c r="BB626" s="3"/>
      <c r="BC626" s="3"/>
    </row>
    <row r="627" ht="15.75" customHeight="1">
      <c r="A627" s="12"/>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c r="AA627" s="310"/>
      <c r="AB627" s="310"/>
      <c r="AC627" s="310"/>
      <c r="AD627" s="310"/>
      <c r="AE627" s="310"/>
      <c r="AF627" s="310"/>
      <c r="AG627" s="310"/>
      <c r="AH627" s="310"/>
      <c r="AI627" s="310"/>
      <c r="AJ627" s="310"/>
      <c r="AK627" s="310"/>
      <c r="AL627" s="310"/>
      <c r="AM627" s="310"/>
      <c r="AN627" s="310"/>
      <c r="AO627" s="310"/>
      <c r="AP627" s="12"/>
      <c r="AQ627" s="3"/>
      <c r="AR627" s="3"/>
      <c r="AS627" s="3"/>
      <c r="AT627" s="3"/>
      <c r="AU627" s="3"/>
      <c r="AV627" s="3"/>
      <c r="AW627" s="3"/>
      <c r="AX627" s="3"/>
      <c r="AY627" s="3"/>
      <c r="AZ627" s="3"/>
      <c r="BA627" s="3"/>
      <c r="BB627" s="3"/>
      <c r="BC627" s="3"/>
    </row>
    <row r="628" ht="15.75" customHeight="1">
      <c r="A628" s="12"/>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c r="AA628" s="310"/>
      <c r="AB628" s="310"/>
      <c r="AC628" s="310"/>
      <c r="AD628" s="310"/>
      <c r="AE628" s="310"/>
      <c r="AF628" s="310"/>
      <c r="AG628" s="310"/>
      <c r="AH628" s="310"/>
      <c r="AI628" s="310"/>
      <c r="AJ628" s="310"/>
      <c r="AK628" s="310"/>
      <c r="AL628" s="310"/>
      <c r="AM628" s="310"/>
      <c r="AN628" s="310"/>
      <c r="AO628" s="310"/>
      <c r="AP628" s="12"/>
      <c r="AQ628" s="3"/>
      <c r="AR628" s="3"/>
      <c r="AS628" s="3"/>
      <c r="AT628" s="3"/>
      <c r="AU628" s="3"/>
      <c r="AV628" s="3"/>
      <c r="AW628" s="3"/>
      <c r="AX628" s="3"/>
      <c r="AY628" s="3"/>
      <c r="AZ628" s="3"/>
      <c r="BA628" s="3"/>
      <c r="BB628" s="3"/>
      <c r="BC628" s="3"/>
    </row>
    <row r="629" ht="15.75" customHeight="1">
      <c r="A629" s="12"/>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c r="AA629" s="310"/>
      <c r="AB629" s="310"/>
      <c r="AC629" s="310"/>
      <c r="AD629" s="310"/>
      <c r="AE629" s="310"/>
      <c r="AF629" s="310"/>
      <c r="AG629" s="310"/>
      <c r="AH629" s="310"/>
      <c r="AI629" s="310"/>
      <c r="AJ629" s="310"/>
      <c r="AK629" s="310"/>
      <c r="AL629" s="310"/>
      <c r="AM629" s="310"/>
      <c r="AN629" s="310"/>
      <c r="AO629" s="310"/>
      <c r="AP629" s="12"/>
      <c r="AQ629" s="3"/>
      <c r="AR629" s="3"/>
      <c r="AS629" s="3"/>
      <c r="AT629" s="3"/>
      <c r="AU629" s="3"/>
      <c r="AV629" s="3"/>
      <c r="AW629" s="3"/>
      <c r="AX629" s="3"/>
      <c r="AY629" s="3"/>
      <c r="AZ629" s="3"/>
      <c r="BA629" s="3"/>
      <c r="BB629" s="3"/>
      <c r="BC629" s="3"/>
    </row>
    <row r="630" ht="15.75" customHeight="1">
      <c r="A630" s="12"/>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c r="AA630" s="310"/>
      <c r="AB630" s="310"/>
      <c r="AC630" s="310"/>
      <c r="AD630" s="310"/>
      <c r="AE630" s="310"/>
      <c r="AF630" s="310"/>
      <c r="AG630" s="310"/>
      <c r="AH630" s="310"/>
      <c r="AI630" s="310"/>
      <c r="AJ630" s="310"/>
      <c r="AK630" s="310"/>
      <c r="AL630" s="310"/>
      <c r="AM630" s="310"/>
      <c r="AN630" s="310"/>
      <c r="AO630" s="310"/>
      <c r="AP630" s="12"/>
      <c r="AQ630" s="3"/>
      <c r="AR630" s="3"/>
      <c r="AS630" s="3"/>
      <c r="AT630" s="3"/>
      <c r="AU630" s="3"/>
      <c r="AV630" s="3"/>
      <c r="AW630" s="3"/>
      <c r="AX630" s="3"/>
      <c r="AY630" s="3"/>
      <c r="AZ630" s="3"/>
      <c r="BA630" s="3"/>
      <c r="BB630" s="3"/>
      <c r="BC630" s="3"/>
    </row>
    <row r="631" ht="15.75" customHeight="1">
      <c r="A631" s="12"/>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c r="AA631" s="310"/>
      <c r="AB631" s="310"/>
      <c r="AC631" s="310"/>
      <c r="AD631" s="310"/>
      <c r="AE631" s="310"/>
      <c r="AF631" s="310"/>
      <c r="AG631" s="310"/>
      <c r="AH631" s="310"/>
      <c r="AI631" s="310"/>
      <c r="AJ631" s="310"/>
      <c r="AK631" s="310"/>
      <c r="AL631" s="310"/>
      <c r="AM631" s="310"/>
      <c r="AN631" s="310"/>
      <c r="AO631" s="310"/>
      <c r="AP631" s="12"/>
      <c r="AQ631" s="3"/>
      <c r="AR631" s="3"/>
      <c r="AS631" s="3"/>
      <c r="AT631" s="3"/>
      <c r="AU631" s="3"/>
      <c r="AV631" s="3"/>
      <c r="AW631" s="3"/>
      <c r="AX631" s="3"/>
      <c r="AY631" s="3"/>
      <c r="AZ631" s="3"/>
      <c r="BA631" s="3"/>
      <c r="BB631" s="3"/>
      <c r="BC631" s="3"/>
    </row>
    <row r="632" ht="15.75" customHeight="1">
      <c r="A632" s="12"/>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c r="AA632" s="310"/>
      <c r="AB632" s="310"/>
      <c r="AC632" s="310"/>
      <c r="AD632" s="310"/>
      <c r="AE632" s="310"/>
      <c r="AF632" s="310"/>
      <c r="AG632" s="310"/>
      <c r="AH632" s="310"/>
      <c r="AI632" s="310"/>
      <c r="AJ632" s="310"/>
      <c r="AK632" s="310"/>
      <c r="AL632" s="310"/>
      <c r="AM632" s="310"/>
      <c r="AN632" s="310"/>
      <c r="AO632" s="310"/>
      <c r="AP632" s="12"/>
      <c r="AQ632" s="3"/>
      <c r="AR632" s="3"/>
      <c r="AS632" s="3"/>
      <c r="AT632" s="3"/>
      <c r="AU632" s="3"/>
      <c r="AV632" s="3"/>
      <c r="AW632" s="3"/>
      <c r="AX632" s="3"/>
      <c r="AY632" s="3"/>
      <c r="AZ632" s="3"/>
      <c r="BA632" s="3"/>
      <c r="BB632" s="3"/>
      <c r="BC632" s="3"/>
    </row>
    <row r="633" ht="15.75" customHeight="1">
      <c r="A633" s="12"/>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c r="AA633" s="310"/>
      <c r="AB633" s="310"/>
      <c r="AC633" s="310"/>
      <c r="AD633" s="310"/>
      <c r="AE633" s="310"/>
      <c r="AF633" s="310"/>
      <c r="AG633" s="310"/>
      <c r="AH633" s="310"/>
      <c r="AI633" s="310"/>
      <c r="AJ633" s="310"/>
      <c r="AK633" s="310"/>
      <c r="AL633" s="310"/>
      <c r="AM633" s="310"/>
      <c r="AN633" s="310"/>
      <c r="AO633" s="310"/>
      <c r="AP633" s="12"/>
      <c r="AQ633" s="3"/>
      <c r="AR633" s="3"/>
      <c r="AS633" s="3"/>
      <c r="AT633" s="3"/>
      <c r="AU633" s="3"/>
      <c r="AV633" s="3"/>
      <c r="AW633" s="3"/>
      <c r="AX633" s="3"/>
      <c r="AY633" s="3"/>
      <c r="AZ633" s="3"/>
      <c r="BA633" s="3"/>
      <c r="BB633" s="3"/>
      <c r="BC633" s="3"/>
    </row>
    <row r="634" ht="15.75" customHeight="1">
      <c r="A634" s="12"/>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c r="AA634" s="310"/>
      <c r="AB634" s="310"/>
      <c r="AC634" s="310"/>
      <c r="AD634" s="310"/>
      <c r="AE634" s="310"/>
      <c r="AF634" s="310"/>
      <c r="AG634" s="310"/>
      <c r="AH634" s="310"/>
      <c r="AI634" s="310"/>
      <c r="AJ634" s="310"/>
      <c r="AK634" s="310"/>
      <c r="AL634" s="310"/>
      <c r="AM634" s="310"/>
      <c r="AN634" s="310"/>
      <c r="AO634" s="310"/>
      <c r="AP634" s="12"/>
      <c r="AQ634" s="3"/>
      <c r="AR634" s="3"/>
      <c r="AS634" s="3"/>
      <c r="AT634" s="3"/>
      <c r="AU634" s="3"/>
      <c r="AV634" s="3"/>
      <c r="AW634" s="3"/>
      <c r="AX634" s="3"/>
      <c r="AY634" s="3"/>
      <c r="AZ634" s="3"/>
      <c r="BA634" s="3"/>
      <c r="BB634" s="3"/>
      <c r="BC634" s="3"/>
    </row>
    <row r="635" ht="15.75" customHeight="1">
      <c r="A635" s="12"/>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c r="AA635" s="310"/>
      <c r="AB635" s="310"/>
      <c r="AC635" s="310"/>
      <c r="AD635" s="310"/>
      <c r="AE635" s="310"/>
      <c r="AF635" s="310"/>
      <c r="AG635" s="310"/>
      <c r="AH635" s="310"/>
      <c r="AI635" s="310"/>
      <c r="AJ635" s="310"/>
      <c r="AK635" s="310"/>
      <c r="AL635" s="310"/>
      <c r="AM635" s="310"/>
      <c r="AN635" s="310"/>
      <c r="AO635" s="310"/>
      <c r="AP635" s="12"/>
      <c r="AQ635" s="3"/>
      <c r="AR635" s="3"/>
      <c r="AS635" s="3"/>
      <c r="AT635" s="3"/>
      <c r="AU635" s="3"/>
      <c r="AV635" s="3"/>
      <c r="AW635" s="3"/>
      <c r="AX635" s="3"/>
      <c r="AY635" s="3"/>
      <c r="AZ635" s="3"/>
      <c r="BA635" s="3"/>
      <c r="BB635" s="3"/>
      <c r="BC635" s="3"/>
    </row>
    <row r="636" ht="15.75" customHeight="1">
      <c r="A636" s="12"/>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c r="AA636" s="310"/>
      <c r="AB636" s="310"/>
      <c r="AC636" s="310"/>
      <c r="AD636" s="310"/>
      <c r="AE636" s="310"/>
      <c r="AF636" s="310"/>
      <c r="AG636" s="310"/>
      <c r="AH636" s="310"/>
      <c r="AI636" s="310"/>
      <c r="AJ636" s="310"/>
      <c r="AK636" s="310"/>
      <c r="AL636" s="310"/>
      <c r="AM636" s="310"/>
      <c r="AN636" s="310"/>
      <c r="AO636" s="310"/>
      <c r="AP636" s="12"/>
      <c r="AQ636" s="3"/>
      <c r="AR636" s="3"/>
      <c r="AS636" s="3"/>
      <c r="AT636" s="3"/>
      <c r="AU636" s="3"/>
      <c r="AV636" s="3"/>
      <c r="AW636" s="3"/>
      <c r="AX636" s="3"/>
      <c r="AY636" s="3"/>
      <c r="AZ636" s="3"/>
      <c r="BA636" s="3"/>
      <c r="BB636" s="3"/>
      <c r="BC636" s="3"/>
    </row>
    <row r="637" ht="15.75" customHeight="1">
      <c r="A637" s="12"/>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c r="AA637" s="310"/>
      <c r="AB637" s="310"/>
      <c r="AC637" s="310"/>
      <c r="AD637" s="310"/>
      <c r="AE637" s="310"/>
      <c r="AF637" s="310"/>
      <c r="AG637" s="310"/>
      <c r="AH637" s="310"/>
      <c r="AI637" s="310"/>
      <c r="AJ637" s="310"/>
      <c r="AK637" s="310"/>
      <c r="AL637" s="310"/>
      <c r="AM637" s="310"/>
      <c r="AN637" s="310"/>
      <c r="AO637" s="310"/>
      <c r="AP637" s="12"/>
      <c r="AQ637" s="3"/>
      <c r="AR637" s="3"/>
      <c r="AS637" s="3"/>
      <c r="AT637" s="3"/>
      <c r="AU637" s="3"/>
      <c r="AV637" s="3"/>
      <c r="AW637" s="3"/>
      <c r="AX637" s="3"/>
      <c r="AY637" s="3"/>
      <c r="AZ637" s="3"/>
      <c r="BA637" s="3"/>
      <c r="BB637" s="3"/>
      <c r="BC637" s="3"/>
    </row>
    <row r="638" ht="15.75" customHeight="1">
      <c r="A638" s="12"/>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c r="AA638" s="310"/>
      <c r="AB638" s="310"/>
      <c r="AC638" s="310"/>
      <c r="AD638" s="310"/>
      <c r="AE638" s="310"/>
      <c r="AF638" s="310"/>
      <c r="AG638" s="310"/>
      <c r="AH638" s="310"/>
      <c r="AI638" s="310"/>
      <c r="AJ638" s="310"/>
      <c r="AK638" s="310"/>
      <c r="AL638" s="310"/>
      <c r="AM638" s="310"/>
      <c r="AN638" s="310"/>
      <c r="AO638" s="310"/>
      <c r="AP638" s="12"/>
      <c r="AQ638" s="3"/>
      <c r="AR638" s="3"/>
      <c r="AS638" s="3"/>
      <c r="AT638" s="3"/>
      <c r="AU638" s="3"/>
      <c r="AV638" s="3"/>
      <c r="AW638" s="3"/>
      <c r="AX638" s="3"/>
      <c r="AY638" s="3"/>
      <c r="AZ638" s="3"/>
      <c r="BA638" s="3"/>
      <c r="BB638" s="3"/>
      <c r="BC638" s="3"/>
    </row>
    <row r="639" ht="15.75" customHeight="1">
      <c r="A639" s="12"/>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c r="AA639" s="310"/>
      <c r="AB639" s="310"/>
      <c r="AC639" s="310"/>
      <c r="AD639" s="310"/>
      <c r="AE639" s="310"/>
      <c r="AF639" s="310"/>
      <c r="AG639" s="310"/>
      <c r="AH639" s="310"/>
      <c r="AI639" s="310"/>
      <c r="AJ639" s="310"/>
      <c r="AK639" s="310"/>
      <c r="AL639" s="310"/>
      <c r="AM639" s="310"/>
      <c r="AN639" s="310"/>
      <c r="AO639" s="310"/>
      <c r="AP639" s="12"/>
      <c r="AQ639" s="3"/>
      <c r="AR639" s="3"/>
      <c r="AS639" s="3"/>
      <c r="AT639" s="3"/>
      <c r="AU639" s="3"/>
      <c r="AV639" s="3"/>
      <c r="AW639" s="3"/>
      <c r="AX639" s="3"/>
      <c r="AY639" s="3"/>
      <c r="AZ639" s="3"/>
      <c r="BA639" s="3"/>
      <c r="BB639" s="3"/>
      <c r="BC639" s="3"/>
    </row>
    <row r="640" ht="15.75" customHeight="1">
      <c r="A640" s="12"/>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c r="AA640" s="310"/>
      <c r="AB640" s="310"/>
      <c r="AC640" s="310"/>
      <c r="AD640" s="310"/>
      <c r="AE640" s="310"/>
      <c r="AF640" s="310"/>
      <c r="AG640" s="310"/>
      <c r="AH640" s="310"/>
      <c r="AI640" s="310"/>
      <c r="AJ640" s="310"/>
      <c r="AK640" s="310"/>
      <c r="AL640" s="310"/>
      <c r="AM640" s="310"/>
      <c r="AN640" s="310"/>
      <c r="AO640" s="310"/>
      <c r="AP640" s="12"/>
      <c r="AQ640" s="3"/>
      <c r="AR640" s="3"/>
      <c r="AS640" s="3"/>
      <c r="AT640" s="3"/>
      <c r="AU640" s="3"/>
      <c r="AV640" s="3"/>
      <c r="AW640" s="3"/>
      <c r="AX640" s="3"/>
      <c r="AY640" s="3"/>
      <c r="AZ640" s="3"/>
      <c r="BA640" s="3"/>
      <c r="BB640" s="3"/>
      <c r="BC640" s="3"/>
    </row>
    <row r="641" ht="15.75" customHeight="1">
      <c r="A641" s="12"/>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c r="AA641" s="310"/>
      <c r="AB641" s="310"/>
      <c r="AC641" s="310"/>
      <c r="AD641" s="310"/>
      <c r="AE641" s="310"/>
      <c r="AF641" s="310"/>
      <c r="AG641" s="310"/>
      <c r="AH641" s="310"/>
      <c r="AI641" s="310"/>
      <c r="AJ641" s="310"/>
      <c r="AK641" s="310"/>
      <c r="AL641" s="310"/>
      <c r="AM641" s="310"/>
      <c r="AN641" s="310"/>
      <c r="AO641" s="310"/>
      <c r="AP641" s="12"/>
      <c r="AQ641" s="3"/>
      <c r="AR641" s="3"/>
      <c r="AS641" s="3"/>
      <c r="AT641" s="3"/>
      <c r="AU641" s="3"/>
      <c r="AV641" s="3"/>
      <c r="AW641" s="3"/>
      <c r="AX641" s="3"/>
      <c r="AY641" s="3"/>
      <c r="AZ641" s="3"/>
      <c r="BA641" s="3"/>
      <c r="BB641" s="3"/>
      <c r="BC641" s="3"/>
    </row>
    <row r="642" ht="15.75" customHeight="1">
      <c r="A642" s="12"/>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c r="AA642" s="310"/>
      <c r="AB642" s="310"/>
      <c r="AC642" s="310"/>
      <c r="AD642" s="310"/>
      <c r="AE642" s="310"/>
      <c r="AF642" s="310"/>
      <c r="AG642" s="310"/>
      <c r="AH642" s="310"/>
      <c r="AI642" s="310"/>
      <c r="AJ642" s="310"/>
      <c r="AK642" s="310"/>
      <c r="AL642" s="310"/>
      <c r="AM642" s="310"/>
      <c r="AN642" s="310"/>
      <c r="AO642" s="310"/>
      <c r="AP642" s="12"/>
      <c r="AQ642" s="3"/>
      <c r="AR642" s="3"/>
      <c r="AS642" s="3"/>
      <c r="AT642" s="3"/>
      <c r="AU642" s="3"/>
      <c r="AV642" s="3"/>
      <c r="AW642" s="3"/>
      <c r="AX642" s="3"/>
      <c r="AY642" s="3"/>
      <c r="AZ642" s="3"/>
      <c r="BA642" s="3"/>
      <c r="BB642" s="3"/>
      <c r="BC642" s="3"/>
    </row>
    <row r="643" ht="15.75" customHeight="1">
      <c r="A643" s="12"/>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c r="AA643" s="310"/>
      <c r="AB643" s="310"/>
      <c r="AC643" s="310"/>
      <c r="AD643" s="310"/>
      <c r="AE643" s="310"/>
      <c r="AF643" s="310"/>
      <c r="AG643" s="310"/>
      <c r="AH643" s="310"/>
      <c r="AI643" s="310"/>
      <c r="AJ643" s="310"/>
      <c r="AK643" s="310"/>
      <c r="AL643" s="310"/>
      <c r="AM643" s="310"/>
      <c r="AN643" s="310"/>
      <c r="AO643" s="310"/>
      <c r="AP643" s="12"/>
      <c r="AQ643" s="3"/>
      <c r="AR643" s="3"/>
      <c r="AS643" s="3"/>
      <c r="AT643" s="3"/>
      <c r="AU643" s="3"/>
      <c r="AV643" s="3"/>
      <c r="AW643" s="3"/>
      <c r="AX643" s="3"/>
      <c r="AY643" s="3"/>
      <c r="AZ643" s="3"/>
      <c r="BA643" s="3"/>
      <c r="BB643" s="3"/>
      <c r="BC643" s="3"/>
    </row>
    <row r="644" ht="15.75" customHeight="1">
      <c r="A644" s="12"/>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c r="AA644" s="310"/>
      <c r="AB644" s="310"/>
      <c r="AC644" s="310"/>
      <c r="AD644" s="310"/>
      <c r="AE644" s="310"/>
      <c r="AF644" s="310"/>
      <c r="AG644" s="310"/>
      <c r="AH644" s="310"/>
      <c r="AI644" s="310"/>
      <c r="AJ644" s="310"/>
      <c r="AK644" s="310"/>
      <c r="AL644" s="310"/>
      <c r="AM644" s="310"/>
      <c r="AN644" s="310"/>
      <c r="AO644" s="310"/>
      <c r="AP644" s="12"/>
      <c r="AQ644" s="3"/>
      <c r="AR644" s="3"/>
      <c r="AS644" s="3"/>
      <c r="AT644" s="3"/>
      <c r="AU644" s="3"/>
      <c r="AV644" s="3"/>
      <c r="AW644" s="3"/>
      <c r="AX644" s="3"/>
      <c r="AY644" s="3"/>
      <c r="AZ644" s="3"/>
      <c r="BA644" s="3"/>
      <c r="BB644" s="3"/>
      <c r="BC644" s="3"/>
    </row>
    <row r="645" ht="15.75" customHeight="1">
      <c r="A645" s="12"/>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c r="AA645" s="310"/>
      <c r="AB645" s="310"/>
      <c r="AC645" s="310"/>
      <c r="AD645" s="310"/>
      <c r="AE645" s="310"/>
      <c r="AF645" s="310"/>
      <c r="AG645" s="310"/>
      <c r="AH645" s="310"/>
      <c r="AI645" s="310"/>
      <c r="AJ645" s="310"/>
      <c r="AK645" s="310"/>
      <c r="AL645" s="310"/>
      <c r="AM645" s="310"/>
      <c r="AN645" s="310"/>
      <c r="AO645" s="310"/>
      <c r="AP645" s="12"/>
      <c r="AQ645" s="3"/>
      <c r="AR645" s="3"/>
      <c r="AS645" s="3"/>
      <c r="AT645" s="3"/>
      <c r="AU645" s="3"/>
      <c r="AV645" s="3"/>
      <c r="AW645" s="3"/>
      <c r="AX645" s="3"/>
      <c r="AY645" s="3"/>
      <c r="AZ645" s="3"/>
      <c r="BA645" s="3"/>
      <c r="BB645" s="3"/>
      <c r="BC645" s="3"/>
    </row>
    <row r="646" ht="15.75" customHeight="1">
      <c r="A646" s="12"/>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c r="AA646" s="310"/>
      <c r="AB646" s="310"/>
      <c r="AC646" s="310"/>
      <c r="AD646" s="310"/>
      <c r="AE646" s="310"/>
      <c r="AF646" s="310"/>
      <c r="AG646" s="310"/>
      <c r="AH646" s="310"/>
      <c r="AI646" s="310"/>
      <c r="AJ646" s="310"/>
      <c r="AK646" s="310"/>
      <c r="AL646" s="310"/>
      <c r="AM646" s="310"/>
      <c r="AN646" s="310"/>
      <c r="AO646" s="310"/>
      <c r="AP646" s="12"/>
      <c r="AQ646" s="3"/>
      <c r="AR646" s="3"/>
      <c r="AS646" s="3"/>
      <c r="AT646" s="3"/>
      <c r="AU646" s="3"/>
      <c r="AV646" s="3"/>
      <c r="AW646" s="3"/>
      <c r="AX646" s="3"/>
      <c r="AY646" s="3"/>
      <c r="AZ646" s="3"/>
      <c r="BA646" s="3"/>
      <c r="BB646" s="3"/>
      <c r="BC646" s="3"/>
    </row>
    <row r="647" ht="15.75" customHeight="1">
      <c r="A647" s="12"/>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c r="AA647" s="310"/>
      <c r="AB647" s="310"/>
      <c r="AC647" s="310"/>
      <c r="AD647" s="310"/>
      <c r="AE647" s="310"/>
      <c r="AF647" s="310"/>
      <c r="AG647" s="310"/>
      <c r="AH647" s="310"/>
      <c r="AI647" s="310"/>
      <c r="AJ647" s="310"/>
      <c r="AK647" s="310"/>
      <c r="AL647" s="310"/>
      <c r="AM647" s="310"/>
      <c r="AN647" s="310"/>
      <c r="AO647" s="310"/>
      <c r="AP647" s="12"/>
      <c r="AQ647" s="3"/>
      <c r="AR647" s="3"/>
      <c r="AS647" s="3"/>
      <c r="AT647" s="3"/>
      <c r="AU647" s="3"/>
      <c r="AV647" s="3"/>
      <c r="AW647" s="3"/>
      <c r="AX647" s="3"/>
      <c r="AY647" s="3"/>
      <c r="AZ647" s="3"/>
      <c r="BA647" s="3"/>
      <c r="BB647" s="3"/>
      <c r="BC647" s="3"/>
    </row>
    <row r="648" ht="15.75" customHeight="1">
      <c r="A648" s="12"/>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c r="AA648" s="310"/>
      <c r="AB648" s="310"/>
      <c r="AC648" s="310"/>
      <c r="AD648" s="310"/>
      <c r="AE648" s="310"/>
      <c r="AF648" s="310"/>
      <c r="AG648" s="310"/>
      <c r="AH648" s="310"/>
      <c r="AI648" s="310"/>
      <c r="AJ648" s="310"/>
      <c r="AK648" s="310"/>
      <c r="AL648" s="310"/>
      <c r="AM648" s="310"/>
      <c r="AN648" s="310"/>
      <c r="AO648" s="310"/>
      <c r="AP648" s="12"/>
      <c r="AQ648" s="3"/>
      <c r="AR648" s="3"/>
      <c r="AS648" s="3"/>
      <c r="AT648" s="3"/>
      <c r="AU648" s="3"/>
      <c r="AV648" s="3"/>
      <c r="AW648" s="3"/>
      <c r="AX648" s="3"/>
      <c r="AY648" s="3"/>
      <c r="AZ648" s="3"/>
      <c r="BA648" s="3"/>
      <c r="BB648" s="3"/>
      <c r="BC648" s="3"/>
    </row>
    <row r="649" ht="15.75" customHeight="1">
      <c r="A649" s="12"/>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c r="AA649" s="310"/>
      <c r="AB649" s="310"/>
      <c r="AC649" s="310"/>
      <c r="AD649" s="310"/>
      <c r="AE649" s="310"/>
      <c r="AF649" s="310"/>
      <c r="AG649" s="310"/>
      <c r="AH649" s="310"/>
      <c r="AI649" s="310"/>
      <c r="AJ649" s="310"/>
      <c r="AK649" s="310"/>
      <c r="AL649" s="310"/>
      <c r="AM649" s="310"/>
      <c r="AN649" s="310"/>
      <c r="AO649" s="310"/>
      <c r="AP649" s="12"/>
      <c r="AQ649" s="3"/>
      <c r="AR649" s="3"/>
      <c r="AS649" s="3"/>
      <c r="AT649" s="3"/>
      <c r="AU649" s="3"/>
      <c r="AV649" s="3"/>
      <c r="AW649" s="3"/>
      <c r="AX649" s="3"/>
      <c r="AY649" s="3"/>
      <c r="AZ649" s="3"/>
      <c r="BA649" s="3"/>
      <c r="BB649" s="3"/>
      <c r="BC649" s="3"/>
    </row>
    <row r="650" ht="15.75" customHeight="1">
      <c r="A650" s="12"/>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c r="AA650" s="310"/>
      <c r="AB650" s="310"/>
      <c r="AC650" s="310"/>
      <c r="AD650" s="310"/>
      <c r="AE650" s="310"/>
      <c r="AF650" s="310"/>
      <c r="AG650" s="310"/>
      <c r="AH650" s="310"/>
      <c r="AI650" s="310"/>
      <c r="AJ650" s="310"/>
      <c r="AK650" s="310"/>
      <c r="AL650" s="310"/>
      <c r="AM650" s="310"/>
      <c r="AN650" s="310"/>
      <c r="AO650" s="310"/>
      <c r="AP650" s="12"/>
      <c r="AQ650" s="3"/>
      <c r="AR650" s="3"/>
      <c r="AS650" s="3"/>
      <c r="AT650" s="3"/>
      <c r="AU650" s="3"/>
      <c r="AV650" s="3"/>
      <c r="AW650" s="3"/>
      <c r="AX650" s="3"/>
      <c r="AY650" s="3"/>
      <c r="AZ650" s="3"/>
      <c r="BA650" s="3"/>
      <c r="BB650" s="3"/>
      <c r="BC650" s="3"/>
    </row>
    <row r="651" ht="15.75" customHeight="1">
      <c r="A651" s="12"/>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c r="AA651" s="310"/>
      <c r="AB651" s="310"/>
      <c r="AC651" s="310"/>
      <c r="AD651" s="310"/>
      <c r="AE651" s="310"/>
      <c r="AF651" s="310"/>
      <c r="AG651" s="310"/>
      <c r="AH651" s="310"/>
      <c r="AI651" s="310"/>
      <c r="AJ651" s="310"/>
      <c r="AK651" s="310"/>
      <c r="AL651" s="310"/>
      <c r="AM651" s="310"/>
      <c r="AN651" s="310"/>
      <c r="AO651" s="310"/>
      <c r="AP651" s="12"/>
      <c r="AQ651" s="3"/>
      <c r="AR651" s="3"/>
      <c r="AS651" s="3"/>
      <c r="AT651" s="3"/>
      <c r="AU651" s="3"/>
      <c r="AV651" s="3"/>
      <c r="AW651" s="3"/>
      <c r="AX651" s="3"/>
      <c r="AY651" s="3"/>
      <c r="AZ651" s="3"/>
      <c r="BA651" s="3"/>
      <c r="BB651" s="3"/>
      <c r="BC651" s="3"/>
    </row>
    <row r="652" ht="15.75" customHeight="1">
      <c r="A652" s="12"/>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c r="AA652" s="310"/>
      <c r="AB652" s="310"/>
      <c r="AC652" s="310"/>
      <c r="AD652" s="310"/>
      <c r="AE652" s="310"/>
      <c r="AF652" s="310"/>
      <c r="AG652" s="310"/>
      <c r="AH652" s="310"/>
      <c r="AI652" s="310"/>
      <c r="AJ652" s="310"/>
      <c r="AK652" s="310"/>
      <c r="AL652" s="310"/>
      <c r="AM652" s="310"/>
      <c r="AN652" s="310"/>
      <c r="AO652" s="310"/>
      <c r="AP652" s="12"/>
      <c r="AQ652" s="3"/>
      <c r="AR652" s="3"/>
      <c r="AS652" s="3"/>
      <c r="AT652" s="3"/>
      <c r="AU652" s="3"/>
      <c r="AV652" s="3"/>
      <c r="AW652" s="3"/>
      <c r="AX652" s="3"/>
      <c r="AY652" s="3"/>
      <c r="AZ652" s="3"/>
      <c r="BA652" s="3"/>
      <c r="BB652" s="3"/>
      <c r="BC652" s="3"/>
    </row>
    <row r="653" ht="15.75" customHeight="1">
      <c r="A653" s="12"/>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c r="AA653" s="310"/>
      <c r="AB653" s="310"/>
      <c r="AC653" s="310"/>
      <c r="AD653" s="310"/>
      <c r="AE653" s="310"/>
      <c r="AF653" s="310"/>
      <c r="AG653" s="310"/>
      <c r="AH653" s="310"/>
      <c r="AI653" s="310"/>
      <c r="AJ653" s="310"/>
      <c r="AK653" s="310"/>
      <c r="AL653" s="310"/>
      <c r="AM653" s="310"/>
      <c r="AN653" s="310"/>
      <c r="AO653" s="310"/>
      <c r="AP653" s="12"/>
      <c r="AQ653" s="3"/>
      <c r="AR653" s="3"/>
      <c r="AS653" s="3"/>
      <c r="AT653" s="3"/>
      <c r="AU653" s="3"/>
      <c r="AV653" s="3"/>
      <c r="AW653" s="3"/>
      <c r="AX653" s="3"/>
      <c r="AY653" s="3"/>
      <c r="AZ653" s="3"/>
      <c r="BA653" s="3"/>
      <c r="BB653" s="3"/>
      <c r="BC653" s="3"/>
    </row>
    <row r="654" ht="15.75" customHeight="1">
      <c r="A654" s="12"/>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c r="AA654" s="310"/>
      <c r="AB654" s="310"/>
      <c r="AC654" s="310"/>
      <c r="AD654" s="310"/>
      <c r="AE654" s="310"/>
      <c r="AF654" s="310"/>
      <c r="AG654" s="310"/>
      <c r="AH654" s="310"/>
      <c r="AI654" s="310"/>
      <c r="AJ654" s="310"/>
      <c r="AK654" s="310"/>
      <c r="AL654" s="310"/>
      <c r="AM654" s="310"/>
      <c r="AN654" s="310"/>
      <c r="AO654" s="310"/>
      <c r="AP654" s="12"/>
      <c r="AQ654" s="3"/>
      <c r="AR654" s="3"/>
      <c r="AS654" s="3"/>
      <c r="AT654" s="3"/>
      <c r="AU654" s="3"/>
      <c r="AV654" s="3"/>
      <c r="AW654" s="3"/>
      <c r="AX654" s="3"/>
      <c r="AY654" s="3"/>
      <c r="AZ654" s="3"/>
      <c r="BA654" s="3"/>
      <c r="BB654" s="3"/>
      <c r="BC654" s="3"/>
    </row>
    <row r="655" ht="15.75" customHeight="1">
      <c r="A655" s="12"/>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c r="AA655" s="310"/>
      <c r="AB655" s="310"/>
      <c r="AC655" s="310"/>
      <c r="AD655" s="310"/>
      <c r="AE655" s="310"/>
      <c r="AF655" s="310"/>
      <c r="AG655" s="310"/>
      <c r="AH655" s="310"/>
      <c r="AI655" s="310"/>
      <c r="AJ655" s="310"/>
      <c r="AK655" s="310"/>
      <c r="AL655" s="310"/>
      <c r="AM655" s="310"/>
      <c r="AN655" s="310"/>
      <c r="AO655" s="310"/>
      <c r="AP655" s="12"/>
      <c r="AQ655" s="3"/>
      <c r="AR655" s="3"/>
      <c r="AS655" s="3"/>
      <c r="AT655" s="3"/>
      <c r="AU655" s="3"/>
      <c r="AV655" s="3"/>
      <c r="AW655" s="3"/>
      <c r="AX655" s="3"/>
      <c r="AY655" s="3"/>
      <c r="AZ655" s="3"/>
      <c r="BA655" s="3"/>
      <c r="BB655" s="3"/>
      <c r="BC655" s="3"/>
    </row>
    <row r="656" ht="15.75" customHeight="1">
      <c r="A656" s="12"/>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c r="AA656" s="310"/>
      <c r="AB656" s="310"/>
      <c r="AC656" s="310"/>
      <c r="AD656" s="310"/>
      <c r="AE656" s="310"/>
      <c r="AF656" s="310"/>
      <c r="AG656" s="310"/>
      <c r="AH656" s="310"/>
      <c r="AI656" s="310"/>
      <c r="AJ656" s="310"/>
      <c r="AK656" s="310"/>
      <c r="AL656" s="310"/>
      <c r="AM656" s="310"/>
      <c r="AN656" s="310"/>
      <c r="AO656" s="310"/>
      <c r="AP656" s="12"/>
      <c r="AQ656" s="3"/>
      <c r="AR656" s="3"/>
      <c r="AS656" s="3"/>
      <c r="AT656" s="3"/>
      <c r="AU656" s="3"/>
      <c r="AV656" s="3"/>
      <c r="AW656" s="3"/>
      <c r="AX656" s="3"/>
      <c r="AY656" s="3"/>
      <c r="AZ656" s="3"/>
      <c r="BA656" s="3"/>
      <c r="BB656" s="3"/>
      <c r="BC656" s="3"/>
    </row>
    <row r="657" ht="15.75" customHeight="1">
      <c r="A657" s="12"/>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c r="AA657" s="310"/>
      <c r="AB657" s="310"/>
      <c r="AC657" s="310"/>
      <c r="AD657" s="310"/>
      <c r="AE657" s="310"/>
      <c r="AF657" s="310"/>
      <c r="AG657" s="310"/>
      <c r="AH657" s="310"/>
      <c r="AI657" s="310"/>
      <c r="AJ657" s="310"/>
      <c r="AK657" s="310"/>
      <c r="AL657" s="310"/>
      <c r="AM657" s="310"/>
      <c r="AN657" s="310"/>
      <c r="AO657" s="310"/>
      <c r="AP657" s="12"/>
      <c r="AQ657" s="3"/>
      <c r="AR657" s="3"/>
      <c r="AS657" s="3"/>
      <c r="AT657" s="3"/>
      <c r="AU657" s="3"/>
      <c r="AV657" s="3"/>
      <c r="AW657" s="3"/>
      <c r="AX657" s="3"/>
      <c r="AY657" s="3"/>
      <c r="AZ657" s="3"/>
      <c r="BA657" s="3"/>
      <c r="BB657" s="3"/>
      <c r="BC657" s="3"/>
    </row>
    <row r="658" ht="15.75" customHeight="1">
      <c r="A658" s="12"/>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c r="AA658" s="310"/>
      <c r="AB658" s="310"/>
      <c r="AC658" s="310"/>
      <c r="AD658" s="310"/>
      <c r="AE658" s="310"/>
      <c r="AF658" s="310"/>
      <c r="AG658" s="310"/>
      <c r="AH658" s="310"/>
      <c r="AI658" s="310"/>
      <c r="AJ658" s="310"/>
      <c r="AK658" s="310"/>
      <c r="AL658" s="310"/>
      <c r="AM658" s="310"/>
      <c r="AN658" s="310"/>
      <c r="AO658" s="310"/>
      <c r="AP658" s="12"/>
      <c r="AQ658" s="3"/>
      <c r="AR658" s="3"/>
      <c r="AS658" s="3"/>
      <c r="AT658" s="3"/>
      <c r="AU658" s="3"/>
      <c r="AV658" s="3"/>
      <c r="AW658" s="3"/>
      <c r="AX658" s="3"/>
      <c r="AY658" s="3"/>
      <c r="AZ658" s="3"/>
      <c r="BA658" s="3"/>
      <c r="BB658" s="3"/>
      <c r="BC658" s="3"/>
    </row>
    <row r="659" ht="15.75" customHeight="1">
      <c r="A659" s="12"/>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c r="AA659" s="310"/>
      <c r="AB659" s="310"/>
      <c r="AC659" s="310"/>
      <c r="AD659" s="310"/>
      <c r="AE659" s="310"/>
      <c r="AF659" s="310"/>
      <c r="AG659" s="310"/>
      <c r="AH659" s="310"/>
      <c r="AI659" s="310"/>
      <c r="AJ659" s="310"/>
      <c r="AK659" s="310"/>
      <c r="AL659" s="310"/>
      <c r="AM659" s="310"/>
      <c r="AN659" s="310"/>
      <c r="AO659" s="310"/>
      <c r="AP659" s="12"/>
      <c r="AQ659" s="3"/>
      <c r="AR659" s="3"/>
      <c r="AS659" s="3"/>
      <c r="AT659" s="3"/>
      <c r="AU659" s="3"/>
      <c r="AV659" s="3"/>
      <c r="AW659" s="3"/>
      <c r="AX659" s="3"/>
      <c r="AY659" s="3"/>
      <c r="AZ659" s="3"/>
      <c r="BA659" s="3"/>
      <c r="BB659" s="3"/>
      <c r="BC659" s="3"/>
    </row>
    <row r="660" ht="15.75" customHeight="1">
      <c r="A660" s="12"/>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c r="AA660" s="310"/>
      <c r="AB660" s="310"/>
      <c r="AC660" s="310"/>
      <c r="AD660" s="310"/>
      <c r="AE660" s="310"/>
      <c r="AF660" s="310"/>
      <c r="AG660" s="310"/>
      <c r="AH660" s="310"/>
      <c r="AI660" s="310"/>
      <c r="AJ660" s="310"/>
      <c r="AK660" s="310"/>
      <c r="AL660" s="310"/>
      <c r="AM660" s="310"/>
      <c r="AN660" s="310"/>
      <c r="AO660" s="310"/>
      <c r="AP660" s="12"/>
      <c r="AQ660" s="3"/>
      <c r="AR660" s="3"/>
      <c r="AS660" s="3"/>
      <c r="AT660" s="3"/>
      <c r="AU660" s="3"/>
      <c r="AV660" s="3"/>
      <c r="AW660" s="3"/>
      <c r="AX660" s="3"/>
      <c r="AY660" s="3"/>
      <c r="AZ660" s="3"/>
      <c r="BA660" s="3"/>
      <c r="BB660" s="3"/>
      <c r="BC660" s="3"/>
    </row>
    <row r="661" ht="15.75" customHeight="1">
      <c r="A661" s="12"/>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c r="AA661" s="310"/>
      <c r="AB661" s="310"/>
      <c r="AC661" s="310"/>
      <c r="AD661" s="310"/>
      <c r="AE661" s="310"/>
      <c r="AF661" s="310"/>
      <c r="AG661" s="310"/>
      <c r="AH661" s="310"/>
      <c r="AI661" s="310"/>
      <c r="AJ661" s="310"/>
      <c r="AK661" s="310"/>
      <c r="AL661" s="310"/>
      <c r="AM661" s="310"/>
      <c r="AN661" s="310"/>
      <c r="AO661" s="310"/>
      <c r="AP661" s="12"/>
      <c r="AQ661" s="3"/>
      <c r="AR661" s="3"/>
      <c r="AS661" s="3"/>
      <c r="AT661" s="3"/>
      <c r="AU661" s="3"/>
      <c r="AV661" s="3"/>
      <c r="AW661" s="3"/>
      <c r="AX661" s="3"/>
      <c r="AY661" s="3"/>
      <c r="AZ661" s="3"/>
      <c r="BA661" s="3"/>
      <c r="BB661" s="3"/>
      <c r="BC661" s="3"/>
    </row>
    <row r="662" ht="15.75" customHeight="1">
      <c r="A662" s="12"/>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c r="AA662" s="310"/>
      <c r="AB662" s="310"/>
      <c r="AC662" s="310"/>
      <c r="AD662" s="310"/>
      <c r="AE662" s="310"/>
      <c r="AF662" s="310"/>
      <c r="AG662" s="310"/>
      <c r="AH662" s="310"/>
      <c r="AI662" s="310"/>
      <c r="AJ662" s="310"/>
      <c r="AK662" s="310"/>
      <c r="AL662" s="310"/>
      <c r="AM662" s="310"/>
      <c r="AN662" s="310"/>
      <c r="AO662" s="310"/>
      <c r="AP662" s="12"/>
      <c r="AQ662" s="3"/>
      <c r="AR662" s="3"/>
      <c r="AS662" s="3"/>
      <c r="AT662" s="3"/>
      <c r="AU662" s="3"/>
      <c r="AV662" s="3"/>
      <c r="AW662" s="3"/>
      <c r="AX662" s="3"/>
      <c r="AY662" s="3"/>
      <c r="AZ662" s="3"/>
      <c r="BA662" s="3"/>
      <c r="BB662" s="3"/>
      <c r="BC662" s="3"/>
    </row>
    <row r="663" ht="15.75" customHeight="1">
      <c r="A663" s="12"/>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c r="AA663" s="310"/>
      <c r="AB663" s="310"/>
      <c r="AC663" s="310"/>
      <c r="AD663" s="310"/>
      <c r="AE663" s="310"/>
      <c r="AF663" s="310"/>
      <c r="AG663" s="310"/>
      <c r="AH663" s="310"/>
      <c r="AI663" s="310"/>
      <c r="AJ663" s="310"/>
      <c r="AK663" s="310"/>
      <c r="AL663" s="310"/>
      <c r="AM663" s="310"/>
      <c r="AN663" s="310"/>
      <c r="AO663" s="310"/>
      <c r="AP663" s="12"/>
      <c r="AQ663" s="3"/>
      <c r="AR663" s="3"/>
      <c r="AS663" s="3"/>
      <c r="AT663" s="3"/>
      <c r="AU663" s="3"/>
      <c r="AV663" s="3"/>
      <c r="AW663" s="3"/>
      <c r="AX663" s="3"/>
      <c r="AY663" s="3"/>
      <c r="AZ663" s="3"/>
      <c r="BA663" s="3"/>
      <c r="BB663" s="3"/>
      <c r="BC663" s="3"/>
    </row>
    <row r="664" ht="15.75" customHeight="1">
      <c r="A664" s="12"/>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c r="AA664" s="310"/>
      <c r="AB664" s="310"/>
      <c r="AC664" s="310"/>
      <c r="AD664" s="310"/>
      <c r="AE664" s="310"/>
      <c r="AF664" s="310"/>
      <c r="AG664" s="310"/>
      <c r="AH664" s="310"/>
      <c r="AI664" s="310"/>
      <c r="AJ664" s="310"/>
      <c r="AK664" s="310"/>
      <c r="AL664" s="310"/>
      <c r="AM664" s="310"/>
      <c r="AN664" s="310"/>
      <c r="AO664" s="310"/>
      <c r="AP664" s="12"/>
      <c r="AQ664" s="3"/>
      <c r="AR664" s="3"/>
      <c r="AS664" s="3"/>
      <c r="AT664" s="3"/>
      <c r="AU664" s="3"/>
      <c r="AV664" s="3"/>
      <c r="AW664" s="3"/>
      <c r="AX664" s="3"/>
      <c r="AY664" s="3"/>
      <c r="AZ664" s="3"/>
      <c r="BA664" s="3"/>
      <c r="BB664" s="3"/>
      <c r="BC664" s="3"/>
    </row>
    <row r="665" ht="15.75" customHeight="1">
      <c r="A665" s="12"/>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c r="AA665" s="310"/>
      <c r="AB665" s="310"/>
      <c r="AC665" s="310"/>
      <c r="AD665" s="310"/>
      <c r="AE665" s="310"/>
      <c r="AF665" s="310"/>
      <c r="AG665" s="310"/>
      <c r="AH665" s="310"/>
      <c r="AI665" s="310"/>
      <c r="AJ665" s="310"/>
      <c r="AK665" s="310"/>
      <c r="AL665" s="310"/>
      <c r="AM665" s="310"/>
      <c r="AN665" s="310"/>
      <c r="AO665" s="310"/>
      <c r="AP665" s="12"/>
      <c r="AQ665" s="3"/>
      <c r="AR665" s="3"/>
      <c r="AS665" s="3"/>
      <c r="AT665" s="3"/>
      <c r="AU665" s="3"/>
      <c r="AV665" s="3"/>
      <c r="AW665" s="3"/>
      <c r="AX665" s="3"/>
      <c r="AY665" s="3"/>
      <c r="AZ665" s="3"/>
      <c r="BA665" s="3"/>
      <c r="BB665" s="3"/>
      <c r="BC665" s="3"/>
    </row>
    <row r="666" ht="15.75" customHeight="1">
      <c r="A666" s="12"/>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c r="AA666" s="310"/>
      <c r="AB666" s="310"/>
      <c r="AC666" s="310"/>
      <c r="AD666" s="310"/>
      <c r="AE666" s="310"/>
      <c r="AF666" s="310"/>
      <c r="AG666" s="310"/>
      <c r="AH666" s="310"/>
      <c r="AI666" s="310"/>
      <c r="AJ666" s="310"/>
      <c r="AK666" s="310"/>
      <c r="AL666" s="310"/>
      <c r="AM666" s="310"/>
      <c r="AN666" s="310"/>
      <c r="AO666" s="310"/>
      <c r="AP666" s="12"/>
      <c r="AQ666" s="3"/>
      <c r="AR666" s="3"/>
      <c r="AS666" s="3"/>
      <c r="AT666" s="3"/>
      <c r="AU666" s="3"/>
      <c r="AV666" s="3"/>
      <c r="AW666" s="3"/>
      <c r="AX666" s="3"/>
      <c r="AY666" s="3"/>
      <c r="AZ666" s="3"/>
      <c r="BA666" s="3"/>
      <c r="BB666" s="3"/>
      <c r="BC666" s="3"/>
    </row>
    <row r="667" ht="15.75" customHeight="1">
      <c r="A667" s="12"/>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c r="AA667" s="310"/>
      <c r="AB667" s="310"/>
      <c r="AC667" s="310"/>
      <c r="AD667" s="310"/>
      <c r="AE667" s="310"/>
      <c r="AF667" s="310"/>
      <c r="AG667" s="310"/>
      <c r="AH667" s="310"/>
      <c r="AI667" s="310"/>
      <c r="AJ667" s="310"/>
      <c r="AK667" s="310"/>
      <c r="AL667" s="310"/>
      <c r="AM667" s="310"/>
      <c r="AN667" s="310"/>
      <c r="AO667" s="310"/>
      <c r="AP667" s="12"/>
      <c r="AQ667" s="3"/>
      <c r="AR667" s="3"/>
      <c r="AS667" s="3"/>
      <c r="AT667" s="3"/>
      <c r="AU667" s="3"/>
      <c r="AV667" s="3"/>
      <c r="AW667" s="3"/>
      <c r="AX667" s="3"/>
      <c r="AY667" s="3"/>
      <c r="AZ667" s="3"/>
      <c r="BA667" s="3"/>
      <c r="BB667" s="3"/>
      <c r="BC667" s="3"/>
    </row>
    <row r="668" ht="15.75" customHeight="1">
      <c r="A668" s="12"/>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c r="AA668" s="310"/>
      <c r="AB668" s="310"/>
      <c r="AC668" s="310"/>
      <c r="AD668" s="310"/>
      <c r="AE668" s="310"/>
      <c r="AF668" s="310"/>
      <c r="AG668" s="310"/>
      <c r="AH668" s="310"/>
      <c r="AI668" s="310"/>
      <c r="AJ668" s="310"/>
      <c r="AK668" s="310"/>
      <c r="AL668" s="310"/>
      <c r="AM668" s="310"/>
      <c r="AN668" s="310"/>
      <c r="AO668" s="310"/>
      <c r="AP668" s="12"/>
      <c r="AQ668" s="3"/>
      <c r="AR668" s="3"/>
      <c r="AS668" s="3"/>
      <c r="AT668" s="3"/>
      <c r="AU668" s="3"/>
      <c r="AV668" s="3"/>
      <c r="AW668" s="3"/>
      <c r="AX668" s="3"/>
      <c r="AY668" s="3"/>
      <c r="AZ668" s="3"/>
      <c r="BA668" s="3"/>
      <c r="BB668" s="3"/>
      <c r="BC668" s="3"/>
    </row>
    <row r="669" ht="15.75" customHeight="1">
      <c r="A669" s="12"/>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c r="AA669" s="310"/>
      <c r="AB669" s="310"/>
      <c r="AC669" s="310"/>
      <c r="AD669" s="310"/>
      <c r="AE669" s="310"/>
      <c r="AF669" s="310"/>
      <c r="AG669" s="310"/>
      <c r="AH669" s="310"/>
      <c r="AI669" s="310"/>
      <c r="AJ669" s="310"/>
      <c r="AK669" s="310"/>
      <c r="AL669" s="310"/>
      <c r="AM669" s="310"/>
      <c r="AN669" s="310"/>
      <c r="AO669" s="310"/>
      <c r="AP669" s="12"/>
      <c r="AQ669" s="3"/>
      <c r="AR669" s="3"/>
      <c r="AS669" s="3"/>
      <c r="AT669" s="3"/>
      <c r="AU669" s="3"/>
      <c r="AV669" s="3"/>
      <c r="AW669" s="3"/>
      <c r="AX669" s="3"/>
      <c r="AY669" s="3"/>
      <c r="AZ669" s="3"/>
      <c r="BA669" s="3"/>
      <c r="BB669" s="3"/>
      <c r="BC669" s="3"/>
    </row>
    <row r="670" ht="15.75" customHeight="1">
      <c r="A670" s="12"/>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c r="AA670" s="310"/>
      <c r="AB670" s="310"/>
      <c r="AC670" s="310"/>
      <c r="AD670" s="310"/>
      <c r="AE670" s="310"/>
      <c r="AF670" s="310"/>
      <c r="AG670" s="310"/>
      <c r="AH670" s="310"/>
      <c r="AI670" s="310"/>
      <c r="AJ670" s="310"/>
      <c r="AK670" s="310"/>
      <c r="AL670" s="310"/>
      <c r="AM670" s="310"/>
      <c r="AN670" s="310"/>
      <c r="AO670" s="310"/>
      <c r="AP670" s="12"/>
      <c r="AQ670" s="3"/>
      <c r="AR670" s="3"/>
      <c r="AS670" s="3"/>
      <c r="AT670" s="3"/>
      <c r="AU670" s="3"/>
      <c r="AV670" s="3"/>
      <c r="AW670" s="3"/>
      <c r="AX670" s="3"/>
      <c r="AY670" s="3"/>
      <c r="AZ670" s="3"/>
      <c r="BA670" s="3"/>
      <c r="BB670" s="3"/>
      <c r="BC670" s="3"/>
    </row>
    <row r="671" ht="15.75" customHeight="1">
      <c r="A671" s="12"/>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c r="AA671" s="310"/>
      <c r="AB671" s="310"/>
      <c r="AC671" s="310"/>
      <c r="AD671" s="310"/>
      <c r="AE671" s="310"/>
      <c r="AF671" s="310"/>
      <c r="AG671" s="310"/>
      <c r="AH671" s="310"/>
      <c r="AI671" s="310"/>
      <c r="AJ671" s="310"/>
      <c r="AK671" s="310"/>
      <c r="AL671" s="310"/>
      <c r="AM671" s="310"/>
      <c r="AN671" s="310"/>
      <c r="AO671" s="310"/>
      <c r="AP671" s="12"/>
      <c r="AQ671" s="3"/>
      <c r="AR671" s="3"/>
      <c r="AS671" s="3"/>
      <c r="AT671" s="3"/>
      <c r="AU671" s="3"/>
      <c r="AV671" s="3"/>
      <c r="AW671" s="3"/>
      <c r="AX671" s="3"/>
      <c r="AY671" s="3"/>
      <c r="AZ671" s="3"/>
      <c r="BA671" s="3"/>
      <c r="BB671" s="3"/>
      <c r="BC671" s="3"/>
    </row>
    <row r="672" ht="15.75" customHeight="1">
      <c r="A672" s="12"/>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c r="AA672" s="310"/>
      <c r="AB672" s="310"/>
      <c r="AC672" s="310"/>
      <c r="AD672" s="310"/>
      <c r="AE672" s="310"/>
      <c r="AF672" s="310"/>
      <c r="AG672" s="310"/>
      <c r="AH672" s="310"/>
      <c r="AI672" s="310"/>
      <c r="AJ672" s="310"/>
      <c r="AK672" s="310"/>
      <c r="AL672" s="310"/>
      <c r="AM672" s="310"/>
      <c r="AN672" s="310"/>
      <c r="AO672" s="310"/>
      <c r="AP672" s="12"/>
      <c r="AQ672" s="3"/>
      <c r="AR672" s="3"/>
      <c r="AS672" s="3"/>
      <c r="AT672" s="3"/>
      <c r="AU672" s="3"/>
      <c r="AV672" s="3"/>
      <c r="AW672" s="3"/>
      <c r="AX672" s="3"/>
      <c r="AY672" s="3"/>
      <c r="AZ672" s="3"/>
      <c r="BA672" s="3"/>
      <c r="BB672" s="3"/>
      <c r="BC672" s="3"/>
    </row>
    <row r="673" ht="15.75" customHeight="1">
      <c r="A673" s="12"/>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c r="AA673" s="310"/>
      <c r="AB673" s="310"/>
      <c r="AC673" s="310"/>
      <c r="AD673" s="310"/>
      <c r="AE673" s="310"/>
      <c r="AF673" s="310"/>
      <c r="AG673" s="310"/>
      <c r="AH673" s="310"/>
      <c r="AI673" s="310"/>
      <c r="AJ673" s="310"/>
      <c r="AK673" s="310"/>
      <c r="AL673" s="310"/>
      <c r="AM673" s="310"/>
      <c r="AN673" s="310"/>
      <c r="AO673" s="310"/>
      <c r="AP673" s="12"/>
      <c r="AQ673" s="3"/>
      <c r="AR673" s="3"/>
      <c r="AS673" s="3"/>
      <c r="AT673" s="3"/>
      <c r="AU673" s="3"/>
      <c r="AV673" s="3"/>
      <c r="AW673" s="3"/>
      <c r="AX673" s="3"/>
      <c r="AY673" s="3"/>
      <c r="AZ673" s="3"/>
      <c r="BA673" s="3"/>
      <c r="BB673" s="3"/>
      <c r="BC673" s="3"/>
    </row>
    <row r="674" ht="15.75" customHeight="1">
      <c r="A674" s="12"/>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c r="AA674" s="310"/>
      <c r="AB674" s="310"/>
      <c r="AC674" s="310"/>
      <c r="AD674" s="310"/>
      <c r="AE674" s="310"/>
      <c r="AF674" s="310"/>
      <c r="AG674" s="310"/>
      <c r="AH674" s="310"/>
      <c r="AI674" s="310"/>
      <c r="AJ674" s="310"/>
      <c r="AK674" s="310"/>
      <c r="AL674" s="310"/>
      <c r="AM674" s="310"/>
      <c r="AN674" s="310"/>
      <c r="AO674" s="310"/>
      <c r="AP674" s="12"/>
      <c r="AQ674" s="3"/>
      <c r="AR674" s="3"/>
      <c r="AS674" s="3"/>
      <c r="AT674" s="3"/>
      <c r="AU674" s="3"/>
      <c r="AV674" s="3"/>
      <c r="AW674" s="3"/>
      <c r="AX674" s="3"/>
      <c r="AY674" s="3"/>
      <c r="AZ674" s="3"/>
      <c r="BA674" s="3"/>
      <c r="BB674" s="3"/>
      <c r="BC674" s="3"/>
    </row>
    <row r="675" ht="15.75" customHeight="1">
      <c r="A675" s="12"/>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c r="AA675" s="310"/>
      <c r="AB675" s="310"/>
      <c r="AC675" s="310"/>
      <c r="AD675" s="310"/>
      <c r="AE675" s="310"/>
      <c r="AF675" s="310"/>
      <c r="AG675" s="310"/>
      <c r="AH675" s="310"/>
      <c r="AI675" s="310"/>
      <c r="AJ675" s="310"/>
      <c r="AK675" s="310"/>
      <c r="AL675" s="310"/>
      <c r="AM675" s="310"/>
      <c r="AN675" s="310"/>
      <c r="AO675" s="310"/>
      <c r="AP675" s="12"/>
      <c r="AQ675" s="3"/>
      <c r="AR675" s="3"/>
      <c r="AS675" s="3"/>
      <c r="AT675" s="3"/>
      <c r="AU675" s="3"/>
      <c r="AV675" s="3"/>
      <c r="AW675" s="3"/>
      <c r="AX675" s="3"/>
      <c r="AY675" s="3"/>
      <c r="AZ675" s="3"/>
      <c r="BA675" s="3"/>
      <c r="BB675" s="3"/>
      <c r="BC675" s="3"/>
    </row>
    <row r="676" ht="15.75" customHeight="1">
      <c r="A676" s="12"/>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c r="AA676" s="310"/>
      <c r="AB676" s="310"/>
      <c r="AC676" s="310"/>
      <c r="AD676" s="310"/>
      <c r="AE676" s="310"/>
      <c r="AF676" s="310"/>
      <c r="AG676" s="310"/>
      <c r="AH676" s="310"/>
      <c r="AI676" s="310"/>
      <c r="AJ676" s="310"/>
      <c r="AK676" s="310"/>
      <c r="AL676" s="310"/>
      <c r="AM676" s="310"/>
      <c r="AN676" s="310"/>
      <c r="AO676" s="310"/>
      <c r="AP676" s="12"/>
      <c r="AQ676" s="3"/>
      <c r="AR676" s="3"/>
      <c r="AS676" s="3"/>
      <c r="AT676" s="3"/>
      <c r="AU676" s="3"/>
      <c r="AV676" s="3"/>
      <c r="AW676" s="3"/>
      <c r="AX676" s="3"/>
      <c r="AY676" s="3"/>
      <c r="AZ676" s="3"/>
      <c r="BA676" s="3"/>
      <c r="BB676" s="3"/>
      <c r="BC676" s="3"/>
    </row>
    <row r="677" ht="15.75" customHeight="1">
      <c r="A677" s="12"/>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c r="AA677" s="310"/>
      <c r="AB677" s="310"/>
      <c r="AC677" s="310"/>
      <c r="AD677" s="310"/>
      <c r="AE677" s="310"/>
      <c r="AF677" s="310"/>
      <c r="AG677" s="310"/>
      <c r="AH677" s="310"/>
      <c r="AI677" s="310"/>
      <c r="AJ677" s="310"/>
      <c r="AK677" s="310"/>
      <c r="AL677" s="310"/>
      <c r="AM677" s="310"/>
      <c r="AN677" s="310"/>
      <c r="AO677" s="310"/>
      <c r="AP677" s="12"/>
      <c r="AQ677" s="3"/>
      <c r="AR677" s="3"/>
      <c r="AS677" s="3"/>
      <c r="AT677" s="3"/>
      <c r="AU677" s="3"/>
      <c r="AV677" s="3"/>
      <c r="AW677" s="3"/>
      <c r="AX677" s="3"/>
      <c r="AY677" s="3"/>
      <c r="AZ677" s="3"/>
      <c r="BA677" s="3"/>
      <c r="BB677" s="3"/>
      <c r="BC677" s="3"/>
    </row>
    <row r="678" ht="15.75" customHeight="1">
      <c r="A678" s="12"/>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c r="AA678" s="310"/>
      <c r="AB678" s="310"/>
      <c r="AC678" s="310"/>
      <c r="AD678" s="310"/>
      <c r="AE678" s="310"/>
      <c r="AF678" s="310"/>
      <c r="AG678" s="310"/>
      <c r="AH678" s="310"/>
      <c r="AI678" s="310"/>
      <c r="AJ678" s="310"/>
      <c r="AK678" s="310"/>
      <c r="AL678" s="310"/>
      <c r="AM678" s="310"/>
      <c r="AN678" s="310"/>
      <c r="AO678" s="310"/>
      <c r="AP678" s="12"/>
      <c r="AQ678" s="3"/>
      <c r="AR678" s="3"/>
      <c r="AS678" s="3"/>
      <c r="AT678" s="3"/>
      <c r="AU678" s="3"/>
      <c r="AV678" s="3"/>
      <c r="AW678" s="3"/>
      <c r="AX678" s="3"/>
      <c r="AY678" s="3"/>
      <c r="AZ678" s="3"/>
      <c r="BA678" s="3"/>
      <c r="BB678" s="3"/>
      <c r="BC678" s="3"/>
    </row>
    <row r="679" ht="15.75" customHeight="1">
      <c r="A679" s="12"/>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c r="AA679" s="310"/>
      <c r="AB679" s="310"/>
      <c r="AC679" s="310"/>
      <c r="AD679" s="310"/>
      <c r="AE679" s="310"/>
      <c r="AF679" s="310"/>
      <c r="AG679" s="310"/>
      <c r="AH679" s="310"/>
      <c r="AI679" s="310"/>
      <c r="AJ679" s="310"/>
      <c r="AK679" s="310"/>
      <c r="AL679" s="310"/>
      <c r="AM679" s="310"/>
      <c r="AN679" s="310"/>
      <c r="AO679" s="310"/>
      <c r="AP679" s="12"/>
      <c r="AQ679" s="3"/>
      <c r="AR679" s="3"/>
      <c r="AS679" s="3"/>
      <c r="AT679" s="3"/>
      <c r="AU679" s="3"/>
      <c r="AV679" s="3"/>
      <c r="AW679" s="3"/>
      <c r="AX679" s="3"/>
      <c r="AY679" s="3"/>
      <c r="AZ679" s="3"/>
      <c r="BA679" s="3"/>
      <c r="BB679" s="3"/>
      <c r="BC679" s="3"/>
    </row>
    <row r="680" ht="15.75" customHeight="1">
      <c r="A680" s="12"/>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c r="AA680" s="310"/>
      <c r="AB680" s="310"/>
      <c r="AC680" s="310"/>
      <c r="AD680" s="310"/>
      <c r="AE680" s="310"/>
      <c r="AF680" s="310"/>
      <c r="AG680" s="310"/>
      <c r="AH680" s="310"/>
      <c r="AI680" s="310"/>
      <c r="AJ680" s="310"/>
      <c r="AK680" s="310"/>
      <c r="AL680" s="310"/>
      <c r="AM680" s="310"/>
      <c r="AN680" s="310"/>
      <c r="AO680" s="310"/>
      <c r="AP680" s="12"/>
      <c r="AQ680" s="3"/>
      <c r="AR680" s="3"/>
      <c r="AS680" s="3"/>
      <c r="AT680" s="3"/>
      <c r="AU680" s="3"/>
      <c r="AV680" s="3"/>
      <c r="AW680" s="3"/>
      <c r="AX680" s="3"/>
      <c r="AY680" s="3"/>
      <c r="AZ680" s="3"/>
      <c r="BA680" s="3"/>
      <c r="BB680" s="3"/>
      <c r="BC680" s="3"/>
    </row>
    <row r="681" ht="15.75" customHeight="1">
      <c r="A681" s="12"/>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c r="AA681" s="310"/>
      <c r="AB681" s="310"/>
      <c r="AC681" s="310"/>
      <c r="AD681" s="310"/>
      <c r="AE681" s="310"/>
      <c r="AF681" s="310"/>
      <c r="AG681" s="310"/>
      <c r="AH681" s="310"/>
      <c r="AI681" s="310"/>
      <c r="AJ681" s="310"/>
      <c r="AK681" s="310"/>
      <c r="AL681" s="310"/>
      <c r="AM681" s="310"/>
      <c r="AN681" s="310"/>
      <c r="AO681" s="310"/>
      <c r="AP681" s="12"/>
      <c r="AQ681" s="3"/>
      <c r="AR681" s="3"/>
      <c r="AS681" s="3"/>
      <c r="AT681" s="3"/>
      <c r="AU681" s="3"/>
      <c r="AV681" s="3"/>
      <c r="AW681" s="3"/>
      <c r="AX681" s="3"/>
      <c r="AY681" s="3"/>
      <c r="AZ681" s="3"/>
      <c r="BA681" s="3"/>
      <c r="BB681" s="3"/>
      <c r="BC681" s="3"/>
    </row>
    <row r="682" ht="15.75" customHeight="1">
      <c r="A682" s="12"/>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c r="AA682" s="310"/>
      <c r="AB682" s="310"/>
      <c r="AC682" s="310"/>
      <c r="AD682" s="310"/>
      <c r="AE682" s="310"/>
      <c r="AF682" s="310"/>
      <c r="AG682" s="310"/>
      <c r="AH682" s="310"/>
      <c r="AI682" s="310"/>
      <c r="AJ682" s="310"/>
      <c r="AK682" s="310"/>
      <c r="AL682" s="310"/>
      <c r="AM682" s="310"/>
      <c r="AN682" s="310"/>
      <c r="AO682" s="310"/>
      <c r="AP682" s="12"/>
      <c r="AQ682" s="3"/>
      <c r="AR682" s="3"/>
      <c r="AS682" s="3"/>
      <c r="AT682" s="3"/>
      <c r="AU682" s="3"/>
      <c r="AV682" s="3"/>
      <c r="AW682" s="3"/>
      <c r="AX682" s="3"/>
      <c r="AY682" s="3"/>
      <c r="AZ682" s="3"/>
      <c r="BA682" s="3"/>
      <c r="BB682" s="3"/>
      <c r="BC682" s="3"/>
    </row>
    <row r="683" ht="15.75" customHeight="1">
      <c r="A683" s="12"/>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c r="AA683" s="310"/>
      <c r="AB683" s="310"/>
      <c r="AC683" s="310"/>
      <c r="AD683" s="310"/>
      <c r="AE683" s="310"/>
      <c r="AF683" s="310"/>
      <c r="AG683" s="310"/>
      <c r="AH683" s="310"/>
      <c r="AI683" s="310"/>
      <c r="AJ683" s="310"/>
      <c r="AK683" s="310"/>
      <c r="AL683" s="310"/>
      <c r="AM683" s="310"/>
      <c r="AN683" s="310"/>
      <c r="AO683" s="310"/>
      <c r="AP683" s="12"/>
      <c r="AQ683" s="3"/>
      <c r="AR683" s="3"/>
      <c r="AS683" s="3"/>
      <c r="AT683" s="3"/>
      <c r="AU683" s="3"/>
      <c r="AV683" s="3"/>
      <c r="AW683" s="3"/>
      <c r="AX683" s="3"/>
      <c r="AY683" s="3"/>
      <c r="AZ683" s="3"/>
      <c r="BA683" s="3"/>
      <c r="BB683" s="3"/>
      <c r="BC683" s="3"/>
    </row>
    <row r="684" ht="15.75" customHeight="1">
      <c r="A684" s="12"/>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c r="AA684" s="310"/>
      <c r="AB684" s="310"/>
      <c r="AC684" s="310"/>
      <c r="AD684" s="310"/>
      <c r="AE684" s="310"/>
      <c r="AF684" s="310"/>
      <c r="AG684" s="310"/>
      <c r="AH684" s="310"/>
      <c r="AI684" s="310"/>
      <c r="AJ684" s="310"/>
      <c r="AK684" s="310"/>
      <c r="AL684" s="310"/>
      <c r="AM684" s="310"/>
      <c r="AN684" s="310"/>
      <c r="AO684" s="310"/>
      <c r="AP684" s="12"/>
      <c r="AQ684" s="3"/>
      <c r="AR684" s="3"/>
      <c r="AS684" s="3"/>
      <c r="AT684" s="3"/>
      <c r="AU684" s="3"/>
      <c r="AV684" s="3"/>
      <c r="AW684" s="3"/>
      <c r="AX684" s="3"/>
      <c r="AY684" s="3"/>
      <c r="AZ684" s="3"/>
      <c r="BA684" s="3"/>
      <c r="BB684" s="3"/>
      <c r="BC684" s="3"/>
    </row>
    <row r="685" ht="15.75" customHeight="1">
      <c r="A685" s="12"/>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c r="AA685" s="310"/>
      <c r="AB685" s="310"/>
      <c r="AC685" s="310"/>
      <c r="AD685" s="310"/>
      <c r="AE685" s="310"/>
      <c r="AF685" s="310"/>
      <c r="AG685" s="310"/>
      <c r="AH685" s="310"/>
      <c r="AI685" s="310"/>
      <c r="AJ685" s="310"/>
      <c r="AK685" s="310"/>
      <c r="AL685" s="310"/>
      <c r="AM685" s="310"/>
      <c r="AN685" s="310"/>
      <c r="AO685" s="310"/>
      <c r="AP685" s="12"/>
      <c r="AQ685" s="3"/>
      <c r="AR685" s="3"/>
      <c r="AS685" s="3"/>
      <c r="AT685" s="3"/>
      <c r="AU685" s="3"/>
      <c r="AV685" s="3"/>
      <c r="AW685" s="3"/>
      <c r="AX685" s="3"/>
      <c r="AY685" s="3"/>
      <c r="AZ685" s="3"/>
      <c r="BA685" s="3"/>
      <c r="BB685" s="3"/>
      <c r="BC685" s="3"/>
    </row>
    <row r="686" ht="15.75" customHeight="1">
      <c r="A686" s="12"/>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c r="AA686" s="310"/>
      <c r="AB686" s="310"/>
      <c r="AC686" s="310"/>
      <c r="AD686" s="310"/>
      <c r="AE686" s="310"/>
      <c r="AF686" s="310"/>
      <c r="AG686" s="310"/>
      <c r="AH686" s="310"/>
      <c r="AI686" s="310"/>
      <c r="AJ686" s="310"/>
      <c r="AK686" s="310"/>
      <c r="AL686" s="310"/>
      <c r="AM686" s="310"/>
      <c r="AN686" s="310"/>
      <c r="AO686" s="310"/>
      <c r="AP686" s="12"/>
      <c r="AQ686" s="3"/>
      <c r="AR686" s="3"/>
      <c r="AS686" s="3"/>
      <c r="AT686" s="3"/>
      <c r="AU686" s="3"/>
      <c r="AV686" s="3"/>
      <c r="AW686" s="3"/>
      <c r="AX686" s="3"/>
      <c r="AY686" s="3"/>
      <c r="AZ686" s="3"/>
      <c r="BA686" s="3"/>
      <c r="BB686" s="3"/>
      <c r="BC686" s="3"/>
    </row>
    <row r="687" ht="15.75" customHeight="1">
      <c r="A687" s="12"/>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c r="AA687" s="310"/>
      <c r="AB687" s="310"/>
      <c r="AC687" s="310"/>
      <c r="AD687" s="310"/>
      <c r="AE687" s="310"/>
      <c r="AF687" s="310"/>
      <c r="AG687" s="310"/>
      <c r="AH687" s="310"/>
      <c r="AI687" s="310"/>
      <c r="AJ687" s="310"/>
      <c r="AK687" s="310"/>
      <c r="AL687" s="310"/>
      <c r="AM687" s="310"/>
      <c r="AN687" s="310"/>
      <c r="AO687" s="310"/>
      <c r="AP687" s="12"/>
      <c r="AQ687" s="3"/>
      <c r="AR687" s="3"/>
      <c r="AS687" s="3"/>
      <c r="AT687" s="3"/>
      <c r="AU687" s="3"/>
      <c r="AV687" s="3"/>
      <c r="AW687" s="3"/>
      <c r="AX687" s="3"/>
      <c r="AY687" s="3"/>
      <c r="AZ687" s="3"/>
      <c r="BA687" s="3"/>
      <c r="BB687" s="3"/>
      <c r="BC687" s="3"/>
    </row>
    <row r="688" ht="15.75" customHeight="1">
      <c r="A688" s="12"/>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c r="AA688" s="310"/>
      <c r="AB688" s="310"/>
      <c r="AC688" s="310"/>
      <c r="AD688" s="310"/>
      <c r="AE688" s="310"/>
      <c r="AF688" s="310"/>
      <c r="AG688" s="310"/>
      <c r="AH688" s="310"/>
      <c r="AI688" s="310"/>
      <c r="AJ688" s="310"/>
      <c r="AK688" s="310"/>
      <c r="AL688" s="310"/>
      <c r="AM688" s="310"/>
      <c r="AN688" s="310"/>
      <c r="AO688" s="310"/>
      <c r="AP688" s="12"/>
      <c r="AQ688" s="3"/>
      <c r="AR688" s="3"/>
      <c r="AS688" s="3"/>
      <c r="AT688" s="3"/>
      <c r="AU688" s="3"/>
      <c r="AV688" s="3"/>
      <c r="AW688" s="3"/>
      <c r="AX688" s="3"/>
      <c r="AY688" s="3"/>
      <c r="AZ688" s="3"/>
      <c r="BA688" s="3"/>
      <c r="BB688" s="3"/>
      <c r="BC688" s="3"/>
    </row>
    <row r="689" ht="15.75" customHeight="1">
      <c r="A689" s="12"/>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c r="AA689" s="310"/>
      <c r="AB689" s="310"/>
      <c r="AC689" s="310"/>
      <c r="AD689" s="310"/>
      <c r="AE689" s="310"/>
      <c r="AF689" s="310"/>
      <c r="AG689" s="310"/>
      <c r="AH689" s="310"/>
      <c r="AI689" s="310"/>
      <c r="AJ689" s="310"/>
      <c r="AK689" s="310"/>
      <c r="AL689" s="310"/>
      <c r="AM689" s="310"/>
      <c r="AN689" s="310"/>
      <c r="AO689" s="310"/>
      <c r="AP689" s="12"/>
      <c r="AQ689" s="3"/>
      <c r="AR689" s="3"/>
      <c r="AS689" s="3"/>
      <c r="AT689" s="3"/>
      <c r="AU689" s="3"/>
      <c r="AV689" s="3"/>
      <c r="AW689" s="3"/>
      <c r="AX689" s="3"/>
      <c r="AY689" s="3"/>
      <c r="AZ689" s="3"/>
      <c r="BA689" s="3"/>
      <c r="BB689" s="3"/>
      <c r="BC689" s="3"/>
    </row>
    <row r="690" ht="15.75" customHeight="1">
      <c r="A690" s="12"/>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c r="AA690" s="310"/>
      <c r="AB690" s="310"/>
      <c r="AC690" s="310"/>
      <c r="AD690" s="310"/>
      <c r="AE690" s="310"/>
      <c r="AF690" s="310"/>
      <c r="AG690" s="310"/>
      <c r="AH690" s="310"/>
      <c r="AI690" s="310"/>
      <c r="AJ690" s="310"/>
      <c r="AK690" s="310"/>
      <c r="AL690" s="310"/>
      <c r="AM690" s="310"/>
      <c r="AN690" s="310"/>
      <c r="AO690" s="310"/>
      <c r="AP690" s="12"/>
      <c r="AQ690" s="3"/>
      <c r="AR690" s="3"/>
      <c r="AS690" s="3"/>
      <c r="AT690" s="3"/>
      <c r="AU690" s="3"/>
      <c r="AV690" s="3"/>
      <c r="AW690" s="3"/>
      <c r="AX690" s="3"/>
      <c r="AY690" s="3"/>
      <c r="AZ690" s="3"/>
      <c r="BA690" s="3"/>
      <c r="BB690" s="3"/>
      <c r="BC690" s="3"/>
    </row>
    <row r="691" ht="15.75" customHeight="1">
      <c r="A691" s="12"/>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c r="AA691" s="310"/>
      <c r="AB691" s="310"/>
      <c r="AC691" s="310"/>
      <c r="AD691" s="310"/>
      <c r="AE691" s="310"/>
      <c r="AF691" s="310"/>
      <c r="AG691" s="310"/>
      <c r="AH691" s="310"/>
      <c r="AI691" s="310"/>
      <c r="AJ691" s="310"/>
      <c r="AK691" s="310"/>
      <c r="AL691" s="310"/>
      <c r="AM691" s="310"/>
      <c r="AN691" s="310"/>
      <c r="AO691" s="310"/>
      <c r="AP691" s="12"/>
      <c r="AQ691" s="3"/>
      <c r="AR691" s="3"/>
      <c r="AS691" s="3"/>
      <c r="AT691" s="3"/>
      <c r="AU691" s="3"/>
      <c r="AV691" s="3"/>
      <c r="AW691" s="3"/>
      <c r="AX691" s="3"/>
      <c r="AY691" s="3"/>
      <c r="AZ691" s="3"/>
      <c r="BA691" s="3"/>
      <c r="BB691" s="3"/>
      <c r="BC691" s="3"/>
    </row>
    <row r="692" ht="15.75" customHeight="1">
      <c r="A692" s="12"/>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c r="AA692" s="310"/>
      <c r="AB692" s="310"/>
      <c r="AC692" s="310"/>
      <c r="AD692" s="310"/>
      <c r="AE692" s="310"/>
      <c r="AF692" s="310"/>
      <c r="AG692" s="310"/>
      <c r="AH692" s="310"/>
      <c r="AI692" s="310"/>
      <c r="AJ692" s="310"/>
      <c r="AK692" s="310"/>
      <c r="AL692" s="310"/>
      <c r="AM692" s="310"/>
      <c r="AN692" s="310"/>
      <c r="AO692" s="310"/>
      <c r="AP692" s="12"/>
      <c r="AQ692" s="3"/>
      <c r="AR692" s="3"/>
      <c r="AS692" s="3"/>
      <c r="AT692" s="3"/>
      <c r="AU692" s="3"/>
      <c r="AV692" s="3"/>
      <c r="AW692" s="3"/>
      <c r="AX692" s="3"/>
      <c r="AY692" s="3"/>
      <c r="AZ692" s="3"/>
      <c r="BA692" s="3"/>
      <c r="BB692" s="3"/>
      <c r="BC692" s="3"/>
    </row>
    <row r="693" ht="15.75" customHeight="1">
      <c r="A693" s="12"/>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c r="AA693" s="310"/>
      <c r="AB693" s="310"/>
      <c r="AC693" s="310"/>
      <c r="AD693" s="310"/>
      <c r="AE693" s="310"/>
      <c r="AF693" s="310"/>
      <c r="AG693" s="310"/>
      <c r="AH693" s="310"/>
      <c r="AI693" s="310"/>
      <c r="AJ693" s="310"/>
      <c r="AK693" s="310"/>
      <c r="AL693" s="310"/>
      <c r="AM693" s="310"/>
      <c r="AN693" s="310"/>
      <c r="AO693" s="310"/>
      <c r="AP693" s="12"/>
      <c r="AQ693" s="3"/>
      <c r="AR693" s="3"/>
      <c r="AS693" s="3"/>
      <c r="AT693" s="3"/>
      <c r="AU693" s="3"/>
      <c r="AV693" s="3"/>
      <c r="AW693" s="3"/>
      <c r="AX693" s="3"/>
      <c r="AY693" s="3"/>
      <c r="AZ693" s="3"/>
      <c r="BA693" s="3"/>
      <c r="BB693" s="3"/>
      <c r="BC693" s="3"/>
    </row>
    <row r="694" ht="15.75" customHeight="1">
      <c r="A694" s="12"/>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c r="AA694" s="310"/>
      <c r="AB694" s="310"/>
      <c r="AC694" s="310"/>
      <c r="AD694" s="310"/>
      <c r="AE694" s="310"/>
      <c r="AF694" s="310"/>
      <c r="AG694" s="310"/>
      <c r="AH694" s="310"/>
      <c r="AI694" s="310"/>
      <c r="AJ694" s="310"/>
      <c r="AK694" s="310"/>
      <c r="AL694" s="310"/>
      <c r="AM694" s="310"/>
      <c r="AN694" s="310"/>
      <c r="AO694" s="310"/>
      <c r="AP694" s="12"/>
      <c r="AQ694" s="3"/>
      <c r="AR694" s="3"/>
      <c r="AS694" s="3"/>
      <c r="AT694" s="3"/>
      <c r="AU694" s="3"/>
      <c r="AV694" s="3"/>
      <c r="AW694" s="3"/>
      <c r="AX694" s="3"/>
      <c r="AY694" s="3"/>
      <c r="AZ694" s="3"/>
      <c r="BA694" s="3"/>
      <c r="BB694" s="3"/>
      <c r="BC694" s="3"/>
    </row>
    <row r="695" ht="15.75" customHeight="1">
      <c r="A695" s="12"/>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c r="AA695" s="310"/>
      <c r="AB695" s="310"/>
      <c r="AC695" s="310"/>
      <c r="AD695" s="310"/>
      <c r="AE695" s="310"/>
      <c r="AF695" s="310"/>
      <c r="AG695" s="310"/>
      <c r="AH695" s="310"/>
      <c r="AI695" s="310"/>
      <c r="AJ695" s="310"/>
      <c r="AK695" s="310"/>
      <c r="AL695" s="310"/>
      <c r="AM695" s="310"/>
      <c r="AN695" s="310"/>
      <c r="AO695" s="310"/>
      <c r="AP695" s="12"/>
      <c r="AQ695" s="3"/>
      <c r="AR695" s="3"/>
      <c r="AS695" s="3"/>
      <c r="AT695" s="3"/>
      <c r="AU695" s="3"/>
      <c r="AV695" s="3"/>
      <c r="AW695" s="3"/>
      <c r="AX695" s="3"/>
      <c r="AY695" s="3"/>
      <c r="AZ695" s="3"/>
      <c r="BA695" s="3"/>
      <c r="BB695" s="3"/>
      <c r="BC695" s="3"/>
    </row>
    <row r="696" ht="15.75" customHeight="1">
      <c r="A696" s="12"/>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c r="AA696" s="310"/>
      <c r="AB696" s="310"/>
      <c r="AC696" s="310"/>
      <c r="AD696" s="310"/>
      <c r="AE696" s="310"/>
      <c r="AF696" s="310"/>
      <c r="AG696" s="310"/>
      <c r="AH696" s="310"/>
      <c r="AI696" s="310"/>
      <c r="AJ696" s="310"/>
      <c r="AK696" s="310"/>
      <c r="AL696" s="310"/>
      <c r="AM696" s="310"/>
      <c r="AN696" s="310"/>
      <c r="AO696" s="310"/>
      <c r="AP696" s="12"/>
      <c r="AQ696" s="3"/>
      <c r="AR696" s="3"/>
      <c r="AS696" s="3"/>
      <c r="AT696" s="3"/>
      <c r="AU696" s="3"/>
      <c r="AV696" s="3"/>
      <c r="AW696" s="3"/>
      <c r="AX696" s="3"/>
      <c r="AY696" s="3"/>
      <c r="AZ696" s="3"/>
      <c r="BA696" s="3"/>
      <c r="BB696" s="3"/>
      <c r="BC696" s="3"/>
    </row>
    <row r="697" ht="15.75" customHeight="1">
      <c r="A697" s="12"/>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c r="AA697" s="310"/>
      <c r="AB697" s="310"/>
      <c r="AC697" s="310"/>
      <c r="AD697" s="310"/>
      <c r="AE697" s="310"/>
      <c r="AF697" s="310"/>
      <c r="AG697" s="310"/>
      <c r="AH697" s="310"/>
      <c r="AI697" s="310"/>
      <c r="AJ697" s="310"/>
      <c r="AK697" s="310"/>
      <c r="AL697" s="310"/>
      <c r="AM697" s="310"/>
      <c r="AN697" s="310"/>
      <c r="AO697" s="310"/>
      <c r="AP697" s="12"/>
      <c r="AQ697" s="3"/>
      <c r="AR697" s="3"/>
      <c r="AS697" s="3"/>
      <c r="AT697" s="3"/>
      <c r="AU697" s="3"/>
      <c r="AV697" s="3"/>
      <c r="AW697" s="3"/>
      <c r="AX697" s="3"/>
      <c r="AY697" s="3"/>
      <c r="AZ697" s="3"/>
      <c r="BA697" s="3"/>
      <c r="BB697" s="3"/>
      <c r="BC697" s="3"/>
    </row>
    <row r="698" ht="15.75" customHeight="1">
      <c r="A698" s="12"/>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c r="AA698" s="310"/>
      <c r="AB698" s="310"/>
      <c r="AC698" s="310"/>
      <c r="AD698" s="310"/>
      <c r="AE698" s="310"/>
      <c r="AF698" s="310"/>
      <c r="AG698" s="310"/>
      <c r="AH698" s="310"/>
      <c r="AI698" s="310"/>
      <c r="AJ698" s="310"/>
      <c r="AK698" s="310"/>
      <c r="AL698" s="310"/>
      <c r="AM698" s="310"/>
      <c r="AN698" s="310"/>
      <c r="AO698" s="310"/>
      <c r="AP698" s="12"/>
      <c r="AQ698" s="3"/>
      <c r="AR698" s="3"/>
      <c r="AS698" s="3"/>
      <c r="AT698" s="3"/>
      <c r="AU698" s="3"/>
      <c r="AV698" s="3"/>
      <c r="AW698" s="3"/>
      <c r="AX698" s="3"/>
      <c r="AY698" s="3"/>
      <c r="AZ698" s="3"/>
      <c r="BA698" s="3"/>
      <c r="BB698" s="3"/>
      <c r="BC698" s="3"/>
    </row>
    <row r="699" ht="15.75" customHeight="1">
      <c r="A699" s="12"/>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c r="AA699" s="310"/>
      <c r="AB699" s="310"/>
      <c r="AC699" s="310"/>
      <c r="AD699" s="310"/>
      <c r="AE699" s="310"/>
      <c r="AF699" s="310"/>
      <c r="AG699" s="310"/>
      <c r="AH699" s="310"/>
      <c r="AI699" s="310"/>
      <c r="AJ699" s="310"/>
      <c r="AK699" s="310"/>
      <c r="AL699" s="310"/>
      <c r="AM699" s="310"/>
      <c r="AN699" s="310"/>
      <c r="AO699" s="310"/>
      <c r="AP699" s="12"/>
      <c r="AQ699" s="3"/>
      <c r="AR699" s="3"/>
      <c r="AS699" s="3"/>
      <c r="AT699" s="3"/>
      <c r="AU699" s="3"/>
      <c r="AV699" s="3"/>
      <c r="AW699" s="3"/>
      <c r="AX699" s="3"/>
      <c r="AY699" s="3"/>
      <c r="AZ699" s="3"/>
      <c r="BA699" s="3"/>
      <c r="BB699" s="3"/>
      <c r="BC699" s="3"/>
    </row>
    <row r="700" ht="15.75" customHeight="1">
      <c r="A700" s="12"/>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c r="AA700" s="310"/>
      <c r="AB700" s="310"/>
      <c r="AC700" s="310"/>
      <c r="AD700" s="310"/>
      <c r="AE700" s="310"/>
      <c r="AF700" s="310"/>
      <c r="AG700" s="310"/>
      <c r="AH700" s="310"/>
      <c r="AI700" s="310"/>
      <c r="AJ700" s="310"/>
      <c r="AK700" s="310"/>
      <c r="AL700" s="310"/>
      <c r="AM700" s="310"/>
      <c r="AN700" s="310"/>
      <c r="AO700" s="310"/>
      <c r="AP700" s="12"/>
      <c r="AQ700" s="3"/>
      <c r="AR700" s="3"/>
      <c r="AS700" s="3"/>
      <c r="AT700" s="3"/>
      <c r="AU700" s="3"/>
      <c r="AV700" s="3"/>
      <c r="AW700" s="3"/>
      <c r="AX700" s="3"/>
      <c r="AY700" s="3"/>
      <c r="AZ700" s="3"/>
      <c r="BA700" s="3"/>
      <c r="BB700" s="3"/>
      <c r="BC700" s="3"/>
    </row>
    <row r="701" ht="15.75" customHeight="1">
      <c r="A701" s="12"/>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c r="AA701" s="310"/>
      <c r="AB701" s="310"/>
      <c r="AC701" s="310"/>
      <c r="AD701" s="310"/>
      <c r="AE701" s="310"/>
      <c r="AF701" s="310"/>
      <c r="AG701" s="310"/>
      <c r="AH701" s="310"/>
      <c r="AI701" s="310"/>
      <c r="AJ701" s="310"/>
      <c r="AK701" s="310"/>
      <c r="AL701" s="310"/>
      <c r="AM701" s="310"/>
      <c r="AN701" s="310"/>
      <c r="AO701" s="310"/>
      <c r="AP701" s="12"/>
      <c r="AQ701" s="3"/>
      <c r="AR701" s="3"/>
      <c r="AS701" s="3"/>
      <c r="AT701" s="3"/>
      <c r="AU701" s="3"/>
      <c r="AV701" s="3"/>
      <c r="AW701" s="3"/>
      <c r="AX701" s="3"/>
      <c r="AY701" s="3"/>
      <c r="AZ701" s="3"/>
      <c r="BA701" s="3"/>
      <c r="BB701" s="3"/>
      <c r="BC701" s="3"/>
    </row>
    <row r="702" ht="15.75" customHeight="1">
      <c r="A702" s="12"/>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c r="AA702" s="310"/>
      <c r="AB702" s="310"/>
      <c r="AC702" s="310"/>
      <c r="AD702" s="310"/>
      <c r="AE702" s="310"/>
      <c r="AF702" s="310"/>
      <c r="AG702" s="310"/>
      <c r="AH702" s="310"/>
      <c r="AI702" s="310"/>
      <c r="AJ702" s="310"/>
      <c r="AK702" s="310"/>
      <c r="AL702" s="310"/>
      <c r="AM702" s="310"/>
      <c r="AN702" s="310"/>
      <c r="AO702" s="310"/>
      <c r="AP702" s="12"/>
      <c r="AQ702" s="3"/>
      <c r="AR702" s="3"/>
      <c r="AS702" s="3"/>
      <c r="AT702" s="3"/>
      <c r="AU702" s="3"/>
      <c r="AV702" s="3"/>
      <c r="AW702" s="3"/>
      <c r="AX702" s="3"/>
      <c r="AY702" s="3"/>
      <c r="AZ702" s="3"/>
      <c r="BA702" s="3"/>
      <c r="BB702" s="3"/>
      <c r="BC702" s="3"/>
    </row>
    <row r="703" ht="15.75" customHeight="1">
      <c r="A703" s="12"/>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c r="AA703" s="310"/>
      <c r="AB703" s="310"/>
      <c r="AC703" s="310"/>
      <c r="AD703" s="310"/>
      <c r="AE703" s="310"/>
      <c r="AF703" s="310"/>
      <c r="AG703" s="310"/>
      <c r="AH703" s="310"/>
      <c r="AI703" s="310"/>
      <c r="AJ703" s="310"/>
      <c r="AK703" s="310"/>
      <c r="AL703" s="310"/>
      <c r="AM703" s="310"/>
      <c r="AN703" s="310"/>
      <c r="AO703" s="310"/>
      <c r="AP703" s="12"/>
      <c r="AQ703" s="3"/>
      <c r="AR703" s="3"/>
      <c r="AS703" s="3"/>
      <c r="AT703" s="3"/>
      <c r="AU703" s="3"/>
      <c r="AV703" s="3"/>
      <c r="AW703" s="3"/>
      <c r="AX703" s="3"/>
      <c r="AY703" s="3"/>
      <c r="AZ703" s="3"/>
      <c r="BA703" s="3"/>
      <c r="BB703" s="3"/>
      <c r="BC703" s="3"/>
    </row>
    <row r="704" ht="15.75" customHeight="1">
      <c r="A704" s="12"/>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c r="AA704" s="310"/>
      <c r="AB704" s="310"/>
      <c r="AC704" s="310"/>
      <c r="AD704" s="310"/>
      <c r="AE704" s="310"/>
      <c r="AF704" s="310"/>
      <c r="AG704" s="310"/>
      <c r="AH704" s="310"/>
      <c r="AI704" s="310"/>
      <c r="AJ704" s="310"/>
      <c r="AK704" s="310"/>
      <c r="AL704" s="310"/>
      <c r="AM704" s="310"/>
      <c r="AN704" s="310"/>
      <c r="AO704" s="310"/>
      <c r="AP704" s="12"/>
      <c r="AQ704" s="3"/>
      <c r="AR704" s="3"/>
      <c r="AS704" s="3"/>
      <c r="AT704" s="3"/>
      <c r="AU704" s="3"/>
      <c r="AV704" s="3"/>
      <c r="AW704" s="3"/>
      <c r="AX704" s="3"/>
      <c r="AY704" s="3"/>
      <c r="AZ704" s="3"/>
      <c r="BA704" s="3"/>
      <c r="BB704" s="3"/>
      <c r="BC704" s="3"/>
    </row>
    <row r="705" ht="15.75" customHeight="1">
      <c r="A705" s="12"/>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c r="AA705" s="310"/>
      <c r="AB705" s="310"/>
      <c r="AC705" s="310"/>
      <c r="AD705" s="310"/>
      <c r="AE705" s="310"/>
      <c r="AF705" s="310"/>
      <c r="AG705" s="310"/>
      <c r="AH705" s="310"/>
      <c r="AI705" s="310"/>
      <c r="AJ705" s="310"/>
      <c r="AK705" s="310"/>
      <c r="AL705" s="310"/>
      <c r="AM705" s="310"/>
      <c r="AN705" s="310"/>
      <c r="AO705" s="310"/>
      <c r="AP705" s="12"/>
      <c r="AQ705" s="3"/>
      <c r="AR705" s="3"/>
      <c r="AS705" s="3"/>
      <c r="AT705" s="3"/>
      <c r="AU705" s="3"/>
      <c r="AV705" s="3"/>
      <c r="AW705" s="3"/>
      <c r="AX705" s="3"/>
      <c r="AY705" s="3"/>
      <c r="AZ705" s="3"/>
      <c r="BA705" s="3"/>
      <c r="BB705" s="3"/>
      <c r="BC705" s="3"/>
    </row>
    <row r="706" ht="15.75" customHeight="1">
      <c r="A706" s="12"/>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c r="AA706" s="310"/>
      <c r="AB706" s="310"/>
      <c r="AC706" s="310"/>
      <c r="AD706" s="310"/>
      <c r="AE706" s="310"/>
      <c r="AF706" s="310"/>
      <c r="AG706" s="310"/>
      <c r="AH706" s="310"/>
      <c r="AI706" s="310"/>
      <c r="AJ706" s="310"/>
      <c r="AK706" s="310"/>
      <c r="AL706" s="310"/>
      <c r="AM706" s="310"/>
      <c r="AN706" s="310"/>
      <c r="AO706" s="310"/>
      <c r="AP706" s="12"/>
      <c r="AQ706" s="3"/>
      <c r="AR706" s="3"/>
      <c r="AS706" s="3"/>
      <c r="AT706" s="3"/>
      <c r="AU706" s="3"/>
      <c r="AV706" s="3"/>
      <c r="AW706" s="3"/>
      <c r="AX706" s="3"/>
      <c r="AY706" s="3"/>
      <c r="AZ706" s="3"/>
      <c r="BA706" s="3"/>
      <c r="BB706" s="3"/>
      <c r="BC706" s="3"/>
    </row>
    <row r="707" ht="15.75" customHeight="1">
      <c r="A707" s="12"/>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c r="AA707" s="310"/>
      <c r="AB707" s="310"/>
      <c r="AC707" s="310"/>
      <c r="AD707" s="310"/>
      <c r="AE707" s="310"/>
      <c r="AF707" s="310"/>
      <c r="AG707" s="310"/>
      <c r="AH707" s="310"/>
      <c r="AI707" s="310"/>
      <c r="AJ707" s="310"/>
      <c r="AK707" s="310"/>
      <c r="AL707" s="310"/>
      <c r="AM707" s="310"/>
      <c r="AN707" s="310"/>
      <c r="AO707" s="310"/>
      <c r="AP707" s="12"/>
      <c r="AQ707" s="3"/>
      <c r="AR707" s="3"/>
      <c r="AS707" s="3"/>
      <c r="AT707" s="3"/>
      <c r="AU707" s="3"/>
      <c r="AV707" s="3"/>
      <c r="AW707" s="3"/>
      <c r="AX707" s="3"/>
      <c r="AY707" s="3"/>
      <c r="AZ707" s="3"/>
      <c r="BA707" s="3"/>
      <c r="BB707" s="3"/>
      <c r="BC707" s="3"/>
    </row>
    <row r="708" ht="15.75" customHeight="1">
      <c r="A708" s="12"/>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c r="AA708" s="310"/>
      <c r="AB708" s="310"/>
      <c r="AC708" s="310"/>
      <c r="AD708" s="310"/>
      <c r="AE708" s="310"/>
      <c r="AF708" s="310"/>
      <c r="AG708" s="310"/>
      <c r="AH708" s="310"/>
      <c r="AI708" s="310"/>
      <c r="AJ708" s="310"/>
      <c r="AK708" s="310"/>
      <c r="AL708" s="310"/>
      <c r="AM708" s="310"/>
      <c r="AN708" s="310"/>
      <c r="AO708" s="310"/>
      <c r="AP708" s="12"/>
      <c r="AQ708" s="3"/>
      <c r="AR708" s="3"/>
      <c r="AS708" s="3"/>
      <c r="AT708" s="3"/>
      <c r="AU708" s="3"/>
      <c r="AV708" s="3"/>
      <c r="AW708" s="3"/>
      <c r="AX708" s="3"/>
      <c r="AY708" s="3"/>
      <c r="AZ708" s="3"/>
      <c r="BA708" s="3"/>
      <c r="BB708" s="3"/>
      <c r="BC708" s="3"/>
    </row>
    <row r="709" ht="15.75" customHeight="1">
      <c r="A709" s="12"/>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c r="AA709" s="310"/>
      <c r="AB709" s="310"/>
      <c r="AC709" s="310"/>
      <c r="AD709" s="310"/>
      <c r="AE709" s="310"/>
      <c r="AF709" s="310"/>
      <c r="AG709" s="310"/>
      <c r="AH709" s="310"/>
      <c r="AI709" s="310"/>
      <c r="AJ709" s="310"/>
      <c r="AK709" s="310"/>
      <c r="AL709" s="310"/>
      <c r="AM709" s="310"/>
      <c r="AN709" s="310"/>
      <c r="AO709" s="310"/>
      <c r="AP709" s="12"/>
      <c r="AQ709" s="3"/>
      <c r="AR709" s="3"/>
      <c r="AS709" s="3"/>
      <c r="AT709" s="3"/>
      <c r="AU709" s="3"/>
      <c r="AV709" s="3"/>
      <c r="AW709" s="3"/>
      <c r="AX709" s="3"/>
      <c r="AY709" s="3"/>
      <c r="AZ709" s="3"/>
      <c r="BA709" s="3"/>
      <c r="BB709" s="3"/>
      <c r="BC709" s="3"/>
    </row>
    <row r="710" ht="15.75" customHeight="1">
      <c r="A710" s="12"/>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c r="AA710" s="310"/>
      <c r="AB710" s="310"/>
      <c r="AC710" s="310"/>
      <c r="AD710" s="310"/>
      <c r="AE710" s="310"/>
      <c r="AF710" s="310"/>
      <c r="AG710" s="310"/>
      <c r="AH710" s="310"/>
      <c r="AI710" s="310"/>
      <c r="AJ710" s="310"/>
      <c r="AK710" s="310"/>
      <c r="AL710" s="310"/>
      <c r="AM710" s="310"/>
      <c r="AN710" s="310"/>
      <c r="AO710" s="310"/>
      <c r="AP710" s="12"/>
      <c r="AQ710" s="3"/>
      <c r="AR710" s="3"/>
      <c r="AS710" s="3"/>
      <c r="AT710" s="3"/>
      <c r="AU710" s="3"/>
      <c r="AV710" s="3"/>
      <c r="AW710" s="3"/>
      <c r="AX710" s="3"/>
      <c r="AY710" s="3"/>
      <c r="AZ710" s="3"/>
      <c r="BA710" s="3"/>
      <c r="BB710" s="3"/>
      <c r="BC710" s="3"/>
    </row>
    <row r="711" ht="15.75" customHeight="1">
      <c r="A711" s="12"/>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c r="AA711" s="310"/>
      <c r="AB711" s="310"/>
      <c r="AC711" s="310"/>
      <c r="AD711" s="310"/>
      <c r="AE711" s="310"/>
      <c r="AF711" s="310"/>
      <c r="AG711" s="310"/>
      <c r="AH711" s="310"/>
      <c r="AI711" s="310"/>
      <c r="AJ711" s="310"/>
      <c r="AK711" s="310"/>
      <c r="AL711" s="310"/>
      <c r="AM711" s="310"/>
      <c r="AN711" s="310"/>
      <c r="AO711" s="310"/>
      <c r="AP711" s="12"/>
      <c r="AQ711" s="3"/>
      <c r="AR711" s="3"/>
      <c r="AS711" s="3"/>
      <c r="AT711" s="3"/>
      <c r="AU711" s="3"/>
      <c r="AV711" s="3"/>
      <c r="AW711" s="3"/>
      <c r="AX711" s="3"/>
      <c r="AY711" s="3"/>
      <c r="AZ711" s="3"/>
      <c r="BA711" s="3"/>
      <c r="BB711" s="3"/>
      <c r="BC711" s="3"/>
    </row>
    <row r="712" ht="15.75" customHeight="1">
      <c r="A712" s="12"/>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c r="AA712" s="310"/>
      <c r="AB712" s="310"/>
      <c r="AC712" s="310"/>
      <c r="AD712" s="310"/>
      <c r="AE712" s="310"/>
      <c r="AF712" s="310"/>
      <c r="AG712" s="310"/>
      <c r="AH712" s="310"/>
      <c r="AI712" s="310"/>
      <c r="AJ712" s="310"/>
      <c r="AK712" s="310"/>
      <c r="AL712" s="310"/>
      <c r="AM712" s="310"/>
      <c r="AN712" s="310"/>
      <c r="AO712" s="310"/>
      <c r="AP712" s="12"/>
      <c r="AQ712" s="3"/>
      <c r="AR712" s="3"/>
      <c r="AS712" s="3"/>
      <c r="AT712" s="3"/>
      <c r="AU712" s="3"/>
      <c r="AV712" s="3"/>
      <c r="AW712" s="3"/>
      <c r="AX712" s="3"/>
      <c r="AY712" s="3"/>
      <c r="AZ712" s="3"/>
      <c r="BA712" s="3"/>
      <c r="BB712" s="3"/>
      <c r="BC712" s="3"/>
    </row>
    <row r="713" ht="15.75" customHeight="1">
      <c r="A713" s="12"/>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c r="AA713" s="310"/>
      <c r="AB713" s="310"/>
      <c r="AC713" s="310"/>
      <c r="AD713" s="310"/>
      <c r="AE713" s="310"/>
      <c r="AF713" s="310"/>
      <c r="AG713" s="310"/>
      <c r="AH713" s="310"/>
      <c r="AI713" s="310"/>
      <c r="AJ713" s="310"/>
      <c r="AK713" s="310"/>
      <c r="AL713" s="310"/>
      <c r="AM713" s="310"/>
      <c r="AN713" s="310"/>
      <c r="AO713" s="310"/>
      <c r="AP713" s="12"/>
      <c r="AQ713" s="3"/>
      <c r="AR713" s="3"/>
      <c r="AS713" s="3"/>
      <c r="AT713" s="3"/>
      <c r="AU713" s="3"/>
      <c r="AV713" s="3"/>
      <c r="AW713" s="3"/>
      <c r="AX713" s="3"/>
      <c r="AY713" s="3"/>
      <c r="AZ713" s="3"/>
      <c r="BA713" s="3"/>
      <c r="BB713" s="3"/>
      <c r="BC713" s="3"/>
    </row>
    <row r="714" ht="15.75" customHeight="1">
      <c r="A714" s="12"/>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c r="AA714" s="310"/>
      <c r="AB714" s="310"/>
      <c r="AC714" s="310"/>
      <c r="AD714" s="310"/>
      <c r="AE714" s="310"/>
      <c r="AF714" s="310"/>
      <c r="AG714" s="310"/>
      <c r="AH714" s="310"/>
      <c r="AI714" s="310"/>
      <c r="AJ714" s="310"/>
      <c r="AK714" s="310"/>
      <c r="AL714" s="310"/>
      <c r="AM714" s="310"/>
      <c r="AN714" s="310"/>
      <c r="AO714" s="310"/>
      <c r="AP714" s="12"/>
      <c r="AQ714" s="3"/>
      <c r="AR714" s="3"/>
      <c r="AS714" s="3"/>
      <c r="AT714" s="3"/>
      <c r="AU714" s="3"/>
      <c r="AV714" s="3"/>
      <c r="AW714" s="3"/>
      <c r="AX714" s="3"/>
      <c r="AY714" s="3"/>
      <c r="AZ714" s="3"/>
      <c r="BA714" s="3"/>
      <c r="BB714" s="3"/>
      <c r="BC714" s="3"/>
    </row>
    <row r="715" ht="15.75" customHeight="1">
      <c r="A715" s="12"/>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c r="AA715" s="310"/>
      <c r="AB715" s="310"/>
      <c r="AC715" s="310"/>
      <c r="AD715" s="310"/>
      <c r="AE715" s="310"/>
      <c r="AF715" s="310"/>
      <c r="AG715" s="310"/>
      <c r="AH715" s="310"/>
      <c r="AI715" s="310"/>
      <c r="AJ715" s="310"/>
      <c r="AK715" s="310"/>
      <c r="AL715" s="310"/>
      <c r="AM715" s="310"/>
      <c r="AN715" s="310"/>
      <c r="AO715" s="310"/>
      <c r="AP715" s="12"/>
      <c r="AQ715" s="3"/>
      <c r="AR715" s="3"/>
      <c r="AS715" s="3"/>
      <c r="AT715" s="3"/>
      <c r="AU715" s="3"/>
      <c r="AV715" s="3"/>
      <c r="AW715" s="3"/>
      <c r="AX715" s="3"/>
      <c r="AY715" s="3"/>
      <c r="AZ715" s="3"/>
      <c r="BA715" s="3"/>
      <c r="BB715" s="3"/>
      <c r="BC715" s="3"/>
    </row>
    <row r="716" ht="15.75" customHeight="1">
      <c r="A716" s="12"/>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c r="AA716" s="310"/>
      <c r="AB716" s="310"/>
      <c r="AC716" s="310"/>
      <c r="AD716" s="310"/>
      <c r="AE716" s="310"/>
      <c r="AF716" s="310"/>
      <c r="AG716" s="310"/>
      <c r="AH716" s="310"/>
      <c r="AI716" s="310"/>
      <c r="AJ716" s="310"/>
      <c r="AK716" s="310"/>
      <c r="AL716" s="310"/>
      <c r="AM716" s="310"/>
      <c r="AN716" s="310"/>
      <c r="AO716" s="310"/>
      <c r="AP716" s="12"/>
      <c r="AQ716" s="3"/>
      <c r="AR716" s="3"/>
      <c r="AS716" s="3"/>
      <c r="AT716" s="3"/>
      <c r="AU716" s="3"/>
      <c r="AV716" s="3"/>
      <c r="AW716" s="3"/>
      <c r="AX716" s="3"/>
      <c r="AY716" s="3"/>
      <c r="AZ716" s="3"/>
      <c r="BA716" s="3"/>
      <c r="BB716" s="3"/>
      <c r="BC716" s="3"/>
    </row>
    <row r="717" ht="15.75" customHeight="1">
      <c r="A717" s="12"/>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c r="AA717" s="310"/>
      <c r="AB717" s="310"/>
      <c r="AC717" s="310"/>
      <c r="AD717" s="310"/>
      <c r="AE717" s="310"/>
      <c r="AF717" s="310"/>
      <c r="AG717" s="310"/>
      <c r="AH717" s="310"/>
      <c r="AI717" s="310"/>
      <c r="AJ717" s="310"/>
      <c r="AK717" s="310"/>
      <c r="AL717" s="310"/>
      <c r="AM717" s="310"/>
      <c r="AN717" s="310"/>
      <c r="AO717" s="310"/>
      <c r="AP717" s="12"/>
      <c r="AQ717" s="3"/>
      <c r="AR717" s="3"/>
      <c r="AS717" s="3"/>
      <c r="AT717" s="3"/>
      <c r="AU717" s="3"/>
      <c r="AV717" s="3"/>
      <c r="AW717" s="3"/>
      <c r="AX717" s="3"/>
      <c r="AY717" s="3"/>
      <c r="AZ717" s="3"/>
      <c r="BA717" s="3"/>
      <c r="BB717" s="3"/>
      <c r="BC717" s="3"/>
    </row>
    <row r="718" ht="15.75" customHeight="1">
      <c r="A718" s="12"/>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c r="AA718" s="310"/>
      <c r="AB718" s="310"/>
      <c r="AC718" s="310"/>
      <c r="AD718" s="310"/>
      <c r="AE718" s="310"/>
      <c r="AF718" s="310"/>
      <c r="AG718" s="310"/>
      <c r="AH718" s="310"/>
      <c r="AI718" s="310"/>
      <c r="AJ718" s="310"/>
      <c r="AK718" s="310"/>
      <c r="AL718" s="310"/>
      <c r="AM718" s="310"/>
      <c r="AN718" s="310"/>
      <c r="AO718" s="310"/>
      <c r="AP718" s="12"/>
      <c r="AQ718" s="3"/>
      <c r="AR718" s="3"/>
      <c r="AS718" s="3"/>
      <c r="AT718" s="3"/>
      <c r="AU718" s="3"/>
      <c r="AV718" s="3"/>
      <c r="AW718" s="3"/>
      <c r="AX718" s="3"/>
      <c r="AY718" s="3"/>
      <c r="AZ718" s="3"/>
      <c r="BA718" s="3"/>
      <c r="BB718" s="3"/>
      <c r="BC718" s="3"/>
    </row>
    <row r="719" ht="15.75" customHeight="1">
      <c r="A719" s="12"/>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c r="AA719" s="310"/>
      <c r="AB719" s="310"/>
      <c r="AC719" s="310"/>
      <c r="AD719" s="310"/>
      <c r="AE719" s="310"/>
      <c r="AF719" s="310"/>
      <c r="AG719" s="310"/>
      <c r="AH719" s="310"/>
      <c r="AI719" s="310"/>
      <c r="AJ719" s="310"/>
      <c r="AK719" s="310"/>
      <c r="AL719" s="310"/>
      <c r="AM719" s="310"/>
      <c r="AN719" s="310"/>
      <c r="AO719" s="310"/>
      <c r="AP719" s="12"/>
      <c r="AQ719" s="3"/>
      <c r="AR719" s="3"/>
      <c r="AS719" s="3"/>
      <c r="AT719" s="3"/>
      <c r="AU719" s="3"/>
      <c r="AV719" s="3"/>
      <c r="AW719" s="3"/>
      <c r="AX719" s="3"/>
      <c r="AY719" s="3"/>
      <c r="AZ719" s="3"/>
      <c r="BA719" s="3"/>
      <c r="BB719" s="3"/>
      <c r="BC719" s="3"/>
    </row>
    <row r="720" ht="15.75" customHeight="1">
      <c r="A720" s="12"/>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c r="AA720" s="310"/>
      <c r="AB720" s="310"/>
      <c r="AC720" s="310"/>
      <c r="AD720" s="310"/>
      <c r="AE720" s="310"/>
      <c r="AF720" s="310"/>
      <c r="AG720" s="310"/>
      <c r="AH720" s="310"/>
      <c r="AI720" s="310"/>
      <c r="AJ720" s="310"/>
      <c r="AK720" s="310"/>
      <c r="AL720" s="310"/>
      <c r="AM720" s="310"/>
      <c r="AN720" s="310"/>
      <c r="AO720" s="310"/>
      <c r="AP720" s="12"/>
      <c r="AQ720" s="3"/>
      <c r="AR720" s="3"/>
      <c r="AS720" s="3"/>
      <c r="AT720" s="3"/>
      <c r="AU720" s="3"/>
      <c r="AV720" s="3"/>
      <c r="AW720" s="3"/>
      <c r="AX720" s="3"/>
      <c r="AY720" s="3"/>
      <c r="AZ720" s="3"/>
      <c r="BA720" s="3"/>
      <c r="BB720" s="3"/>
      <c r="BC720" s="3"/>
    </row>
    <row r="721" ht="15.75" customHeight="1">
      <c r="A721" s="12"/>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c r="AA721" s="310"/>
      <c r="AB721" s="310"/>
      <c r="AC721" s="310"/>
      <c r="AD721" s="310"/>
      <c r="AE721" s="310"/>
      <c r="AF721" s="310"/>
      <c r="AG721" s="310"/>
      <c r="AH721" s="310"/>
      <c r="AI721" s="310"/>
      <c r="AJ721" s="310"/>
      <c r="AK721" s="310"/>
      <c r="AL721" s="310"/>
      <c r="AM721" s="310"/>
      <c r="AN721" s="310"/>
      <c r="AO721" s="310"/>
      <c r="AP721" s="12"/>
      <c r="AQ721" s="3"/>
      <c r="AR721" s="3"/>
      <c r="AS721" s="3"/>
      <c r="AT721" s="3"/>
      <c r="AU721" s="3"/>
      <c r="AV721" s="3"/>
      <c r="AW721" s="3"/>
      <c r="AX721" s="3"/>
      <c r="AY721" s="3"/>
      <c r="AZ721" s="3"/>
      <c r="BA721" s="3"/>
      <c r="BB721" s="3"/>
      <c r="BC721" s="3"/>
    </row>
    <row r="722" ht="15.75" customHeight="1">
      <c r="A722" s="12"/>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c r="AA722" s="310"/>
      <c r="AB722" s="310"/>
      <c r="AC722" s="310"/>
      <c r="AD722" s="310"/>
      <c r="AE722" s="310"/>
      <c r="AF722" s="310"/>
      <c r="AG722" s="310"/>
      <c r="AH722" s="310"/>
      <c r="AI722" s="310"/>
      <c r="AJ722" s="310"/>
      <c r="AK722" s="310"/>
      <c r="AL722" s="310"/>
      <c r="AM722" s="310"/>
      <c r="AN722" s="310"/>
      <c r="AO722" s="310"/>
      <c r="AP722" s="12"/>
      <c r="AQ722" s="3"/>
      <c r="AR722" s="3"/>
      <c r="AS722" s="3"/>
      <c r="AT722" s="3"/>
      <c r="AU722" s="3"/>
      <c r="AV722" s="3"/>
      <c r="AW722" s="3"/>
      <c r="AX722" s="3"/>
      <c r="AY722" s="3"/>
      <c r="AZ722" s="3"/>
      <c r="BA722" s="3"/>
      <c r="BB722" s="3"/>
      <c r="BC722" s="3"/>
    </row>
    <row r="723" ht="15.75" customHeight="1">
      <c r="A723" s="12"/>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c r="AA723" s="310"/>
      <c r="AB723" s="310"/>
      <c r="AC723" s="310"/>
      <c r="AD723" s="310"/>
      <c r="AE723" s="310"/>
      <c r="AF723" s="310"/>
      <c r="AG723" s="310"/>
      <c r="AH723" s="310"/>
      <c r="AI723" s="310"/>
      <c r="AJ723" s="310"/>
      <c r="AK723" s="310"/>
      <c r="AL723" s="310"/>
      <c r="AM723" s="310"/>
      <c r="AN723" s="310"/>
      <c r="AO723" s="310"/>
      <c r="AP723" s="12"/>
      <c r="AQ723" s="3"/>
      <c r="AR723" s="3"/>
      <c r="AS723" s="3"/>
      <c r="AT723" s="3"/>
      <c r="AU723" s="3"/>
      <c r="AV723" s="3"/>
      <c r="AW723" s="3"/>
      <c r="AX723" s="3"/>
      <c r="AY723" s="3"/>
      <c r="AZ723" s="3"/>
      <c r="BA723" s="3"/>
      <c r="BB723" s="3"/>
      <c r="BC723" s="3"/>
    </row>
    <row r="724" ht="15.75" customHeight="1">
      <c r="A724" s="12"/>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c r="AA724" s="310"/>
      <c r="AB724" s="310"/>
      <c r="AC724" s="310"/>
      <c r="AD724" s="310"/>
      <c r="AE724" s="310"/>
      <c r="AF724" s="310"/>
      <c r="AG724" s="310"/>
      <c r="AH724" s="310"/>
      <c r="AI724" s="310"/>
      <c r="AJ724" s="310"/>
      <c r="AK724" s="310"/>
      <c r="AL724" s="310"/>
      <c r="AM724" s="310"/>
      <c r="AN724" s="310"/>
      <c r="AO724" s="310"/>
      <c r="AP724" s="12"/>
      <c r="AQ724" s="3"/>
      <c r="AR724" s="3"/>
      <c r="AS724" s="3"/>
      <c r="AT724" s="3"/>
      <c r="AU724" s="3"/>
      <c r="AV724" s="3"/>
      <c r="AW724" s="3"/>
      <c r="AX724" s="3"/>
      <c r="AY724" s="3"/>
      <c r="AZ724" s="3"/>
      <c r="BA724" s="3"/>
      <c r="BB724" s="3"/>
      <c r="BC724" s="3"/>
    </row>
    <row r="725" ht="15.75" customHeight="1">
      <c r="A725" s="12"/>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c r="AA725" s="310"/>
      <c r="AB725" s="310"/>
      <c r="AC725" s="310"/>
      <c r="AD725" s="310"/>
      <c r="AE725" s="310"/>
      <c r="AF725" s="310"/>
      <c r="AG725" s="310"/>
      <c r="AH725" s="310"/>
      <c r="AI725" s="310"/>
      <c r="AJ725" s="310"/>
      <c r="AK725" s="310"/>
      <c r="AL725" s="310"/>
      <c r="AM725" s="310"/>
      <c r="AN725" s="310"/>
      <c r="AO725" s="310"/>
      <c r="AP725" s="12"/>
      <c r="AQ725" s="3"/>
      <c r="AR725" s="3"/>
      <c r="AS725" s="3"/>
      <c r="AT725" s="3"/>
      <c r="AU725" s="3"/>
      <c r="AV725" s="3"/>
      <c r="AW725" s="3"/>
      <c r="AX725" s="3"/>
      <c r="AY725" s="3"/>
      <c r="AZ725" s="3"/>
      <c r="BA725" s="3"/>
      <c r="BB725" s="3"/>
      <c r="BC725" s="3"/>
    </row>
    <row r="726" ht="15.75" customHeight="1">
      <c r="A726" s="12"/>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c r="AA726" s="310"/>
      <c r="AB726" s="310"/>
      <c r="AC726" s="310"/>
      <c r="AD726" s="310"/>
      <c r="AE726" s="310"/>
      <c r="AF726" s="310"/>
      <c r="AG726" s="310"/>
      <c r="AH726" s="310"/>
      <c r="AI726" s="310"/>
      <c r="AJ726" s="310"/>
      <c r="AK726" s="310"/>
      <c r="AL726" s="310"/>
      <c r="AM726" s="310"/>
      <c r="AN726" s="310"/>
      <c r="AO726" s="310"/>
      <c r="AP726" s="12"/>
      <c r="AQ726" s="3"/>
      <c r="AR726" s="3"/>
      <c r="AS726" s="3"/>
      <c r="AT726" s="3"/>
      <c r="AU726" s="3"/>
      <c r="AV726" s="3"/>
      <c r="AW726" s="3"/>
      <c r="AX726" s="3"/>
      <c r="AY726" s="3"/>
      <c r="AZ726" s="3"/>
      <c r="BA726" s="3"/>
      <c r="BB726" s="3"/>
      <c r="BC726" s="3"/>
    </row>
    <row r="727" ht="15.75" customHeight="1">
      <c r="A727" s="12"/>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c r="AA727" s="310"/>
      <c r="AB727" s="310"/>
      <c r="AC727" s="310"/>
      <c r="AD727" s="310"/>
      <c r="AE727" s="310"/>
      <c r="AF727" s="310"/>
      <c r="AG727" s="310"/>
      <c r="AH727" s="310"/>
      <c r="AI727" s="310"/>
      <c r="AJ727" s="310"/>
      <c r="AK727" s="310"/>
      <c r="AL727" s="310"/>
      <c r="AM727" s="310"/>
      <c r="AN727" s="310"/>
      <c r="AO727" s="310"/>
      <c r="AP727" s="12"/>
      <c r="AQ727" s="3"/>
      <c r="AR727" s="3"/>
      <c r="AS727" s="3"/>
      <c r="AT727" s="3"/>
      <c r="AU727" s="3"/>
      <c r="AV727" s="3"/>
      <c r="AW727" s="3"/>
      <c r="AX727" s="3"/>
      <c r="AY727" s="3"/>
      <c r="AZ727" s="3"/>
      <c r="BA727" s="3"/>
      <c r="BB727" s="3"/>
      <c r="BC727" s="3"/>
    </row>
    <row r="728" ht="15.75" customHeight="1">
      <c r="A728" s="12"/>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c r="AA728" s="310"/>
      <c r="AB728" s="310"/>
      <c r="AC728" s="310"/>
      <c r="AD728" s="310"/>
      <c r="AE728" s="310"/>
      <c r="AF728" s="310"/>
      <c r="AG728" s="310"/>
      <c r="AH728" s="310"/>
      <c r="AI728" s="310"/>
      <c r="AJ728" s="310"/>
      <c r="AK728" s="310"/>
      <c r="AL728" s="310"/>
      <c r="AM728" s="310"/>
      <c r="AN728" s="310"/>
      <c r="AO728" s="310"/>
      <c r="AP728" s="12"/>
      <c r="AQ728" s="3"/>
      <c r="AR728" s="3"/>
      <c r="AS728" s="3"/>
      <c r="AT728" s="3"/>
      <c r="AU728" s="3"/>
      <c r="AV728" s="3"/>
      <c r="AW728" s="3"/>
      <c r="AX728" s="3"/>
      <c r="AY728" s="3"/>
      <c r="AZ728" s="3"/>
      <c r="BA728" s="3"/>
      <c r="BB728" s="3"/>
      <c r="BC728" s="3"/>
    </row>
    <row r="729" ht="15.75" customHeight="1">
      <c r="A729" s="12"/>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c r="AA729" s="310"/>
      <c r="AB729" s="310"/>
      <c r="AC729" s="310"/>
      <c r="AD729" s="310"/>
      <c r="AE729" s="310"/>
      <c r="AF729" s="310"/>
      <c r="AG729" s="310"/>
      <c r="AH729" s="310"/>
      <c r="AI729" s="310"/>
      <c r="AJ729" s="310"/>
      <c r="AK729" s="310"/>
      <c r="AL729" s="310"/>
      <c r="AM729" s="310"/>
      <c r="AN729" s="310"/>
      <c r="AO729" s="310"/>
      <c r="AP729" s="12"/>
      <c r="AQ729" s="3"/>
      <c r="AR729" s="3"/>
      <c r="AS729" s="3"/>
      <c r="AT729" s="3"/>
      <c r="AU729" s="3"/>
      <c r="AV729" s="3"/>
      <c r="AW729" s="3"/>
      <c r="AX729" s="3"/>
      <c r="AY729" s="3"/>
      <c r="AZ729" s="3"/>
      <c r="BA729" s="3"/>
      <c r="BB729" s="3"/>
      <c r="BC729" s="3"/>
    </row>
    <row r="730" ht="15.75" customHeight="1">
      <c r="A730" s="12"/>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c r="AA730" s="310"/>
      <c r="AB730" s="310"/>
      <c r="AC730" s="310"/>
      <c r="AD730" s="310"/>
      <c r="AE730" s="310"/>
      <c r="AF730" s="310"/>
      <c r="AG730" s="310"/>
      <c r="AH730" s="310"/>
      <c r="AI730" s="310"/>
      <c r="AJ730" s="310"/>
      <c r="AK730" s="310"/>
      <c r="AL730" s="310"/>
      <c r="AM730" s="310"/>
      <c r="AN730" s="310"/>
      <c r="AO730" s="310"/>
      <c r="AP730" s="12"/>
      <c r="AQ730" s="3"/>
      <c r="AR730" s="3"/>
      <c r="AS730" s="3"/>
      <c r="AT730" s="3"/>
      <c r="AU730" s="3"/>
      <c r="AV730" s="3"/>
      <c r="AW730" s="3"/>
      <c r="AX730" s="3"/>
      <c r="AY730" s="3"/>
      <c r="AZ730" s="3"/>
      <c r="BA730" s="3"/>
      <c r="BB730" s="3"/>
      <c r="BC730" s="3"/>
    </row>
    <row r="731" ht="15.75" customHeight="1">
      <c r="A731" s="12"/>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c r="AA731" s="310"/>
      <c r="AB731" s="310"/>
      <c r="AC731" s="310"/>
      <c r="AD731" s="310"/>
      <c r="AE731" s="310"/>
      <c r="AF731" s="310"/>
      <c r="AG731" s="310"/>
      <c r="AH731" s="310"/>
      <c r="AI731" s="310"/>
      <c r="AJ731" s="310"/>
      <c r="AK731" s="310"/>
      <c r="AL731" s="310"/>
      <c r="AM731" s="310"/>
      <c r="AN731" s="310"/>
      <c r="AO731" s="310"/>
      <c r="AP731" s="12"/>
      <c r="AQ731" s="3"/>
      <c r="AR731" s="3"/>
      <c r="AS731" s="3"/>
      <c r="AT731" s="3"/>
      <c r="AU731" s="3"/>
      <c r="AV731" s="3"/>
      <c r="AW731" s="3"/>
      <c r="AX731" s="3"/>
      <c r="AY731" s="3"/>
      <c r="AZ731" s="3"/>
      <c r="BA731" s="3"/>
      <c r="BB731" s="3"/>
      <c r="BC731" s="3"/>
    </row>
    <row r="732" ht="15.75" customHeight="1">
      <c r="A732" s="12"/>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c r="AA732" s="310"/>
      <c r="AB732" s="310"/>
      <c r="AC732" s="310"/>
      <c r="AD732" s="310"/>
      <c r="AE732" s="310"/>
      <c r="AF732" s="310"/>
      <c r="AG732" s="310"/>
      <c r="AH732" s="310"/>
      <c r="AI732" s="310"/>
      <c r="AJ732" s="310"/>
      <c r="AK732" s="310"/>
      <c r="AL732" s="310"/>
      <c r="AM732" s="310"/>
      <c r="AN732" s="310"/>
      <c r="AO732" s="310"/>
      <c r="AP732" s="12"/>
      <c r="AQ732" s="3"/>
      <c r="AR732" s="3"/>
      <c r="AS732" s="3"/>
      <c r="AT732" s="3"/>
      <c r="AU732" s="3"/>
      <c r="AV732" s="3"/>
      <c r="AW732" s="3"/>
      <c r="AX732" s="3"/>
      <c r="AY732" s="3"/>
      <c r="AZ732" s="3"/>
      <c r="BA732" s="3"/>
      <c r="BB732" s="3"/>
      <c r="BC732" s="3"/>
    </row>
    <row r="733" ht="15.75" customHeight="1">
      <c r="A733" s="12"/>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c r="AA733" s="310"/>
      <c r="AB733" s="310"/>
      <c r="AC733" s="310"/>
      <c r="AD733" s="310"/>
      <c r="AE733" s="310"/>
      <c r="AF733" s="310"/>
      <c r="AG733" s="310"/>
      <c r="AH733" s="310"/>
      <c r="AI733" s="310"/>
      <c r="AJ733" s="310"/>
      <c r="AK733" s="310"/>
      <c r="AL733" s="310"/>
      <c r="AM733" s="310"/>
      <c r="AN733" s="310"/>
      <c r="AO733" s="310"/>
      <c r="AP733" s="12"/>
      <c r="AQ733" s="3"/>
      <c r="AR733" s="3"/>
      <c r="AS733" s="3"/>
      <c r="AT733" s="3"/>
      <c r="AU733" s="3"/>
      <c r="AV733" s="3"/>
      <c r="AW733" s="3"/>
      <c r="AX733" s="3"/>
      <c r="AY733" s="3"/>
      <c r="AZ733" s="3"/>
      <c r="BA733" s="3"/>
      <c r="BB733" s="3"/>
      <c r="BC733" s="3"/>
    </row>
    <row r="734" ht="15.75" customHeight="1">
      <c r="A734" s="12"/>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c r="AA734" s="310"/>
      <c r="AB734" s="310"/>
      <c r="AC734" s="310"/>
      <c r="AD734" s="310"/>
      <c r="AE734" s="310"/>
      <c r="AF734" s="310"/>
      <c r="AG734" s="310"/>
      <c r="AH734" s="310"/>
      <c r="AI734" s="310"/>
      <c r="AJ734" s="310"/>
      <c r="AK734" s="310"/>
      <c r="AL734" s="310"/>
      <c r="AM734" s="310"/>
      <c r="AN734" s="310"/>
      <c r="AO734" s="310"/>
      <c r="AP734" s="12"/>
      <c r="AQ734" s="3"/>
      <c r="AR734" s="3"/>
      <c r="AS734" s="3"/>
      <c r="AT734" s="3"/>
      <c r="AU734" s="3"/>
      <c r="AV734" s="3"/>
      <c r="AW734" s="3"/>
      <c r="AX734" s="3"/>
      <c r="AY734" s="3"/>
      <c r="AZ734" s="3"/>
      <c r="BA734" s="3"/>
      <c r="BB734" s="3"/>
      <c r="BC734" s="3"/>
    </row>
    <row r="735" ht="15.75" customHeight="1">
      <c r="A735" s="12"/>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c r="AA735" s="310"/>
      <c r="AB735" s="310"/>
      <c r="AC735" s="310"/>
      <c r="AD735" s="310"/>
      <c r="AE735" s="310"/>
      <c r="AF735" s="310"/>
      <c r="AG735" s="310"/>
      <c r="AH735" s="310"/>
      <c r="AI735" s="310"/>
      <c r="AJ735" s="310"/>
      <c r="AK735" s="310"/>
      <c r="AL735" s="310"/>
      <c r="AM735" s="310"/>
      <c r="AN735" s="310"/>
      <c r="AO735" s="310"/>
      <c r="AP735" s="12"/>
      <c r="AQ735" s="3"/>
      <c r="AR735" s="3"/>
      <c r="AS735" s="3"/>
      <c r="AT735" s="3"/>
      <c r="AU735" s="3"/>
      <c r="AV735" s="3"/>
      <c r="AW735" s="3"/>
      <c r="AX735" s="3"/>
      <c r="AY735" s="3"/>
      <c r="AZ735" s="3"/>
      <c r="BA735" s="3"/>
      <c r="BB735" s="3"/>
      <c r="BC735" s="3"/>
    </row>
    <row r="736" ht="15.75" customHeight="1">
      <c r="A736" s="12"/>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c r="AA736" s="310"/>
      <c r="AB736" s="310"/>
      <c r="AC736" s="310"/>
      <c r="AD736" s="310"/>
      <c r="AE736" s="310"/>
      <c r="AF736" s="310"/>
      <c r="AG736" s="310"/>
      <c r="AH736" s="310"/>
      <c r="AI736" s="310"/>
      <c r="AJ736" s="310"/>
      <c r="AK736" s="310"/>
      <c r="AL736" s="310"/>
      <c r="AM736" s="310"/>
      <c r="AN736" s="310"/>
      <c r="AO736" s="310"/>
      <c r="AP736" s="12"/>
      <c r="AQ736" s="3"/>
      <c r="AR736" s="3"/>
      <c r="AS736" s="3"/>
      <c r="AT736" s="3"/>
      <c r="AU736" s="3"/>
      <c r="AV736" s="3"/>
      <c r="AW736" s="3"/>
      <c r="AX736" s="3"/>
      <c r="AY736" s="3"/>
      <c r="AZ736" s="3"/>
      <c r="BA736" s="3"/>
      <c r="BB736" s="3"/>
      <c r="BC736" s="3"/>
    </row>
    <row r="737" ht="15.75" customHeight="1">
      <c r="A737" s="12"/>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c r="AA737" s="310"/>
      <c r="AB737" s="310"/>
      <c r="AC737" s="310"/>
      <c r="AD737" s="310"/>
      <c r="AE737" s="310"/>
      <c r="AF737" s="310"/>
      <c r="AG737" s="310"/>
      <c r="AH737" s="310"/>
      <c r="AI737" s="310"/>
      <c r="AJ737" s="310"/>
      <c r="AK737" s="310"/>
      <c r="AL737" s="310"/>
      <c r="AM737" s="310"/>
      <c r="AN737" s="310"/>
      <c r="AO737" s="310"/>
      <c r="AP737" s="12"/>
      <c r="AQ737" s="3"/>
      <c r="AR737" s="3"/>
      <c r="AS737" s="3"/>
      <c r="AT737" s="3"/>
      <c r="AU737" s="3"/>
      <c r="AV737" s="3"/>
      <c r="AW737" s="3"/>
      <c r="AX737" s="3"/>
      <c r="AY737" s="3"/>
      <c r="AZ737" s="3"/>
      <c r="BA737" s="3"/>
      <c r="BB737" s="3"/>
      <c r="BC737" s="3"/>
    </row>
    <row r="738" ht="15.75" customHeight="1">
      <c r="A738" s="12"/>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c r="AA738" s="310"/>
      <c r="AB738" s="310"/>
      <c r="AC738" s="310"/>
      <c r="AD738" s="310"/>
      <c r="AE738" s="310"/>
      <c r="AF738" s="310"/>
      <c r="AG738" s="310"/>
      <c r="AH738" s="310"/>
      <c r="AI738" s="310"/>
      <c r="AJ738" s="310"/>
      <c r="AK738" s="310"/>
      <c r="AL738" s="310"/>
      <c r="AM738" s="310"/>
      <c r="AN738" s="310"/>
      <c r="AO738" s="310"/>
      <c r="AP738" s="12"/>
      <c r="AQ738" s="3"/>
      <c r="AR738" s="3"/>
      <c r="AS738" s="3"/>
      <c r="AT738" s="3"/>
      <c r="AU738" s="3"/>
      <c r="AV738" s="3"/>
      <c r="AW738" s="3"/>
      <c r="AX738" s="3"/>
      <c r="AY738" s="3"/>
      <c r="AZ738" s="3"/>
      <c r="BA738" s="3"/>
      <c r="BB738" s="3"/>
      <c r="BC738" s="3"/>
    </row>
    <row r="739" ht="15.75" customHeight="1">
      <c r="A739" s="12"/>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c r="AA739" s="310"/>
      <c r="AB739" s="310"/>
      <c r="AC739" s="310"/>
      <c r="AD739" s="310"/>
      <c r="AE739" s="310"/>
      <c r="AF739" s="310"/>
      <c r="AG739" s="310"/>
      <c r="AH739" s="310"/>
      <c r="AI739" s="310"/>
      <c r="AJ739" s="310"/>
      <c r="AK739" s="310"/>
      <c r="AL739" s="310"/>
      <c r="AM739" s="310"/>
      <c r="AN739" s="310"/>
      <c r="AO739" s="310"/>
      <c r="AP739" s="12"/>
      <c r="AQ739" s="3"/>
      <c r="AR739" s="3"/>
      <c r="AS739" s="3"/>
      <c r="AT739" s="3"/>
      <c r="AU739" s="3"/>
      <c r="AV739" s="3"/>
      <c r="AW739" s="3"/>
      <c r="AX739" s="3"/>
      <c r="AY739" s="3"/>
      <c r="AZ739" s="3"/>
      <c r="BA739" s="3"/>
      <c r="BB739" s="3"/>
      <c r="BC739" s="3"/>
    </row>
    <row r="740" ht="15.75" customHeight="1">
      <c r="A740" s="12"/>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c r="AA740" s="310"/>
      <c r="AB740" s="310"/>
      <c r="AC740" s="310"/>
      <c r="AD740" s="310"/>
      <c r="AE740" s="310"/>
      <c r="AF740" s="310"/>
      <c r="AG740" s="310"/>
      <c r="AH740" s="310"/>
      <c r="AI740" s="310"/>
      <c r="AJ740" s="310"/>
      <c r="AK740" s="310"/>
      <c r="AL740" s="310"/>
      <c r="AM740" s="310"/>
      <c r="AN740" s="310"/>
      <c r="AO740" s="310"/>
      <c r="AP740" s="12"/>
      <c r="AQ740" s="3"/>
      <c r="AR740" s="3"/>
      <c r="AS740" s="3"/>
      <c r="AT740" s="3"/>
      <c r="AU740" s="3"/>
      <c r="AV740" s="3"/>
      <c r="AW740" s="3"/>
      <c r="AX740" s="3"/>
      <c r="AY740" s="3"/>
      <c r="AZ740" s="3"/>
      <c r="BA740" s="3"/>
      <c r="BB740" s="3"/>
      <c r="BC740" s="3"/>
    </row>
    <row r="741" ht="15.75" customHeight="1">
      <c r="A741" s="12"/>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c r="AA741" s="310"/>
      <c r="AB741" s="310"/>
      <c r="AC741" s="310"/>
      <c r="AD741" s="310"/>
      <c r="AE741" s="310"/>
      <c r="AF741" s="310"/>
      <c r="AG741" s="310"/>
      <c r="AH741" s="310"/>
      <c r="AI741" s="310"/>
      <c r="AJ741" s="310"/>
      <c r="AK741" s="310"/>
      <c r="AL741" s="310"/>
      <c r="AM741" s="310"/>
      <c r="AN741" s="310"/>
      <c r="AO741" s="310"/>
      <c r="AP741" s="12"/>
      <c r="AQ741" s="3"/>
      <c r="AR741" s="3"/>
      <c r="AS741" s="3"/>
      <c r="AT741" s="3"/>
      <c r="AU741" s="3"/>
      <c r="AV741" s="3"/>
      <c r="AW741" s="3"/>
      <c r="AX741" s="3"/>
      <c r="AY741" s="3"/>
      <c r="AZ741" s="3"/>
      <c r="BA741" s="3"/>
      <c r="BB741" s="3"/>
      <c r="BC741" s="3"/>
    </row>
    <row r="742" ht="15.75" customHeight="1">
      <c r="A742" s="12"/>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c r="AA742" s="310"/>
      <c r="AB742" s="310"/>
      <c r="AC742" s="310"/>
      <c r="AD742" s="310"/>
      <c r="AE742" s="310"/>
      <c r="AF742" s="310"/>
      <c r="AG742" s="310"/>
      <c r="AH742" s="310"/>
      <c r="AI742" s="310"/>
      <c r="AJ742" s="310"/>
      <c r="AK742" s="310"/>
      <c r="AL742" s="310"/>
      <c r="AM742" s="310"/>
      <c r="AN742" s="310"/>
      <c r="AO742" s="310"/>
      <c r="AP742" s="12"/>
      <c r="AQ742" s="3"/>
      <c r="AR742" s="3"/>
      <c r="AS742" s="3"/>
      <c r="AT742" s="3"/>
      <c r="AU742" s="3"/>
      <c r="AV742" s="3"/>
      <c r="AW742" s="3"/>
      <c r="AX742" s="3"/>
      <c r="AY742" s="3"/>
      <c r="AZ742" s="3"/>
      <c r="BA742" s="3"/>
      <c r="BB742" s="3"/>
      <c r="BC742" s="3"/>
    </row>
    <row r="743" ht="15.75" customHeight="1">
      <c r="A743" s="12"/>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c r="AA743" s="310"/>
      <c r="AB743" s="310"/>
      <c r="AC743" s="310"/>
      <c r="AD743" s="310"/>
      <c r="AE743" s="310"/>
      <c r="AF743" s="310"/>
      <c r="AG743" s="310"/>
      <c r="AH743" s="310"/>
      <c r="AI743" s="310"/>
      <c r="AJ743" s="310"/>
      <c r="AK743" s="310"/>
      <c r="AL743" s="310"/>
      <c r="AM743" s="310"/>
      <c r="AN743" s="310"/>
      <c r="AO743" s="310"/>
      <c r="AP743" s="12"/>
      <c r="AQ743" s="3"/>
      <c r="AR743" s="3"/>
      <c r="AS743" s="3"/>
      <c r="AT743" s="3"/>
      <c r="AU743" s="3"/>
      <c r="AV743" s="3"/>
      <c r="AW743" s="3"/>
      <c r="AX743" s="3"/>
      <c r="AY743" s="3"/>
      <c r="AZ743" s="3"/>
      <c r="BA743" s="3"/>
      <c r="BB743" s="3"/>
      <c r="BC743" s="3"/>
    </row>
    <row r="744" ht="15.75" customHeight="1">
      <c r="A744" s="12"/>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c r="AA744" s="310"/>
      <c r="AB744" s="310"/>
      <c r="AC744" s="310"/>
      <c r="AD744" s="310"/>
      <c r="AE744" s="310"/>
      <c r="AF744" s="310"/>
      <c r="AG744" s="310"/>
      <c r="AH744" s="310"/>
      <c r="AI744" s="310"/>
      <c r="AJ744" s="310"/>
      <c r="AK744" s="310"/>
      <c r="AL744" s="310"/>
      <c r="AM744" s="310"/>
      <c r="AN744" s="310"/>
      <c r="AO744" s="310"/>
      <c r="AP744" s="12"/>
      <c r="AQ744" s="3"/>
      <c r="AR744" s="3"/>
      <c r="AS744" s="3"/>
      <c r="AT744" s="3"/>
      <c r="AU744" s="3"/>
      <c r="AV744" s="3"/>
      <c r="AW744" s="3"/>
      <c r="AX744" s="3"/>
      <c r="AY744" s="3"/>
      <c r="AZ744" s="3"/>
      <c r="BA744" s="3"/>
      <c r="BB744" s="3"/>
      <c r="BC744" s="3"/>
    </row>
    <row r="745" ht="15.75" customHeight="1">
      <c r="A745" s="12"/>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c r="AA745" s="310"/>
      <c r="AB745" s="310"/>
      <c r="AC745" s="310"/>
      <c r="AD745" s="310"/>
      <c r="AE745" s="310"/>
      <c r="AF745" s="310"/>
      <c r="AG745" s="310"/>
      <c r="AH745" s="310"/>
      <c r="AI745" s="310"/>
      <c r="AJ745" s="310"/>
      <c r="AK745" s="310"/>
      <c r="AL745" s="310"/>
      <c r="AM745" s="310"/>
      <c r="AN745" s="310"/>
      <c r="AO745" s="310"/>
      <c r="AP745" s="12"/>
      <c r="AQ745" s="3"/>
      <c r="AR745" s="3"/>
      <c r="AS745" s="3"/>
      <c r="AT745" s="3"/>
      <c r="AU745" s="3"/>
      <c r="AV745" s="3"/>
      <c r="AW745" s="3"/>
      <c r="AX745" s="3"/>
      <c r="AY745" s="3"/>
      <c r="AZ745" s="3"/>
      <c r="BA745" s="3"/>
      <c r="BB745" s="3"/>
      <c r="BC745" s="3"/>
    </row>
    <row r="746" ht="15.75" customHeight="1">
      <c r="A746" s="12"/>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c r="AA746" s="310"/>
      <c r="AB746" s="310"/>
      <c r="AC746" s="310"/>
      <c r="AD746" s="310"/>
      <c r="AE746" s="310"/>
      <c r="AF746" s="310"/>
      <c r="AG746" s="310"/>
      <c r="AH746" s="310"/>
      <c r="AI746" s="310"/>
      <c r="AJ746" s="310"/>
      <c r="AK746" s="310"/>
      <c r="AL746" s="310"/>
      <c r="AM746" s="310"/>
      <c r="AN746" s="310"/>
      <c r="AO746" s="310"/>
      <c r="AP746" s="12"/>
      <c r="AQ746" s="3"/>
      <c r="AR746" s="3"/>
      <c r="AS746" s="3"/>
      <c r="AT746" s="3"/>
      <c r="AU746" s="3"/>
      <c r="AV746" s="3"/>
      <c r="AW746" s="3"/>
      <c r="AX746" s="3"/>
      <c r="AY746" s="3"/>
      <c r="AZ746" s="3"/>
      <c r="BA746" s="3"/>
      <c r="BB746" s="3"/>
      <c r="BC746" s="3"/>
    </row>
    <row r="747" ht="15.75" customHeight="1">
      <c r="A747" s="12"/>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c r="AA747" s="310"/>
      <c r="AB747" s="310"/>
      <c r="AC747" s="310"/>
      <c r="AD747" s="310"/>
      <c r="AE747" s="310"/>
      <c r="AF747" s="310"/>
      <c r="AG747" s="310"/>
      <c r="AH747" s="310"/>
      <c r="AI747" s="310"/>
      <c r="AJ747" s="310"/>
      <c r="AK747" s="310"/>
      <c r="AL747" s="310"/>
      <c r="AM747" s="310"/>
      <c r="AN747" s="310"/>
      <c r="AO747" s="310"/>
      <c r="AP747" s="12"/>
      <c r="AQ747" s="3"/>
      <c r="AR747" s="3"/>
      <c r="AS747" s="3"/>
      <c r="AT747" s="3"/>
      <c r="AU747" s="3"/>
      <c r="AV747" s="3"/>
      <c r="AW747" s="3"/>
      <c r="AX747" s="3"/>
      <c r="AY747" s="3"/>
      <c r="AZ747" s="3"/>
      <c r="BA747" s="3"/>
      <c r="BB747" s="3"/>
      <c r="BC747" s="3"/>
    </row>
    <row r="748" ht="15.75" customHeight="1">
      <c r="A748" s="12"/>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c r="AA748" s="310"/>
      <c r="AB748" s="310"/>
      <c r="AC748" s="310"/>
      <c r="AD748" s="310"/>
      <c r="AE748" s="310"/>
      <c r="AF748" s="310"/>
      <c r="AG748" s="310"/>
      <c r="AH748" s="310"/>
      <c r="AI748" s="310"/>
      <c r="AJ748" s="310"/>
      <c r="AK748" s="310"/>
      <c r="AL748" s="310"/>
      <c r="AM748" s="310"/>
      <c r="AN748" s="310"/>
      <c r="AO748" s="310"/>
      <c r="AP748" s="12"/>
      <c r="AQ748" s="3"/>
      <c r="AR748" s="3"/>
      <c r="AS748" s="3"/>
      <c r="AT748" s="3"/>
      <c r="AU748" s="3"/>
      <c r="AV748" s="3"/>
      <c r="AW748" s="3"/>
      <c r="AX748" s="3"/>
      <c r="AY748" s="3"/>
      <c r="AZ748" s="3"/>
      <c r="BA748" s="3"/>
      <c r="BB748" s="3"/>
      <c r="BC748" s="3"/>
    </row>
    <row r="749" ht="15.75" customHeight="1">
      <c r="A749" s="12"/>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c r="AA749" s="310"/>
      <c r="AB749" s="310"/>
      <c r="AC749" s="310"/>
      <c r="AD749" s="310"/>
      <c r="AE749" s="310"/>
      <c r="AF749" s="310"/>
      <c r="AG749" s="310"/>
      <c r="AH749" s="310"/>
      <c r="AI749" s="310"/>
      <c r="AJ749" s="310"/>
      <c r="AK749" s="310"/>
      <c r="AL749" s="310"/>
      <c r="AM749" s="310"/>
      <c r="AN749" s="310"/>
      <c r="AO749" s="310"/>
      <c r="AP749" s="12"/>
      <c r="AQ749" s="3"/>
      <c r="AR749" s="3"/>
      <c r="AS749" s="3"/>
      <c r="AT749" s="3"/>
      <c r="AU749" s="3"/>
      <c r="AV749" s="3"/>
      <c r="AW749" s="3"/>
      <c r="AX749" s="3"/>
      <c r="AY749" s="3"/>
      <c r="AZ749" s="3"/>
      <c r="BA749" s="3"/>
      <c r="BB749" s="3"/>
      <c r="BC749" s="3"/>
    </row>
    <row r="750" ht="15.75" customHeight="1">
      <c r="A750" s="12"/>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c r="AA750" s="310"/>
      <c r="AB750" s="310"/>
      <c r="AC750" s="310"/>
      <c r="AD750" s="310"/>
      <c r="AE750" s="310"/>
      <c r="AF750" s="310"/>
      <c r="AG750" s="310"/>
      <c r="AH750" s="310"/>
      <c r="AI750" s="310"/>
      <c r="AJ750" s="310"/>
      <c r="AK750" s="310"/>
      <c r="AL750" s="310"/>
      <c r="AM750" s="310"/>
      <c r="AN750" s="310"/>
      <c r="AO750" s="310"/>
      <c r="AP750" s="12"/>
      <c r="AQ750" s="3"/>
      <c r="AR750" s="3"/>
      <c r="AS750" s="3"/>
      <c r="AT750" s="3"/>
      <c r="AU750" s="3"/>
      <c r="AV750" s="3"/>
      <c r="AW750" s="3"/>
      <c r="AX750" s="3"/>
      <c r="AY750" s="3"/>
      <c r="AZ750" s="3"/>
      <c r="BA750" s="3"/>
      <c r="BB750" s="3"/>
      <c r="BC750" s="3"/>
    </row>
    <row r="751" ht="15.75" customHeight="1">
      <c r="A751" s="12"/>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c r="AA751" s="310"/>
      <c r="AB751" s="310"/>
      <c r="AC751" s="310"/>
      <c r="AD751" s="310"/>
      <c r="AE751" s="310"/>
      <c r="AF751" s="310"/>
      <c r="AG751" s="310"/>
      <c r="AH751" s="310"/>
      <c r="AI751" s="310"/>
      <c r="AJ751" s="310"/>
      <c r="AK751" s="310"/>
      <c r="AL751" s="310"/>
      <c r="AM751" s="310"/>
      <c r="AN751" s="310"/>
      <c r="AO751" s="310"/>
      <c r="AP751" s="12"/>
      <c r="AQ751" s="3"/>
      <c r="AR751" s="3"/>
      <c r="AS751" s="3"/>
      <c r="AT751" s="3"/>
      <c r="AU751" s="3"/>
      <c r="AV751" s="3"/>
      <c r="AW751" s="3"/>
      <c r="AX751" s="3"/>
      <c r="AY751" s="3"/>
      <c r="AZ751" s="3"/>
      <c r="BA751" s="3"/>
      <c r="BB751" s="3"/>
      <c r="BC751" s="3"/>
    </row>
    <row r="752" ht="15.75" customHeight="1">
      <c r="A752" s="12"/>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c r="AA752" s="310"/>
      <c r="AB752" s="310"/>
      <c r="AC752" s="310"/>
      <c r="AD752" s="310"/>
      <c r="AE752" s="310"/>
      <c r="AF752" s="310"/>
      <c r="AG752" s="310"/>
      <c r="AH752" s="310"/>
      <c r="AI752" s="310"/>
      <c r="AJ752" s="310"/>
      <c r="AK752" s="310"/>
      <c r="AL752" s="310"/>
      <c r="AM752" s="310"/>
      <c r="AN752" s="310"/>
      <c r="AO752" s="310"/>
      <c r="AP752" s="12"/>
      <c r="AQ752" s="3"/>
      <c r="AR752" s="3"/>
      <c r="AS752" s="3"/>
      <c r="AT752" s="3"/>
      <c r="AU752" s="3"/>
      <c r="AV752" s="3"/>
      <c r="AW752" s="3"/>
      <c r="AX752" s="3"/>
      <c r="AY752" s="3"/>
      <c r="AZ752" s="3"/>
      <c r="BA752" s="3"/>
      <c r="BB752" s="3"/>
      <c r="BC752" s="3"/>
    </row>
    <row r="753" ht="15.75" customHeight="1">
      <c r="A753" s="12"/>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c r="AA753" s="310"/>
      <c r="AB753" s="310"/>
      <c r="AC753" s="310"/>
      <c r="AD753" s="310"/>
      <c r="AE753" s="310"/>
      <c r="AF753" s="310"/>
      <c r="AG753" s="310"/>
      <c r="AH753" s="310"/>
      <c r="AI753" s="310"/>
      <c r="AJ753" s="310"/>
      <c r="AK753" s="310"/>
      <c r="AL753" s="310"/>
      <c r="AM753" s="310"/>
      <c r="AN753" s="310"/>
      <c r="AO753" s="310"/>
      <c r="AP753" s="12"/>
      <c r="AQ753" s="3"/>
      <c r="AR753" s="3"/>
      <c r="AS753" s="3"/>
      <c r="AT753" s="3"/>
      <c r="AU753" s="3"/>
      <c r="AV753" s="3"/>
      <c r="AW753" s="3"/>
      <c r="AX753" s="3"/>
      <c r="AY753" s="3"/>
      <c r="AZ753" s="3"/>
      <c r="BA753" s="3"/>
      <c r="BB753" s="3"/>
      <c r="BC753" s="3"/>
    </row>
    <row r="754" ht="15.75" customHeight="1">
      <c r="A754" s="12"/>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c r="AA754" s="310"/>
      <c r="AB754" s="310"/>
      <c r="AC754" s="310"/>
      <c r="AD754" s="310"/>
      <c r="AE754" s="310"/>
      <c r="AF754" s="310"/>
      <c r="AG754" s="310"/>
      <c r="AH754" s="310"/>
      <c r="AI754" s="310"/>
      <c r="AJ754" s="310"/>
      <c r="AK754" s="310"/>
      <c r="AL754" s="310"/>
      <c r="AM754" s="310"/>
      <c r="AN754" s="310"/>
      <c r="AO754" s="310"/>
      <c r="AP754" s="12"/>
      <c r="AQ754" s="3"/>
      <c r="AR754" s="3"/>
      <c r="AS754" s="3"/>
      <c r="AT754" s="3"/>
      <c r="AU754" s="3"/>
      <c r="AV754" s="3"/>
      <c r="AW754" s="3"/>
      <c r="AX754" s="3"/>
      <c r="AY754" s="3"/>
      <c r="AZ754" s="3"/>
      <c r="BA754" s="3"/>
      <c r="BB754" s="3"/>
      <c r="BC754" s="3"/>
    </row>
    <row r="755" ht="15.75" customHeight="1">
      <c r="A755" s="12"/>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c r="AA755" s="310"/>
      <c r="AB755" s="310"/>
      <c r="AC755" s="310"/>
      <c r="AD755" s="310"/>
      <c r="AE755" s="310"/>
      <c r="AF755" s="310"/>
      <c r="AG755" s="310"/>
      <c r="AH755" s="310"/>
      <c r="AI755" s="310"/>
      <c r="AJ755" s="310"/>
      <c r="AK755" s="310"/>
      <c r="AL755" s="310"/>
      <c r="AM755" s="310"/>
      <c r="AN755" s="310"/>
      <c r="AO755" s="310"/>
      <c r="AP755" s="12"/>
      <c r="AQ755" s="3"/>
      <c r="AR755" s="3"/>
      <c r="AS755" s="3"/>
      <c r="AT755" s="3"/>
      <c r="AU755" s="3"/>
      <c r="AV755" s="3"/>
      <c r="AW755" s="3"/>
      <c r="AX755" s="3"/>
      <c r="AY755" s="3"/>
      <c r="AZ755" s="3"/>
      <c r="BA755" s="3"/>
      <c r="BB755" s="3"/>
      <c r="BC755" s="3"/>
    </row>
    <row r="756" ht="15.75" customHeight="1">
      <c r="A756" s="12"/>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c r="AA756" s="310"/>
      <c r="AB756" s="310"/>
      <c r="AC756" s="310"/>
      <c r="AD756" s="310"/>
      <c r="AE756" s="310"/>
      <c r="AF756" s="310"/>
      <c r="AG756" s="310"/>
      <c r="AH756" s="310"/>
      <c r="AI756" s="310"/>
      <c r="AJ756" s="310"/>
      <c r="AK756" s="310"/>
      <c r="AL756" s="310"/>
      <c r="AM756" s="310"/>
      <c r="AN756" s="310"/>
      <c r="AO756" s="310"/>
      <c r="AP756" s="12"/>
      <c r="AQ756" s="3"/>
      <c r="AR756" s="3"/>
      <c r="AS756" s="3"/>
      <c r="AT756" s="3"/>
      <c r="AU756" s="3"/>
      <c r="AV756" s="3"/>
      <c r="AW756" s="3"/>
      <c r="AX756" s="3"/>
      <c r="AY756" s="3"/>
      <c r="AZ756" s="3"/>
      <c r="BA756" s="3"/>
      <c r="BB756" s="3"/>
      <c r="BC756" s="3"/>
    </row>
    <row r="757" ht="15.75" customHeight="1">
      <c r="A757" s="12"/>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c r="AA757" s="310"/>
      <c r="AB757" s="310"/>
      <c r="AC757" s="310"/>
      <c r="AD757" s="310"/>
      <c r="AE757" s="310"/>
      <c r="AF757" s="310"/>
      <c r="AG757" s="310"/>
      <c r="AH757" s="310"/>
      <c r="AI757" s="310"/>
      <c r="AJ757" s="310"/>
      <c r="AK757" s="310"/>
      <c r="AL757" s="310"/>
      <c r="AM757" s="310"/>
      <c r="AN757" s="310"/>
      <c r="AO757" s="310"/>
      <c r="AP757" s="12"/>
      <c r="AQ757" s="3"/>
      <c r="AR757" s="3"/>
      <c r="AS757" s="3"/>
      <c r="AT757" s="3"/>
      <c r="AU757" s="3"/>
      <c r="AV757" s="3"/>
      <c r="AW757" s="3"/>
      <c r="AX757" s="3"/>
      <c r="AY757" s="3"/>
      <c r="AZ757" s="3"/>
      <c r="BA757" s="3"/>
      <c r="BB757" s="3"/>
      <c r="BC757" s="3"/>
    </row>
    <row r="758" ht="15.75" customHeight="1">
      <c r="A758" s="12"/>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c r="AA758" s="310"/>
      <c r="AB758" s="310"/>
      <c r="AC758" s="310"/>
      <c r="AD758" s="310"/>
      <c r="AE758" s="310"/>
      <c r="AF758" s="310"/>
      <c r="AG758" s="310"/>
      <c r="AH758" s="310"/>
      <c r="AI758" s="310"/>
      <c r="AJ758" s="310"/>
      <c r="AK758" s="310"/>
      <c r="AL758" s="310"/>
      <c r="AM758" s="310"/>
      <c r="AN758" s="310"/>
      <c r="AO758" s="310"/>
      <c r="AP758" s="12"/>
      <c r="AQ758" s="3"/>
      <c r="AR758" s="3"/>
      <c r="AS758" s="3"/>
      <c r="AT758" s="3"/>
      <c r="AU758" s="3"/>
      <c r="AV758" s="3"/>
      <c r="AW758" s="3"/>
      <c r="AX758" s="3"/>
      <c r="AY758" s="3"/>
      <c r="AZ758" s="3"/>
      <c r="BA758" s="3"/>
      <c r="BB758" s="3"/>
      <c r="BC758" s="3"/>
    </row>
    <row r="759" ht="15.75" customHeight="1">
      <c r="A759" s="12"/>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c r="AA759" s="310"/>
      <c r="AB759" s="310"/>
      <c r="AC759" s="310"/>
      <c r="AD759" s="310"/>
      <c r="AE759" s="310"/>
      <c r="AF759" s="310"/>
      <c r="AG759" s="310"/>
      <c r="AH759" s="310"/>
      <c r="AI759" s="310"/>
      <c r="AJ759" s="310"/>
      <c r="AK759" s="310"/>
      <c r="AL759" s="310"/>
      <c r="AM759" s="310"/>
      <c r="AN759" s="310"/>
      <c r="AO759" s="310"/>
      <c r="AP759" s="12"/>
      <c r="AQ759" s="3"/>
      <c r="AR759" s="3"/>
      <c r="AS759" s="3"/>
      <c r="AT759" s="3"/>
      <c r="AU759" s="3"/>
      <c r="AV759" s="3"/>
      <c r="AW759" s="3"/>
      <c r="AX759" s="3"/>
      <c r="AY759" s="3"/>
      <c r="AZ759" s="3"/>
      <c r="BA759" s="3"/>
      <c r="BB759" s="3"/>
      <c r="BC759" s="3"/>
    </row>
    <row r="760" ht="15.75" customHeight="1">
      <c r="A760" s="12"/>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c r="AA760" s="310"/>
      <c r="AB760" s="310"/>
      <c r="AC760" s="310"/>
      <c r="AD760" s="310"/>
      <c r="AE760" s="310"/>
      <c r="AF760" s="310"/>
      <c r="AG760" s="310"/>
      <c r="AH760" s="310"/>
      <c r="AI760" s="310"/>
      <c r="AJ760" s="310"/>
      <c r="AK760" s="310"/>
      <c r="AL760" s="310"/>
      <c r="AM760" s="310"/>
      <c r="AN760" s="310"/>
      <c r="AO760" s="310"/>
      <c r="AP760" s="12"/>
      <c r="AQ760" s="3"/>
      <c r="AR760" s="3"/>
      <c r="AS760" s="3"/>
      <c r="AT760" s="3"/>
      <c r="AU760" s="3"/>
      <c r="AV760" s="3"/>
      <c r="AW760" s="3"/>
      <c r="AX760" s="3"/>
      <c r="AY760" s="3"/>
      <c r="AZ760" s="3"/>
      <c r="BA760" s="3"/>
      <c r="BB760" s="3"/>
      <c r="BC760" s="3"/>
    </row>
    <row r="761" ht="15.75" customHeight="1">
      <c r="A761" s="12"/>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c r="AA761" s="310"/>
      <c r="AB761" s="310"/>
      <c r="AC761" s="310"/>
      <c r="AD761" s="310"/>
      <c r="AE761" s="310"/>
      <c r="AF761" s="310"/>
      <c r="AG761" s="310"/>
      <c r="AH761" s="310"/>
      <c r="AI761" s="310"/>
      <c r="AJ761" s="310"/>
      <c r="AK761" s="310"/>
      <c r="AL761" s="310"/>
      <c r="AM761" s="310"/>
      <c r="AN761" s="310"/>
      <c r="AO761" s="310"/>
      <c r="AP761" s="12"/>
      <c r="AQ761" s="3"/>
      <c r="AR761" s="3"/>
      <c r="AS761" s="3"/>
      <c r="AT761" s="3"/>
      <c r="AU761" s="3"/>
      <c r="AV761" s="3"/>
      <c r="AW761" s="3"/>
      <c r="AX761" s="3"/>
      <c r="AY761" s="3"/>
      <c r="AZ761" s="3"/>
      <c r="BA761" s="3"/>
      <c r="BB761" s="3"/>
      <c r="BC761" s="3"/>
    </row>
    <row r="762" ht="15.75" customHeight="1">
      <c r="A762" s="12"/>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c r="AA762" s="310"/>
      <c r="AB762" s="310"/>
      <c r="AC762" s="310"/>
      <c r="AD762" s="310"/>
      <c r="AE762" s="310"/>
      <c r="AF762" s="310"/>
      <c r="AG762" s="310"/>
      <c r="AH762" s="310"/>
      <c r="AI762" s="310"/>
      <c r="AJ762" s="310"/>
      <c r="AK762" s="310"/>
      <c r="AL762" s="310"/>
      <c r="AM762" s="310"/>
      <c r="AN762" s="310"/>
      <c r="AO762" s="310"/>
      <c r="AP762" s="12"/>
      <c r="AQ762" s="3"/>
      <c r="AR762" s="3"/>
      <c r="AS762" s="3"/>
      <c r="AT762" s="3"/>
      <c r="AU762" s="3"/>
      <c r="AV762" s="3"/>
      <c r="AW762" s="3"/>
      <c r="AX762" s="3"/>
      <c r="AY762" s="3"/>
      <c r="AZ762" s="3"/>
      <c r="BA762" s="3"/>
      <c r="BB762" s="3"/>
      <c r="BC762" s="3"/>
    </row>
    <row r="763" ht="15.75" customHeight="1">
      <c r="A763" s="12"/>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c r="AA763" s="310"/>
      <c r="AB763" s="310"/>
      <c r="AC763" s="310"/>
      <c r="AD763" s="310"/>
      <c r="AE763" s="310"/>
      <c r="AF763" s="310"/>
      <c r="AG763" s="310"/>
      <c r="AH763" s="310"/>
      <c r="AI763" s="310"/>
      <c r="AJ763" s="310"/>
      <c r="AK763" s="310"/>
      <c r="AL763" s="310"/>
      <c r="AM763" s="310"/>
      <c r="AN763" s="310"/>
      <c r="AO763" s="310"/>
      <c r="AP763" s="12"/>
      <c r="AQ763" s="3"/>
      <c r="AR763" s="3"/>
      <c r="AS763" s="3"/>
      <c r="AT763" s="3"/>
      <c r="AU763" s="3"/>
      <c r="AV763" s="3"/>
      <c r="AW763" s="3"/>
      <c r="AX763" s="3"/>
      <c r="AY763" s="3"/>
      <c r="AZ763" s="3"/>
      <c r="BA763" s="3"/>
      <c r="BB763" s="3"/>
      <c r="BC763" s="3"/>
    </row>
    <row r="764" ht="15.75" customHeight="1">
      <c r="A764" s="12"/>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c r="AA764" s="310"/>
      <c r="AB764" s="310"/>
      <c r="AC764" s="310"/>
      <c r="AD764" s="310"/>
      <c r="AE764" s="310"/>
      <c r="AF764" s="310"/>
      <c r="AG764" s="310"/>
      <c r="AH764" s="310"/>
      <c r="AI764" s="310"/>
      <c r="AJ764" s="310"/>
      <c r="AK764" s="310"/>
      <c r="AL764" s="310"/>
      <c r="AM764" s="310"/>
      <c r="AN764" s="310"/>
      <c r="AO764" s="310"/>
      <c r="AP764" s="12"/>
      <c r="AQ764" s="3"/>
      <c r="AR764" s="3"/>
      <c r="AS764" s="3"/>
      <c r="AT764" s="3"/>
      <c r="AU764" s="3"/>
      <c r="AV764" s="3"/>
      <c r="AW764" s="3"/>
      <c r="AX764" s="3"/>
      <c r="AY764" s="3"/>
      <c r="AZ764" s="3"/>
      <c r="BA764" s="3"/>
      <c r="BB764" s="3"/>
      <c r="BC764" s="3"/>
    </row>
    <row r="765" ht="15.75" customHeight="1">
      <c r="A765" s="12"/>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c r="AA765" s="310"/>
      <c r="AB765" s="310"/>
      <c r="AC765" s="310"/>
      <c r="AD765" s="310"/>
      <c r="AE765" s="310"/>
      <c r="AF765" s="310"/>
      <c r="AG765" s="310"/>
      <c r="AH765" s="310"/>
      <c r="AI765" s="310"/>
      <c r="AJ765" s="310"/>
      <c r="AK765" s="310"/>
      <c r="AL765" s="310"/>
      <c r="AM765" s="310"/>
      <c r="AN765" s="310"/>
      <c r="AO765" s="310"/>
      <c r="AP765" s="12"/>
      <c r="AQ765" s="3"/>
      <c r="AR765" s="3"/>
      <c r="AS765" s="3"/>
      <c r="AT765" s="3"/>
      <c r="AU765" s="3"/>
      <c r="AV765" s="3"/>
      <c r="AW765" s="3"/>
      <c r="AX765" s="3"/>
      <c r="AY765" s="3"/>
      <c r="AZ765" s="3"/>
      <c r="BA765" s="3"/>
      <c r="BB765" s="3"/>
      <c r="BC765" s="3"/>
    </row>
    <row r="766" ht="15.75" customHeight="1">
      <c r="A766" s="12"/>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c r="AA766" s="310"/>
      <c r="AB766" s="310"/>
      <c r="AC766" s="310"/>
      <c r="AD766" s="310"/>
      <c r="AE766" s="310"/>
      <c r="AF766" s="310"/>
      <c r="AG766" s="310"/>
      <c r="AH766" s="310"/>
      <c r="AI766" s="310"/>
      <c r="AJ766" s="310"/>
      <c r="AK766" s="310"/>
      <c r="AL766" s="310"/>
      <c r="AM766" s="310"/>
      <c r="AN766" s="310"/>
      <c r="AO766" s="310"/>
      <c r="AP766" s="12"/>
      <c r="AQ766" s="3"/>
      <c r="AR766" s="3"/>
      <c r="AS766" s="3"/>
      <c r="AT766" s="3"/>
      <c r="AU766" s="3"/>
      <c r="AV766" s="3"/>
      <c r="AW766" s="3"/>
      <c r="AX766" s="3"/>
      <c r="AY766" s="3"/>
      <c r="AZ766" s="3"/>
      <c r="BA766" s="3"/>
      <c r="BB766" s="3"/>
      <c r="BC766" s="3"/>
    </row>
    <row r="767" ht="15.75" customHeight="1">
      <c r="A767" s="12"/>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c r="AA767" s="310"/>
      <c r="AB767" s="310"/>
      <c r="AC767" s="310"/>
      <c r="AD767" s="310"/>
      <c r="AE767" s="310"/>
      <c r="AF767" s="310"/>
      <c r="AG767" s="310"/>
      <c r="AH767" s="310"/>
      <c r="AI767" s="310"/>
      <c r="AJ767" s="310"/>
      <c r="AK767" s="310"/>
      <c r="AL767" s="310"/>
      <c r="AM767" s="310"/>
      <c r="AN767" s="310"/>
      <c r="AO767" s="310"/>
      <c r="AP767" s="12"/>
      <c r="AQ767" s="3"/>
      <c r="AR767" s="3"/>
      <c r="AS767" s="3"/>
      <c r="AT767" s="3"/>
      <c r="AU767" s="3"/>
      <c r="AV767" s="3"/>
      <c r="AW767" s="3"/>
      <c r="AX767" s="3"/>
      <c r="AY767" s="3"/>
      <c r="AZ767" s="3"/>
      <c r="BA767" s="3"/>
      <c r="BB767" s="3"/>
      <c r="BC767" s="3"/>
    </row>
    <row r="768" ht="15.75" customHeight="1">
      <c r="A768" s="12"/>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c r="AA768" s="310"/>
      <c r="AB768" s="310"/>
      <c r="AC768" s="310"/>
      <c r="AD768" s="310"/>
      <c r="AE768" s="310"/>
      <c r="AF768" s="310"/>
      <c r="AG768" s="310"/>
      <c r="AH768" s="310"/>
      <c r="AI768" s="310"/>
      <c r="AJ768" s="310"/>
      <c r="AK768" s="310"/>
      <c r="AL768" s="310"/>
      <c r="AM768" s="310"/>
      <c r="AN768" s="310"/>
      <c r="AO768" s="310"/>
      <c r="AP768" s="12"/>
      <c r="AQ768" s="3"/>
      <c r="AR768" s="3"/>
      <c r="AS768" s="3"/>
      <c r="AT768" s="3"/>
      <c r="AU768" s="3"/>
      <c r="AV768" s="3"/>
      <c r="AW768" s="3"/>
      <c r="AX768" s="3"/>
      <c r="AY768" s="3"/>
      <c r="AZ768" s="3"/>
      <c r="BA768" s="3"/>
      <c r="BB768" s="3"/>
      <c r="BC768" s="3"/>
    </row>
    <row r="769" ht="15.75" customHeight="1">
      <c r="A769" s="12"/>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c r="AA769" s="310"/>
      <c r="AB769" s="310"/>
      <c r="AC769" s="310"/>
      <c r="AD769" s="310"/>
      <c r="AE769" s="310"/>
      <c r="AF769" s="310"/>
      <c r="AG769" s="310"/>
      <c r="AH769" s="310"/>
      <c r="AI769" s="310"/>
      <c r="AJ769" s="310"/>
      <c r="AK769" s="310"/>
      <c r="AL769" s="310"/>
      <c r="AM769" s="310"/>
      <c r="AN769" s="310"/>
      <c r="AO769" s="310"/>
      <c r="AP769" s="12"/>
      <c r="AQ769" s="3"/>
      <c r="AR769" s="3"/>
      <c r="AS769" s="3"/>
      <c r="AT769" s="3"/>
      <c r="AU769" s="3"/>
      <c r="AV769" s="3"/>
      <c r="AW769" s="3"/>
      <c r="AX769" s="3"/>
      <c r="AY769" s="3"/>
      <c r="AZ769" s="3"/>
      <c r="BA769" s="3"/>
      <c r="BB769" s="3"/>
      <c r="BC769" s="3"/>
    </row>
    <row r="770" ht="15.75" customHeight="1">
      <c r="A770" s="12"/>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c r="AA770" s="310"/>
      <c r="AB770" s="310"/>
      <c r="AC770" s="310"/>
      <c r="AD770" s="310"/>
      <c r="AE770" s="310"/>
      <c r="AF770" s="310"/>
      <c r="AG770" s="310"/>
      <c r="AH770" s="310"/>
      <c r="AI770" s="310"/>
      <c r="AJ770" s="310"/>
      <c r="AK770" s="310"/>
      <c r="AL770" s="310"/>
      <c r="AM770" s="310"/>
      <c r="AN770" s="310"/>
      <c r="AO770" s="310"/>
      <c r="AP770" s="12"/>
      <c r="AQ770" s="3"/>
      <c r="AR770" s="3"/>
      <c r="AS770" s="3"/>
      <c r="AT770" s="3"/>
      <c r="AU770" s="3"/>
      <c r="AV770" s="3"/>
      <c r="AW770" s="3"/>
      <c r="AX770" s="3"/>
      <c r="AY770" s="3"/>
      <c r="AZ770" s="3"/>
      <c r="BA770" s="3"/>
      <c r="BB770" s="3"/>
      <c r="BC770" s="3"/>
    </row>
    <row r="771" ht="15.75" customHeight="1">
      <c r="A771" s="12"/>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c r="AA771" s="310"/>
      <c r="AB771" s="310"/>
      <c r="AC771" s="310"/>
      <c r="AD771" s="310"/>
      <c r="AE771" s="310"/>
      <c r="AF771" s="310"/>
      <c r="AG771" s="310"/>
      <c r="AH771" s="310"/>
      <c r="AI771" s="310"/>
      <c r="AJ771" s="310"/>
      <c r="AK771" s="310"/>
      <c r="AL771" s="310"/>
      <c r="AM771" s="310"/>
      <c r="AN771" s="310"/>
      <c r="AO771" s="310"/>
      <c r="AP771" s="12"/>
      <c r="AQ771" s="3"/>
      <c r="AR771" s="3"/>
      <c r="AS771" s="3"/>
      <c r="AT771" s="3"/>
      <c r="AU771" s="3"/>
      <c r="AV771" s="3"/>
      <c r="AW771" s="3"/>
      <c r="AX771" s="3"/>
      <c r="AY771" s="3"/>
      <c r="AZ771" s="3"/>
      <c r="BA771" s="3"/>
      <c r="BB771" s="3"/>
      <c r="BC771" s="3"/>
    </row>
    <row r="772" ht="15.75" customHeight="1">
      <c r="A772" s="12"/>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c r="AA772" s="310"/>
      <c r="AB772" s="310"/>
      <c r="AC772" s="310"/>
      <c r="AD772" s="310"/>
      <c r="AE772" s="310"/>
      <c r="AF772" s="310"/>
      <c r="AG772" s="310"/>
      <c r="AH772" s="310"/>
      <c r="AI772" s="310"/>
      <c r="AJ772" s="310"/>
      <c r="AK772" s="310"/>
      <c r="AL772" s="310"/>
      <c r="AM772" s="310"/>
      <c r="AN772" s="310"/>
      <c r="AO772" s="310"/>
      <c r="AP772" s="12"/>
      <c r="AQ772" s="3"/>
      <c r="AR772" s="3"/>
      <c r="AS772" s="3"/>
      <c r="AT772" s="3"/>
      <c r="AU772" s="3"/>
      <c r="AV772" s="3"/>
      <c r="AW772" s="3"/>
      <c r="AX772" s="3"/>
      <c r="AY772" s="3"/>
      <c r="AZ772" s="3"/>
      <c r="BA772" s="3"/>
      <c r="BB772" s="3"/>
      <c r="BC772" s="3"/>
    </row>
    <row r="773" ht="15.75" customHeight="1">
      <c r="A773" s="12"/>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c r="AA773" s="310"/>
      <c r="AB773" s="310"/>
      <c r="AC773" s="310"/>
      <c r="AD773" s="310"/>
      <c r="AE773" s="310"/>
      <c r="AF773" s="310"/>
      <c r="AG773" s="310"/>
      <c r="AH773" s="310"/>
      <c r="AI773" s="310"/>
      <c r="AJ773" s="310"/>
      <c r="AK773" s="310"/>
      <c r="AL773" s="310"/>
      <c r="AM773" s="310"/>
      <c r="AN773" s="310"/>
      <c r="AO773" s="310"/>
      <c r="AP773" s="12"/>
      <c r="AQ773" s="3"/>
      <c r="AR773" s="3"/>
      <c r="AS773" s="3"/>
      <c r="AT773" s="3"/>
      <c r="AU773" s="3"/>
      <c r="AV773" s="3"/>
      <c r="AW773" s="3"/>
      <c r="AX773" s="3"/>
      <c r="AY773" s="3"/>
      <c r="AZ773" s="3"/>
      <c r="BA773" s="3"/>
      <c r="BB773" s="3"/>
      <c r="BC773" s="3"/>
    </row>
    <row r="774" ht="15.75" customHeight="1">
      <c r="A774" s="12"/>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c r="AA774" s="310"/>
      <c r="AB774" s="310"/>
      <c r="AC774" s="310"/>
      <c r="AD774" s="310"/>
      <c r="AE774" s="310"/>
      <c r="AF774" s="310"/>
      <c r="AG774" s="310"/>
      <c r="AH774" s="310"/>
      <c r="AI774" s="310"/>
      <c r="AJ774" s="310"/>
      <c r="AK774" s="310"/>
      <c r="AL774" s="310"/>
      <c r="AM774" s="310"/>
      <c r="AN774" s="310"/>
      <c r="AO774" s="310"/>
      <c r="AP774" s="12"/>
      <c r="AQ774" s="3"/>
      <c r="AR774" s="3"/>
      <c r="AS774" s="3"/>
      <c r="AT774" s="3"/>
      <c r="AU774" s="3"/>
      <c r="AV774" s="3"/>
      <c r="AW774" s="3"/>
      <c r="AX774" s="3"/>
      <c r="AY774" s="3"/>
      <c r="AZ774" s="3"/>
      <c r="BA774" s="3"/>
      <c r="BB774" s="3"/>
      <c r="BC774" s="3"/>
    </row>
    <row r="775" ht="15.75" customHeight="1">
      <c r="A775" s="12"/>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c r="AA775" s="310"/>
      <c r="AB775" s="310"/>
      <c r="AC775" s="310"/>
      <c r="AD775" s="310"/>
      <c r="AE775" s="310"/>
      <c r="AF775" s="310"/>
      <c r="AG775" s="310"/>
      <c r="AH775" s="310"/>
      <c r="AI775" s="310"/>
      <c r="AJ775" s="310"/>
      <c r="AK775" s="310"/>
      <c r="AL775" s="310"/>
      <c r="AM775" s="310"/>
      <c r="AN775" s="310"/>
      <c r="AO775" s="310"/>
      <c r="AP775" s="12"/>
      <c r="AQ775" s="3"/>
      <c r="AR775" s="3"/>
      <c r="AS775" s="3"/>
      <c r="AT775" s="3"/>
      <c r="AU775" s="3"/>
      <c r="AV775" s="3"/>
      <c r="AW775" s="3"/>
      <c r="AX775" s="3"/>
      <c r="AY775" s="3"/>
      <c r="AZ775" s="3"/>
      <c r="BA775" s="3"/>
      <c r="BB775" s="3"/>
      <c r="BC775" s="3"/>
    </row>
    <row r="776" ht="15.75" customHeight="1">
      <c r="A776" s="12"/>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c r="AA776" s="310"/>
      <c r="AB776" s="310"/>
      <c r="AC776" s="310"/>
      <c r="AD776" s="310"/>
      <c r="AE776" s="310"/>
      <c r="AF776" s="310"/>
      <c r="AG776" s="310"/>
      <c r="AH776" s="310"/>
      <c r="AI776" s="310"/>
      <c r="AJ776" s="310"/>
      <c r="AK776" s="310"/>
      <c r="AL776" s="310"/>
      <c r="AM776" s="310"/>
      <c r="AN776" s="310"/>
      <c r="AO776" s="310"/>
      <c r="AP776" s="12"/>
      <c r="AQ776" s="3"/>
      <c r="AR776" s="3"/>
      <c r="AS776" s="3"/>
      <c r="AT776" s="3"/>
      <c r="AU776" s="3"/>
      <c r="AV776" s="3"/>
      <c r="AW776" s="3"/>
      <c r="AX776" s="3"/>
      <c r="AY776" s="3"/>
      <c r="AZ776" s="3"/>
      <c r="BA776" s="3"/>
      <c r="BB776" s="3"/>
      <c r="BC776" s="3"/>
    </row>
    <row r="777" ht="15.75" customHeight="1">
      <c r="A777" s="12"/>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c r="AA777" s="310"/>
      <c r="AB777" s="310"/>
      <c r="AC777" s="310"/>
      <c r="AD777" s="310"/>
      <c r="AE777" s="310"/>
      <c r="AF777" s="310"/>
      <c r="AG777" s="310"/>
      <c r="AH777" s="310"/>
      <c r="AI777" s="310"/>
      <c r="AJ777" s="310"/>
      <c r="AK777" s="310"/>
      <c r="AL777" s="310"/>
      <c r="AM777" s="310"/>
      <c r="AN777" s="310"/>
      <c r="AO777" s="310"/>
      <c r="AP777" s="12"/>
      <c r="AQ777" s="3"/>
      <c r="AR777" s="3"/>
      <c r="AS777" s="3"/>
      <c r="AT777" s="3"/>
      <c r="AU777" s="3"/>
      <c r="AV777" s="3"/>
      <c r="AW777" s="3"/>
      <c r="AX777" s="3"/>
      <c r="AY777" s="3"/>
      <c r="AZ777" s="3"/>
      <c r="BA777" s="3"/>
      <c r="BB777" s="3"/>
      <c r="BC777" s="3"/>
    </row>
    <row r="778" ht="15.75" customHeight="1">
      <c r="A778" s="12"/>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c r="AA778" s="310"/>
      <c r="AB778" s="310"/>
      <c r="AC778" s="310"/>
      <c r="AD778" s="310"/>
      <c r="AE778" s="310"/>
      <c r="AF778" s="310"/>
      <c r="AG778" s="310"/>
      <c r="AH778" s="310"/>
      <c r="AI778" s="310"/>
      <c r="AJ778" s="310"/>
      <c r="AK778" s="310"/>
      <c r="AL778" s="310"/>
      <c r="AM778" s="310"/>
      <c r="AN778" s="310"/>
      <c r="AO778" s="310"/>
      <c r="AP778" s="12"/>
      <c r="AQ778" s="3"/>
      <c r="AR778" s="3"/>
      <c r="AS778" s="3"/>
      <c r="AT778" s="3"/>
      <c r="AU778" s="3"/>
      <c r="AV778" s="3"/>
      <c r="AW778" s="3"/>
      <c r="AX778" s="3"/>
      <c r="AY778" s="3"/>
      <c r="AZ778" s="3"/>
      <c r="BA778" s="3"/>
      <c r="BB778" s="3"/>
      <c r="BC778" s="3"/>
    </row>
    <row r="779" ht="15.75" customHeight="1">
      <c r="A779" s="12"/>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c r="AA779" s="310"/>
      <c r="AB779" s="310"/>
      <c r="AC779" s="310"/>
      <c r="AD779" s="310"/>
      <c r="AE779" s="310"/>
      <c r="AF779" s="310"/>
      <c r="AG779" s="310"/>
      <c r="AH779" s="310"/>
      <c r="AI779" s="310"/>
      <c r="AJ779" s="310"/>
      <c r="AK779" s="310"/>
      <c r="AL779" s="310"/>
      <c r="AM779" s="310"/>
      <c r="AN779" s="310"/>
      <c r="AO779" s="310"/>
      <c r="AP779" s="12"/>
      <c r="AQ779" s="3"/>
      <c r="AR779" s="3"/>
      <c r="AS779" s="3"/>
      <c r="AT779" s="3"/>
      <c r="AU779" s="3"/>
      <c r="AV779" s="3"/>
      <c r="AW779" s="3"/>
      <c r="AX779" s="3"/>
      <c r="AY779" s="3"/>
      <c r="AZ779" s="3"/>
      <c r="BA779" s="3"/>
      <c r="BB779" s="3"/>
      <c r="BC779" s="3"/>
    </row>
    <row r="780" ht="15.75" customHeight="1">
      <c r="A780" s="12"/>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c r="AA780" s="310"/>
      <c r="AB780" s="310"/>
      <c r="AC780" s="310"/>
      <c r="AD780" s="310"/>
      <c r="AE780" s="310"/>
      <c r="AF780" s="310"/>
      <c r="AG780" s="310"/>
      <c r="AH780" s="310"/>
      <c r="AI780" s="310"/>
      <c r="AJ780" s="310"/>
      <c r="AK780" s="310"/>
      <c r="AL780" s="310"/>
      <c r="AM780" s="310"/>
      <c r="AN780" s="310"/>
      <c r="AO780" s="310"/>
      <c r="AP780" s="12"/>
      <c r="AQ780" s="3"/>
      <c r="AR780" s="3"/>
      <c r="AS780" s="3"/>
      <c r="AT780" s="3"/>
      <c r="AU780" s="3"/>
      <c r="AV780" s="3"/>
      <c r="AW780" s="3"/>
      <c r="AX780" s="3"/>
      <c r="AY780" s="3"/>
      <c r="AZ780" s="3"/>
      <c r="BA780" s="3"/>
      <c r="BB780" s="3"/>
      <c r="BC780" s="3"/>
    </row>
    <row r="781" ht="15.75" customHeight="1">
      <c r="A781" s="12"/>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c r="AA781" s="310"/>
      <c r="AB781" s="310"/>
      <c r="AC781" s="310"/>
      <c r="AD781" s="310"/>
      <c r="AE781" s="310"/>
      <c r="AF781" s="310"/>
      <c r="AG781" s="310"/>
      <c r="AH781" s="310"/>
      <c r="AI781" s="310"/>
      <c r="AJ781" s="310"/>
      <c r="AK781" s="310"/>
      <c r="AL781" s="310"/>
      <c r="AM781" s="310"/>
      <c r="AN781" s="310"/>
      <c r="AO781" s="310"/>
      <c r="AP781" s="12"/>
      <c r="AQ781" s="3"/>
      <c r="AR781" s="3"/>
      <c r="AS781" s="3"/>
      <c r="AT781" s="3"/>
      <c r="AU781" s="3"/>
      <c r="AV781" s="3"/>
      <c r="AW781" s="3"/>
      <c r="AX781" s="3"/>
      <c r="AY781" s="3"/>
      <c r="AZ781" s="3"/>
      <c r="BA781" s="3"/>
      <c r="BB781" s="3"/>
      <c r="BC781" s="3"/>
    </row>
    <row r="782" ht="15.75" customHeight="1">
      <c r="A782" s="12"/>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c r="AA782" s="310"/>
      <c r="AB782" s="310"/>
      <c r="AC782" s="310"/>
      <c r="AD782" s="310"/>
      <c r="AE782" s="310"/>
      <c r="AF782" s="310"/>
      <c r="AG782" s="310"/>
      <c r="AH782" s="310"/>
      <c r="AI782" s="310"/>
      <c r="AJ782" s="310"/>
      <c r="AK782" s="310"/>
      <c r="AL782" s="310"/>
      <c r="AM782" s="310"/>
      <c r="AN782" s="310"/>
      <c r="AO782" s="310"/>
      <c r="AP782" s="12"/>
      <c r="AQ782" s="3"/>
      <c r="AR782" s="3"/>
      <c r="AS782" s="3"/>
      <c r="AT782" s="3"/>
      <c r="AU782" s="3"/>
      <c r="AV782" s="3"/>
      <c r="AW782" s="3"/>
      <c r="AX782" s="3"/>
      <c r="AY782" s="3"/>
      <c r="AZ782" s="3"/>
      <c r="BA782" s="3"/>
      <c r="BB782" s="3"/>
      <c r="BC782" s="3"/>
    </row>
    <row r="783" ht="15.75" customHeight="1">
      <c r="A783" s="12"/>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c r="AA783" s="310"/>
      <c r="AB783" s="310"/>
      <c r="AC783" s="310"/>
      <c r="AD783" s="310"/>
      <c r="AE783" s="310"/>
      <c r="AF783" s="310"/>
      <c r="AG783" s="310"/>
      <c r="AH783" s="310"/>
      <c r="AI783" s="310"/>
      <c r="AJ783" s="310"/>
      <c r="AK783" s="310"/>
      <c r="AL783" s="310"/>
      <c r="AM783" s="310"/>
      <c r="AN783" s="310"/>
      <c r="AO783" s="310"/>
      <c r="AP783" s="12"/>
      <c r="AQ783" s="3"/>
      <c r="AR783" s="3"/>
      <c r="AS783" s="3"/>
      <c r="AT783" s="3"/>
      <c r="AU783" s="3"/>
      <c r="AV783" s="3"/>
      <c r="AW783" s="3"/>
      <c r="AX783" s="3"/>
      <c r="AY783" s="3"/>
      <c r="AZ783" s="3"/>
      <c r="BA783" s="3"/>
      <c r="BB783" s="3"/>
      <c r="BC783" s="3"/>
    </row>
    <row r="784" ht="15.75" customHeight="1">
      <c r="A784" s="12"/>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c r="AA784" s="310"/>
      <c r="AB784" s="310"/>
      <c r="AC784" s="310"/>
      <c r="AD784" s="310"/>
      <c r="AE784" s="310"/>
      <c r="AF784" s="310"/>
      <c r="AG784" s="310"/>
      <c r="AH784" s="310"/>
      <c r="AI784" s="310"/>
      <c r="AJ784" s="310"/>
      <c r="AK784" s="310"/>
      <c r="AL784" s="310"/>
      <c r="AM784" s="310"/>
      <c r="AN784" s="310"/>
      <c r="AO784" s="310"/>
      <c r="AP784" s="12"/>
      <c r="AQ784" s="3"/>
      <c r="AR784" s="3"/>
      <c r="AS784" s="3"/>
      <c r="AT784" s="3"/>
      <c r="AU784" s="3"/>
      <c r="AV784" s="3"/>
      <c r="AW784" s="3"/>
      <c r="AX784" s="3"/>
      <c r="AY784" s="3"/>
      <c r="AZ784" s="3"/>
      <c r="BA784" s="3"/>
      <c r="BB784" s="3"/>
      <c r="BC784" s="3"/>
    </row>
    <row r="785" ht="15.75" customHeight="1">
      <c r="A785" s="12"/>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c r="AA785" s="310"/>
      <c r="AB785" s="310"/>
      <c r="AC785" s="310"/>
      <c r="AD785" s="310"/>
      <c r="AE785" s="310"/>
      <c r="AF785" s="310"/>
      <c r="AG785" s="310"/>
      <c r="AH785" s="310"/>
      <c r="AI785" s="310"/>
      <c r="AJ785" s="310"/>
      <c r="AK785" s="310"/>
      <c r="AL785" s="310"/>
      <c r="AM785" s="310"/>
      <c r="AN785" s="310"/>
      <c r="AO785" s="310"/>
      <c r="AP785" s="12"/>
      <c r="AQ785" s="3"/>
      <c r="AR785" s="3"/>
      <c r="AS785" s="3"/>
      <c r="AT785" s="3"/>
      <c r="AU785" s="3"/>
      <c r="AV785" s="3"/>
      <c r="AW785" s="3"/>
      <c r="AX785" s="3"/>
      <c r="AY785" s="3"/>
      <c r="AZ785" s="3"/>
      <c r="BA785" s="3"/>
      <c r="BB785" s="3"/>
      <c r="BC785" s="3"/>
    </row>
    <row r="786" ht="15.75" customHeight="1">
      <c r="A786" s="12"/>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c r="AA786" s="310"/>
      <c r="AB786" s="310"/>
      <c r="AC786" s="310"/>
      <c r="AD786" s="310"/>
      <c r="AE786" s="310"/>
      <c r="AF786" s="310"/>
      <c r="AG786" s="310"/>
      <c r="AH786" s="310"/>
      <c r="AI786" s="310"/>
      <c r="AJ786" s="310"/>
      <c r="AK786" s="310"/>
      <c r="AL786" s="310"/>
      <c r="AM786" s="310"/>
      <c r="AN786" s="310"/>
      <c r="AO786" s="310"/>
      <c r="AP786" s="12"/>
      <c r="AQ786" s="3"/>
      <c r="AR786" s="3"/>
      <c r="AS786" s="3"/>
      <c r="AT786" s="3"/>
      <c r="AU786" s="3"/>
      <c r="AV786" s="3"/>
      <c r="AW786" s="3"/>
      <c r="AX786" s="3"/>
      <c r="AY786" s="3"/>
      <c r="AZ786" s="3"/>
      <c r="BA786" s="3"/>
      <c r="BB786" s="3"/>
      <c r="BC786" s="3"/>
    </row>
    <row r="787" ht="15.75" customHeight="1">
      <c r="A787" s="12"/>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c r="AA787" s="310"/>
      <c r="AB787" s="310"/>
      <c r="AC787" s="310"/>
      <c r="AD787" s="310"/>
      <c r="AE787" s="310"/>
      <c r="AF787" s="310"/>
      <c r="AG787" s="310"/>
      <c r="AH787" s="310"/>
      <c r="AI787" s="310"/>
      <c r="AJ787" s="310"/>
      <c r="AK787" s="310"/>
      <c r="AL787" s="310"/>
      <c r="AM787" s="310"/>
      <c r="AN787" s="310"/>
      <c r="AO787" s="310"/>
      <c r="AP787" s="12"/>
      <c r="AQ787" s="3"/>
      <c r="AR787" s="3"/>
      <c r="AS787" s="3"/>
      <c r="AT787" s="3"/>
      <c r="AU787" s="3"/>
      <c r="AV787" s="3"/>
      <c r="AW787" s="3"/>
      <c r="AX787" s="3"/>
      <c r="AY787" s="3"/>
      <c r="AZ787" s="3"/>
      <c r="BA787" s="3"/>
      <c r="BB787" s="3"/>
      <c r="BC787" s="3"/>
    </row>
    <row r="788" ht="15.75" customHeight="1">
      <c r="A788" s="12"/>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c r="AA788" s="310"/>
      <c r="AB788" s="310"/>
      <c r="AC788" s="310"/>
      <c r="AD788" s="310"/>
      <c r="AE788" s="310"/>
      <c r="AF788" s="310"/>
      <c r="AG788" s="310"/>
      <c r="AH788" s="310"/>
      <c r="AI788" s="310"/>
      <c r="AJ788" s="310"/>
      <c r="AK788" s="310"/>
      <c r="AL788" s="310"/>
      <c r="AM788" s="310"/>
      <c r="AN788" s="310"/>
      <c r="AO788" s="310"/>
      <c r="AP788" s="12"/>
      <c r="AQ788" s="3"/>
      <c r="AR788" s="3"/>
      <c r="AS788" s="3"/>
      <c r="AT788" s="3"/>
      <c r="AU788" s="3"/>
      <c r="AV788" s="3"/>
      <c r="AW788" s="3"/>
      <c r="AX788" s="3"/>
      <c r="AY788" s="3"/>
      <c r="AZ788" s="3"/>
      <c r="BA788" s="3"/>
      <c r="BB788" s="3"/>
      <c r="BC788" s="3"/>
    </row>
    <row r="789" ht="15.75" customHeight="1">
      <c r="A789" s="12"/>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c r="AA789" s="310"/>
      <c r="AB789" s="310"/>
      <c r="AC789" s="310"/>
      <c r="AD789" s="310"/>
      <c r="AE789" s="310"/>
      <c r="AF789" s="310"/>
      <c r="AG789" s="310"/>
      <c r="AH789" s="310"/>
      <c r="AI789" s="310"/>
      <c r="AJ789" s="310"/>
      <c r="AK789" s="310"/>
      <c r="AL789" s="310"/>
      <c r="AM789" s="310"/>
      <c r="AN789" s="310"/>
      <c r="AO789" s="310"/>
      <c r="AP789" s="12"/>
      <c r="AQ789" s="3"/>
      <c r="AR789" s="3"/>
      <c r="AS789" s="3"/>
      <c r="AT789" s="3"/>
      <c r="AU789" s="3"/>
      <c r="AV789" s="3"/>
      <c r="AW789" s="3"/>
      <c r="AX789" s="3"/>
      <c r="AY789" s="3"/>
      <c r="AZ789" s="3"/>
      <c r="BA789" s="3"/>
      <c r="BB789" s="3"/>
      <c r="BC789" s="3"/>
    </row>
    <row r="790" ht="15.75" customHeight="1">
      <c r="A790" s="12"/>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c r="AA790" s="310"/>
      <c r="AB790" s="310"/>
      <c r="AC790" s="310"/>
      <c r="AD790" s="310"/>
      <c r="AE790" s="310"/>
      <c r="AF790" s="310"/>
      <c r="AG790" s="310"/>
      <c r="AH790" s="310"/>
      <c r="AI790" s="310"/>
      <c r="AJ790" s="310"/>
      <c r="AK790" s="310"/>
      <c r="AL790" s="310"/>
      <c r="AM790" s="310"/>
      <c r="AN790" s="310"/>
      <c r="AO790" s="310"/>
      <c r="AP790" s="12"/>
      <c r="AQ790" s="3"/>
      <c r="AR790" s="3"/>
      <c r="AS790" s="3"/>
      <c r="AT790" s="3"/>
      <c r="AU790" s="3"/>
      <c r="AV790" s="3"/>
      <c r="AW790" s="3"/>
      <c r="AX790" s="3"/>
      <c r="AY790" s="3"/>
      <c r="AZ790" s="3"/>
      <c r="BA790" s="3"/>
      <c r="BB790" s="3"/>
      <c r="BC790" s="3"/>
    </row>
    <row r="791" ht="15.75" customHeight="1">
      <c r="A791" s="12"/>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c r="AA791" s="310"/>
      <c r="AB791" s="310"/>
      <c r="AC791" s="310"/>
      <c r="AD791" s="310"/>
      <c r="AE791" s="310"/>
      <c r="AF791" s="310"/>
      <c r="AG791" s="310"/>
      <c r="AH791" s="310"/>
      <c r="AI791" s="310"/>
      <c r="AJ791" s="310"/>
      <c r="AK791" s="310"/>
      <c r="AL791" s="310"/>
      <c r="AM791" s="310"/>
      <c r="AN791" s="310"/>
      <c r="AO791" s="310"/>
      <c r="AP791" s="12"/>
      <c r="AQ791" s="3"/>
      <c r="AR791" s="3"/>
      <c r="AS791" s="3"/>
      <c r="AT791" s="3"/>
      <c r="AU791" s="3"/>
      <c r="AV791" s="3"/>
      <c r="AW791" s="3"/>
      <c r="AX791" s="3"/>
      <c r="AY791" s="3"/>
      <c r="AZ791" s="3"/>
      <c r="BA791" s="3"/>
      <c r="BB791" s="3"/>
      <c r="BC791" s="3"/>
    </row>
    <row r="792" ht="15.75" customHeight="1">
      <c r="A792" s="12"/>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c r="AA792" s="310"/>
      <c r="AB792" s="310"/>
      <c r="AC792" s="310"/>
      <c r="AD792" s="310"/>
      <c r="AE792" s="310"/>
      <c r="AF792" s="310"/>
      <c r="AG792" s="310"/>
      <c r="AH792" s="310"/>
      <c r="AI792" s="310"/>
      <c r="AJ792" s="310"/>
      <c r="AK792" s="310"/>
      <c r="AL792" s="310"/>
      <c r="AM792" s="310"/>
      <c r="AN792" s="310"/>
      <c r="AO792" s="310"/>
      <c r="AP792" s="12"/>
      <c r="AQ792" s="3"/>
      <c r="AR792" s="3"/>
      <c r="AS792" s="3"/>
      <c r="AT792" s="3"/>
      <c r="AU792" s="3"/>
      <c r="AV792" s="3"/>
      <c r="AW792" s="3"/>
      <c r="AX792" s="3"/>
      <c r="AY792" s="3"/>
      <c r="AZ792" s="3"/>
      <c r="BA792" s="3"/>
      <c r="BB792" s="3"/>
      <c r="BC792" s="3"/>
    </row>
    <row r="793" ht="15.75" customHeight="1">
      <c r="A793" s="12"/>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c r="AA793" s="310"/>
      <c r="AB793" s="310"/>
      <c r="AC793" s="310"/>
      <c r="AD793" s="310"/>
      <c r="AE793" s="310"/>
      <c r="AF793" s="310"/>
      <c r="AG793" s="310"/>
      <c r="AH793" s="310"/>
      <c r="AI793" s="310"/>
      <c r="AJ793" s="310"/>
      <c r="AK793" s="310"/>
      <c r="AL793" s="310"/>
      <c r="AM793" s="310"/>
      <c r="AN793" s="310"/>
      <c r="AO793" s="310"/>
      <c r="AP793" s="12"/>
      <c r="AQ793" s="3"/>
      <c r="AR793" s="3"/>
      <c r="AS793" s="3"/>
      <c r="AT793" s="3"/>
      <c r="AU793" s="3"/>
      <c r="AV793" s="3"/>
      <c r="AW793" s="3"/>
      <c r="AX793" s="3"/>
      <c r="AY793" s="3"/>
      <c r="AZ793" s="3"/>
      <c r="BA793" s="3"/>
      <c r="BB793" s="3"/>
      <c r="BC793" s="3"/>
    </row>
    <row r="794" ht="15.75" customHeight="1">
      <c r="A794" s="12"/>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c r="AA794" s="310"/>
      <c r="AB794" s="310"/>
      <c r="AC794" s="310"/>
      <c r="AD794" s="310"/>
      <c r="AE794" s="310"/>
      <c r="AF794" s="310"/>
      <c r="AG794" s="310"/>
      <c r="AH794" s="310"/>
      <c r="AI794" s="310"/>
      <c r="AJ794" s="310"/>
      <c r="AK794" s="310"/>
      <c r="AL794" s="310"/>
      <c r="AM794" s="310"/>
      <c r="AN794" s="310"/>
      <c r="AO794" s="310"/>
      <c r="AP794" s="12"/>
      <c r="AQ794" s="3"/>
      <c r="AR794" s="3"/>
      <c r="AS794" s="3"/>
      <c r="AT794" s="3"/>
      <c r="AU794" s="3"/>
      <c r="AV794" s="3"/>
      <c r="AW794" s="3"/>
      <c r="AX794" s="3"/>
      <c r="AY794" s="3"/>
      <c r="AZ794" s="3"/>
      <c r="BA794" s="3"/>
      <c r="BB794" s="3"/>
      <c r="BC794" s="3"/>
    </row>
    <row r="795" ht="15.75" customHeight="1">
      <c r="A795" s="12"/>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c r="AA795" s="310"/>
      <c r="AB795" s="310"/>
      <c r="AC795" s="310"/>
      <c r="AD795" s="310"/>
      <c r="AE795" s="310"/>
      <c r="AF795" s="310"/>
      <c r="AG795" s="310"/>
      <c r="AH795" s="310"/>
      <c r="AI795" s="310"/>
      <c r="AJ795" s="310"/>
      <c r="AK795" s="310"/>
      <c r="AL795" s="310"/>
      <c r="AM795" s="310"/>
      <c r="AN795" s="310"/>
      <c r="AO795" s="310"/>
      <c r="AP795" s="12"/>
      <c r="AQ795" s="3"/>
      <c r="AR795" s="3"/>
      <c r="AS795" s="3"/>
      <c r="AT795" s="3"/>
      <c r="AU795" s="3"/>
      <c r="AV795" s="3"/>
      <c r="AW795" s="3"/>
      <c r="AX795" s="3"/>
      <c r="AY795" s="3"/>
      <c r="AZ795" s="3"/>
      <c r="BA795" s="3"/>
      <c r="BB795" s="3"/>
      <c r="BC795" s="3"/>
    </row>
    <row r="796" ht="15.75" customHeight="1">
      <c r="A796" s="12"/>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c r="AA796" s="310"/>
      <c r="AB796" s="310"/>
      <c r="AC796" s="310"/>
      <c r="AD796" s="310"/>
      <c r="AE796" s="310"/>
      <c r="AF796" s="310"/>
      <c r="AG796" s="310"/>
      <c r="AH796" s="310"/>
      <c r="AI796" s="310"/>
      <c r="AJ796" s="310"/>
      <c r="AK796" s="310"/>
      <c r="AL796" s="310"/>
      <c r="AM796" s="310"/>
      <c r="AN796" s="310"/>
      <c r="AO796" s="310"/>
      <c r="AP796" s="12"/>
      <c r="AQ796" s="3"/>
      <c r="AR796" s="3"/>
      <c r="AS796" s="3"/>
      <c r="AT796" s="3"/>
      <c r="AU796" s="3"/>
      <c r="AV796" s="3"/>
      <c r="AW796" s="3"/>
      <c r="AX796" s="3"/>
      <c r="AY796" s="3"/>
      <c r="AZ796" s="3"/>
      <c r="BA796" s="3"/>
      <c r="BB796" s="3"/>
      <c r="BC796" s="3"/>
    </row>
    <row r="797" ht="15.75" customHeight="1">
      <c r="A797" s="12"/>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c r="AA797" s="310"/>
      <c r="AB797" s="310"/>
      <c r="AC797" s="310"/>
      <c r="AD797" s="310"/>
      <c r="AE797" s="310"/>
      <c r="AF797" s="310"/>
      <c r="AG797" s="310"/>
      <c r="AH797" s="310"/>
      <c r="AI797" s="310"/>
      <c r="AJ797" s="310"/>
      <c r="AK797" s="310"/>
      <c r="AL797" s="310"/>
      <c r="AM797" s="310"/>
      <c r="AN797" s="310"/>
      <c r="AO797" s="310"/>
      <c r="AP797" s="12"/>
      <c r="AQ797" s="3"/>
      <c r="AR797" s="3"/>
      <c r="AS797" s="3"/>
      <c r="AT797" s="3"/>
      <c r="AU797" s="3"/>
      <c r="AV797" s="3"/>
      <c r="AW797" s="3"/>
      <c r="AX797" s="3"/>
      <c r="AY797" s="3"/>
      <c r="AZ797" s="3"/>
      <c r="BA797" s="3"/>
      <c r="BB797" s="3"/>
      <c r="BC797" s="3"/>
    </row>
    <row r="798" ht="15.75" customHeight="1">
      <c r="A798" s="12"/>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c r="AA798" s="310"/>
      <c r="AB798" s="310"/>
      <c r="AC798" s="310"/>
      <c r="AD798" s="310"/>
      <c r="AE798" s="310"/>
      <c r="AF798" s="310"/>
      <c r="AG798" s="310"/>
      <c r="AH798" s="310"/>
      <c r="AI798" s="310"/>
      <c r="AJ798" s="310"/>
      <c r="AK798" s="310"/>
      <c r="AL798" s="310"/>
      <c r="AM798" s="310"/>
      <c r="AN798" s="310"/>
      <c r="AO798" s="310"/>
      <c r="AP798" s="12"/>
      <c r="AQ798" s="3"/>
      <c r="AR798" s="3"/>
      <c r="AS798" s="3"/>
      <c r="AT798" s="3"/>
      <c r="AU798" s="3"/>
      <c r="AV798" s="3"/>
      <c r="AW798" s="3"/>
      <c r="AX798" s="3"/>
      <c r="AY798" s="3"/>
      <c r="AZ798" s="3"/>
      <c r="BA798" s="3"/>
      <c r="BB798" s="3"/>
      <c r="BC798" s="3"/>
    </row>
    <row r="799" ht="15.75" customHeight="1">
      <c r="A799" s="12"/>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c r="AA799" s="310"/>
      <c r="AB799" s="310"/>
      <c r="AC799" s="310"/>
      <c r="AD799" s="310"/>
      <c r="AE799" s="310"/>
      <c r="AF799" s="310"/>
      <c r="AG799" s="310"/>
      <c r="AH799" s="310"/>
      <c r="AI799" s="310"/>
      <c r="AJ799" s="310"/>
      <c r="AK799" s="310"/>
      <c r="AL799" s="310"/>
      <c r="AM799" s="310"/>
      <c r="AN799" s="310"/>
      <c r="AO799" s="310"/>
      <c r="AP799" s="12"/>
      <c r="AQ799" s="3"/>
      <c r="AR799" s="3"/>
      <c r="AS799" s="3"/>
      <c r="AT799" s="3"/>
      <c r="AU799" s="3"/>
      <c r="AV799" s="3"/>
      <c r="AW799" s="3"/>
      <c r="AX799" s="3"/>
      <c r="AY799" s="3"/>
      <c r="AZ799" s="3"/>
      <c r="BA799" s="3"/>
      <c r="BB799" s="3"/>
      <c r="BC799" s="3"/>
    </row>
    <row r="800" ht="15.75" customHeight="1">
      <c r="A800" s="12"/>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c r="AA800" s="310"/>
      <c r="AB800" s="310"/>
      <c r="AC800" s="310"/>
      <c r="AD800" s="310"/>
      <c r="AE800" s="310"/>
      <c r="AF800" s="310"/>
      <c r="AG800" s="310"/>
      <c r="AH800" s="310"/>
      <c r="AI800" s="310"/>
      <c r="AJ800" s="310"/>
      <c r="AK800" s="310"/>
      <c r="AL800" s="310"/>
      <c r="AM800" s="310"/>
      <c r="AN800" s="310"/>
      <c r="AO800" s="310"/>
      <c r="AP800" s="12"/>
      <c r="AQ800" s="3"/>
      <c r="AR800" s="3"/>
      <c r="AS800" s="3"/>
      <c r="AT800" s="3"/>
      <c r="AU800" s="3"/>
      <c r="AV800" s="3"/>
      <c r="AW800" s="3"/>
      <c r="AX800" s="3"/>
      <c r="AY800" s="3"/>
      <c r="AZ800" s="3"/>
      <c r="BA800" s="3"/>
      <c r="BB800" s="3"/>
      <c r="BC800" s="3"/>
    </row>
    <row r="801" ht="15.75" customHeight="1">
      <c r="A801" s="12"/>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c r="AA801" s="310"/>
      <c r="AB801" s="310"/>
      <c r="AC801" s="310"/>
      <c r="AD801" s="310"/>
      <c r="AE801" s="310"/>
      <c r="AF801" s="310"/>
      <c r="AG801" s="310"/>
      <c r="AH801" s="310"/>
      <c r="AI801" s="310"/>
      <c r="AJ801" s="310"/>
      <c r="AK801" s="310"/>
      <c r="AL801" s="310"/>
      <c r="AM801" s="310"/>
      <c r="AN801" s="310"/>
      <c r="AO801" s="310"/>
      <c r="AP801" s="12"/>
      <c r="AQ801" s="3"/>
      <c r="AR801" s="3"/>
      <c r="AS801" s="3"/>
      <c r="AT801" s="3"/>
      <c r="AU801" s="3"/>
      <c r="AV801" s="3"/>
      <c r="AW801" s="3"/>
      <c r="AX801" s="3"/>
      <c r="AY801" s="3"/>
      <c r="AZ801" s="3"/>
      <c r="BA801" s="3"/>
      <c r="BB801" s="3"/>
      <c r="BC801" s="3"/>
    </row>
    <row r="802" ht="15.75" customHeight="1">
      <c r="A802" s="12"/>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c r="AA802" s="310"/>
      <c r="AB802" s="310"/>
      <c r="AC802" s="310"/>
      <c r="AD802" s="310"/>
      <c r="AE802" s="310"/>
      <c r="AF802" s="310"/>
      <c r="AG802" s="310"/>
      <c r="AH802" s="310"/>
      <c r="AI802" s="310"/>
      <c r="AJ802" s="310"/>
      <c r="AK802" s="310"/>
      <c r="AL802" s="310"/>
      <c r="AM802" s="310"/>
      <c r="AN802" s="310"/>
      <c r="AO802" s="310"/>
      <c r="AP802" s="12"/>
      <c r="AQ802" s="3"/>
      <c r="AR802" s="3"/>
      <c r="AS802" s="3"/>
      <c r="AT802" s="3"/>
      <c r="AU802" s="3"/>
      <c r="AV802" s="3"/>
      <c r="AW802" s="3"/>
      <c r="AX802" s="3"/>
      <c r="AY802" s="3"/>
      <c r="AZ802" s="3"/>
      <c r="BA802" s="3"/>
      <c r="BB802" s="3"/>
      <c r="BC802" s="3"/>
    </row>
    <row r="803" ht="15.75" customHeight="1">
      <c r="A803" s="12"/>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c r="AA803" s="310"/>
      <c r="AB803" s="310"/>
      <c r="AC803" s="310"/>
      <c r="AD803" s="310"/>
      <c r="AE803" s="310"/>
      <c r="AF803" s="310"/>
      <c r="AG803" s="310"/>
      <c r="AH803" s="310"/>
      <c r="AI803" s="310"/>
      <c r="AJ803" s="310"/>
      <c r="AK803" s="310"/>
      <c r="AL803" s="310"/>
      <c r="AM803" s="310"/>
      <c r="AN803" s="310"/>
      <c r="AO803" s="310"/>
      <c r="AP803" s="12"/>
      <c r="AQ803" s="3"/>
      <c r="AR803" s="3"/>
      <c r="AS803" s="3"/>
      <c r="AT803" s="3"/>
      <c r="AU803" s="3"/>
      <c r="AV803" s="3"/>
      <c r="AW803" s="3"/>
      <c r="AX803" s="3"/>
      <c r="AY803" s="3"/>
      <c r="AZ803" s="3"/>
      <c r="BA803" s="3"/>
      <c r="BB803" s="3"/>
      <c r="BC803" s="3"/>
    </row>
    <row r="804" ht="15.75" customHeight="1">
      <c r="A804" s="12"/>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c r="AA804" s="310"/>
      <c r="AB804" s="310"/>
      <c r="AC804" s="310"/>
      <c r="AD804" s="310"/>
      <c r="AE804" s="310"/>
      <c r="AF804" s="310"/>
      <c r="AG804" s="310"/>
      <c r="AH804" s="310"/>
      <c r="AI804" s="310"/>
      <c r="AJ804" s="310"/>
      <c r="AK804" s="310"/>
      <c r="AL804" s="310"/>
      <c r="AM804" s="310"/>
      <c r="AN804" s="310"/>
      <c r="AO804" s="310"/>
      <c r="AP804" s="12"/>
      <c r="AQ804" s="3"/>
      <c r="AR804" s="3"/>
      <c r="AS804" s="3"/>
      <c r="AT804" s="3"/>
      <c r="AU804" s="3"/>
      <c r="AV804" s="3"/>
      <c r="AW804" s="3"/>
      <c r="AX804" s="3"/>
      <c r="AY804" s="3"/>
      <c r="AZ804" s="3"/>
      <c r="BA804" s="3"/>
      <c r="BB804" s="3"/>
      <c r="BC804" s="3"/>
    </row>
    <row r="805" ht="15.75" customHeight="1">
      <c r="A805" s="12"/>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c r="AA805" s="310"/>
      <c r="AB805" s="310"/>
      <c r="AC805" s="310"/>
      <c r="AD805" s="310"/>
      <c r="AE805" s="310"/>
      <c r="AF805" s="310"/>
      <c r="AG805" s="310"/>
      <c r="AH805" s="310"/>
      <c r="AI805" s="310"/>
      <c r="AJ805" s="310"/>
      <c r="AK805" s="310"/>
      <c r="AL805" s="310"/>
      <c r="AM805" s="310"/>
      <c r="AN805" s="310"/>
      <c r="AO805" s="310"/>
      <c r="AP805" s="12"/>
      <c r="AQ805" s="3"/>
      <c r="AR805" s="3"/>
      <c r="AS805" s="3"/>
      <c r="AT805" s="3"/>
      <c r="AU805" s="3"/>
      <c r="AV805" s="3"/>
      <c r="AW805" s="3"/>
      <c r="AX805" s="3"/>
      <c r="AY805" s="3"/>
      <c r="AZ805" s="3"/>
      <c r="BA805" s="3"/>
      <c r="BB805" s="3"/>
      <c r="BC805" s="3"/>
    </row>
    <row r="806" ht="15.75" customHeight="1">
      <c r="A806" s="12"/>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c r="AA806" s="310"/>
      <c r="AB806" s="310"/>
      <c r="AC806" s="310"/>
      <c r="AD806" s="310"/>
      <c r="AE806" s="310"/>
      <c r="AF806" s="310"/>
      <c r="AG806" s="310"/>
      <c r="AH806" s="310"/>
      <c r="AI806" s="310"/>
      <c r="AJ806" s="310"/>
      <c r="AK806" s="310"/>
      <c r="AL806" s="310"/>
      <c r="AM806" s="310"/>
      <c r="AN806" s="310"/>
      <c r="AO806" s="310"/>
      <c r="AP806" s="12"/>
      <c r="AQ806" s="3"/>
      <c r="AR806" s="3"/>
      <c r="AS806" s="3"/>
      <c r="AT806" s="3"/>
      <c r="AU806" s="3"/>
      <c r="AV806" s="3"/>
      <c r="AW806" s="3"/>
      <c r="AX806" s="3"/>
      <c r="AY806" s="3"/>
      <c r="AZ806" s="3"/>
      <c r="BA806" s="3"/>
      <c r="BB806" s="3"/>
      <c r="BC806" s="3"/>
    </row>
    <row r="807" ht="15.75" customHeight="1">
      <c r="A807" s="12"/>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c r="AA807" s="310"/>
      <c r="AB807" s="310"/>
      <c r="AC807" s="310"/>
      <c r="AD807" s="310"/>
      <c r="AE807" s="310"/>
      <c r="AF807" s="310"/>
      <c r="AG807" s="310"/>
      <c r="AH807" s="310"/>
      <c r="AI807" s="310"/>
      <c r="AJ807" s="310"/>
      <c r="AK807" s="310"/>
      <c r="AL807" s="310"/>
      <c r="AM807" s="310"/>
      <c r="AN807" s="310"/>
      <c r="AO807" s="310"/>
      <c r="AP807" s="12"/>
      <c r="AQ807" s="3"/>
      <c r="AR807" s="3"/>
      <c r="AS807" s="3"/>
      <c r="AT807" s="3"/>
      <c r="AU807" s="3"/>
      <c r="AV807" s="3"/>
      <c r="AW807" s="3"/>
      <c r="AX807" s="3"/>
      <c r="AY807" s="3"/>
      <c r="AZ807" s="3"/>
      <c r="BA807" s="3"/>
      <c r="BB807" s="3"/>
      <c r="BC807" s="3"/>
    </row>
    <row r="808" ht="15.75" customHeight="1">
      <c r="A808" s="12"/>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c r="AA808" s="310"/>
      <c r="AB808" s="310"/>
      <c r="AC808" s="310"/>
      <c r="AD808" s="310"/>
      <c r="AE808" s="310"/>
      <c r="AF808" s="310"/>
      <c r="AG808" s="310"/>
      <c r="AH808" s="310"/>
      <c r="AI808" s="310"/>
      <c r="AJ808" s="310"/>
      <c r="AK808" s="310"/>
      <c r="AL808" s="310"/>
      <c r="AM808" s="310"/>
      <c r="AN808" s="310"/>
      <c r="AO808" s="310"/>
      <c r="AP808" s="12"/>
      <c r="AQ808" s="3"/>
      <c r="AR808" s="3"/>
      <c r="AS808" s="3"/>
      <c r="AT808" s="3"/>
      <c r="AU808" s="3"/>
      <c r="AV808" s="3"/>
      <c r="AW808" s="3"/>
      <c r="AX808" s="3"/>
      <c r="AY808" s="3"/>
      <c r="AZ808" s="3"/>
      <c r="BA808" s="3"/>
      <c r="BB808" s="3"/>
      <c r="BC808" s="3"/>
    </row>
    <row r="809" ht="15.75" customHeight="1">
      <c r="A809" s="12"/>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c r="AA809" s="310"/>
      <c r="AB809" s="310"/>
      <c r="AC809" s="310"/>
      <c r="AD809" s="310"/>
      <c r="AE809" s="310"/>
      <c r="AF809" s="310"/>
      <c r="AG809" s="310"/>
      <c r="AH809" s="310"/>
      <c r="AI809" s="310"/>
      <c r="AJ809" s="310"/>
      <c r="AK809" s="310"/>
      <c r="AL809" s="310"/>
      <c r="AM809" s="310"/>
      <c r="AN809" s="310"/>
      <c r="AO809" s="310"/>
      <c r="AP809" s="12"/>
      <c r="AQ809" s="3"/>
      <c r="AR809" s="3"/>
      <c r="AS809" s="3"/>
      <c r="AT809" s="3"/>
      <c r="AU809" s="3"/>
      <c r="AV809" s="3"/>
      <c r="AW809" s="3"/>
      <c r="AX809" s="3"/>
      <c r="AY809" s="3"/>
      <c r="AZ809" s="3"/>
      <c r="BA809" s="3"/>
      <c r="BB809" s="3"/>
      <c r="BC809" s="3"/>
    </row>
    <row r="810" ht="15.75" customHeight="1">
      <c r="A810" s="12"/>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c r="AA810" s="310"/>
      <c r="AB810" s="310"/>
      <c r="AC810" s="310"/>
      <c r="AD810" s="310"/>
      <c r="AE810" s="310"/>
      <c r="AF810" s="310"/>
      <c r="AG810" s="310"/>
      <c r="AH810" s="310"/>
      <c r="AI810" s="310"/>
      <c r="AJ810" s="310"/>
      <c r="AK810" s="310"/>
      <c r="AL810" s="310"/>
      <c r="AM810" s="310"/>
      <c r="AN810" s="310"/>
      <c r="AO810" s="310"/>
      <c r="AP810" s="12"/>
      <c r="AQ810" s="3"/>
      <c r="AR810" s="3"/>
      <c r="AS810" s="3"/>
      <c r="AT810" s="3"/>
      <c r="AU810" s="3"/>
      <c r="AV810" s="3"/>
      <c r="AW810" s="3"/>
      <c r="AX810" s="3"/>
      <c r="AY810" s="3"/>
      <c r="AZ810" s="3"/>
      <c r="BA810" s="3"/>
      <c r="BB810" s="3"/>
      <c r="BC810" s="3"/>
    </row>
    <row r="811" ht="15.75" customHeight="1">
      <c r="A811" s="12"/>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c r="AA811" s="310"/>
      <c r="AB811" s="310"/>
      <c r="AC811" s="310"/>
      <c r="AD811" s="310"/>
      <c r="AE811" s="310"/>
      <c r="AF811" s="310"/>
      <c r="AG811" s="310"/>
      <c r="AH811" s="310"/>
      <c r="AI811" s="310"/>
      <c r="AJ811" s="310"/>
      <c r="AK811" s="310"/>
      <c r="AL811" s="310"/>
      <c r="AM811" s="310"/>
      <c r="AN811" s="310"/>
      <c r="AO811" s="310"/>
      <c r="AP811" s="12"/>
      <c r="AQ811" s="3"/>
      <c r="AR811" s="3"/>
      <c r="AS811" s="3"/>
      <c r="AT811" s="3"/>
      <c r="AU811" s="3"/>
      <c r="AV811" s="3"/>
      <c r="AW811" s="3"/>
      <c r="AX811" s="3"/>
      <c r="AY811" s="3"/>
      <c r="AZ811" s="3"/>
      <c r="BA811" s="3"/>
      <c r="BB811" s="3"/>
      <c r="BC811" s="3"/>
    </row>
    <row r="812" ht="15.75" customHeight="1">
      <c r="A812" s="12"/>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c r="AA812" s="310"/>
      <c r="AB812" s="310"/>
      <c r="AC812" s="310"/>
      <c r="AD812" s="310"/>
      <c r="AE812" s="310"/>
      <c r="AF812" s="310"/>
      <c r="AG812" s="310"/>
      <c r="AH812" s="310"/>
      <c r="AI812" s="310"/>
      <c r="AJ812" s="310"/>
      <c r="AK812" s="310"/>
      <c r="AL812" s="310"/>
      <c r="AM812" s="310"/>
      <c r="AN812" s="310"/>
      <c r="AO812" s="310"/>
      <c r="AP812" s="12"/>
      <c r="AQ812" s="3"/>
      <c r="AR812" s="3"/>
      <c r="AS812" s="3"/>
      <c r="AT812" s="3"/>
      <c r="AU812" s="3"/>
      <c r="AV812" s="3"/>
      <c r="AW812" s="3"/>
      <c r="AX812" s="3"/>
      <c r="AY812" s="3"/>
      <c r="AZ812" s="3"/>
      <c r="BA812" s="3"/>
      <c r="BB812" s="3"/>
      <c r="BC812" s="3"/>
    </row>
    <row r="813" ht="15.75" customHeight="1">
      <c r="A813" s="12"/>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c r="AA813" s="310"/>
      <c r="AB813" s="310"/>
      <c r="AC813" s="310"/>
      <c r="AD813" s="310"/>
      <c r="AE813" s="310"/>
      <c r="AF813" s="310"/>
      <c r="AG813" s="310"/>
      <c r="AH813" s="310"/>
      <c r="AI813" s="310"/>
      <c r="AJ813" s="310"/>
      <c r="AK813" s="310"/>
      <c r="AL813" s="310"/>
      <c r="AM813" s="310"/>
      <c r="AN813" s="310"/>
      <c r="AO813" s="310"/>
      <c r="AP813" s="12"/>
      <c r="AQ813" s="3"/>
      <c r="AR813" s="3"/>
      <c r="AS813" s="3"/>
      <c r="AT813" s="3"/>
      <c r="AU813" s="3"/>
      <c r="AV813" s="3"/>
      <c r="AW813" s="3"/>
      <c r="AX813" s="3"/>
      <c r="AY813" s="3"/>
      <c r="AZ813" s="3"/>
      <c r="BA813" s="3"/>
      <c r="BB813" s="3"/>
      <c r="BC813" s="3"/>
    </row>
    <row r="814" ht="15.75" customHeight="1">
      <c r="A814" s="12"/>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c r="AA814" s="310"/>
      <c r="AB814" s="310"/>
      <c r="AC814" s="310"/>
      <c r="AD814" s="310"/>
      <c r="AE814" s="310"/>
      <c r="AF814" s="310"/>
      <c r="AG814" s="310"/>
      <c r="AH814" s="310"/>
      <c r="AI814" s="310"/>
      <c r="AJ814" s="310"/>
      <c r="AK814" s="310"/>
      <c r="AL814" s="310"/>
      <c r="AM814" s="310"/>
      <c r="AN814" s="310"/>
      <c r="AO814" s="310"/>
      <c r="AP814" s="12"/>
      <c r="AQ814" s="3"/>
      <c r="AR814" s="3"/>
      <c r="AS814" s="3"/>
      <c r="AT814" s="3"/>
      <c r="AU814" s="3"/>
      <c r="AV814" s="3"/>
      <c r="AW814" s="3"/>
      <c r="AX814" s="3"/>
      <c r="AY814" s="3"/>
      <c r="AZ814" s="3"/>
      <c r="BA814" s="3"/>
      <c r="BB814" s="3"/>
      <c r="BC814" s="3"/>
    </row>
    <row r="815" ht="15.75" customHeight="1">
      <c r="A815" s="12"/>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c r="AA815" s="310"/>
      <c r="AB815" s="310"/>
      <c r="AC815" s="310"/>
      <c r="AD815" s="310"/>
      <c r="AE815" s="310"/>
      <c r="AF815" s="310"/>
      <c r="AG815" s="310"/>
      <c r="AH815" s="310"/>
      <c r="AI815" s="310"/>
      <c r="AJ815" s="310"/>
      <c r="AK815" s="310"/>
      <c r="AL815" s="310"/>
      <c r="AM815" s="310"/>
      <c r="AN815" s="310"/>
      <c r="AO815" s="310"/>
      <c r="AP815" s="12"/>
      <c r="AQ815" s="3"/>
      <c r="AR815" s="3"/>
      <c r="AS815" s="3"/>
      <c r="AT815" s="3"/>
      <c r="AU815" s="3"/>
      <c r="AV815" s="3"/>
      <c r="AW815" s="3"/>
      <c r="AX815" s="3"/>
      <c r="AY815" s="3"/>
      <c r="AZ815" s="3"/>
      <c r="BA815" s="3"/>
      <c r="BB815" s="3"/>
      <c r="BC815" s="3"/>
    </row>
    <row r="816" ht="15.75" customHeight="1">
      <c r="A816" s="12"/>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c r="AA816" s="310"/>
      <c r="AB816" s="310"/>
      <c r="AC816" s="310"/>
      <c r="AD816" s="310"/>
      <c r="AE816" s="310"/>
      <c r="AF816" s="310"/>
      <c r="AG816" s="310"/>
      <c r="AH816" s="310"/>
      <c r="AI816" s="310"/>
      <c r="AJ816" s="310"/>
      <c r="AK816" s="310"/>
      <c r="AL816" s="310"/>
      <c r="AM816" s="310"/>
      <c r="AN816" s="310"/>
      <c r="AO816" s="310"/>
      <c r="AP816" s="12"/>
      <c r="AQ816" s="3"/>
      <c r="AR816" s="3"/>
      <c r="AS816" s="3"/>
      <c r="AT816" s="3"/>
      <c r="AU816" s="3"/>
      <c r="AV816" s="3"/>
      <c r="AW816" s="3"/>
      <c r="AX816" s="3"/>
      <c r="AY816" s="3"/>
      <c r="AZ816" s="3"/>
      <c r="BA816" s="3"/>
      <c r="BB816" s="3"/>
      <c r="BC816" s="3"/>
    </row>
    <row r="817" ht="15.75" customHeight="1">
      <c r="A817" s="12"/>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c r="AA817" s="310"/>
      <c r="AB817" s="310"/>
      <c r="AC817" s="310"/>
      <c r="AD817" s="310"/>
      <c r="AE817" s="310"/>
      <c r="AF817" s="310"/>
      <c r="AG817" s="310"/>
      <c r="AH817" s="310"/>
      <c r="AI817" s="310"/>
      <c r="AJ817" s="310"/>
      <c r="AK817" s="310"/>
      <c r="AL817" s="310"/>
      <c r="AM817" s="310"/>
      <c r="AN817" s="310"/>
      <c r="AO817" s="310"/>
      <c r="AP817" s="12"/>
      <c r="AQ817" s="3"/>
      <c r="AR817" s="3"/>
      <c r="AS817" s="3"/>
      <c r="AT817" s="3"/>
      <c r="AU817" s="3"/>
      <c r="AV817" s="3"/>
      <c r="AW817" s="3"/>
      <c r="AX817" s="3"/>
      <c r="AY817" s="3"/>
      <c r="AZ817" s="3"/>
      <c r="BA817" s="3"/>
      <c r="BB817" s="3"/>
      <c r="BC817" s="3"/>
    </row>
    <row r="818" ht="15.75" customHeight="1">
      <c r="A818" s="12"/>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c r="AA818" s="310"/>
      <c r="AB818" s="310"/>
      <c r="AC818" s="310"/>
      <c r="AD818" s="310"/>
      <c r="AE818" s="310"/>
      <c r="AF818" s="310"/>
      <c r="AG818" s="310"/>
      <c r="AH818" s="310"/>
      <c r="AI818" s="310"/>
      <c r="AJ818" s="310"/>
      <c r="AK818" s="310"/>
      <c r="AL818" s="310"/>
      <c r="AM818" s="310"/>
      <c r="AN818" s="310"/>
      <c r="AO818" s="310"/>
      <c r="AP818" s="12"/>
      <c r="AQ818" s="3"/>
      <c r="AR818" s="3"/>
      <c r="AS818" s="3"/>
      <c r="AT818" s="3"/>
      <c r="AU818" s="3"/>
      <c r="AV818" s="3"/>
      <c r="AW818" s="3"/>
      <c r="AX818" s="3"/>
      <c r="AY818" s="3"/>
      <c r="AZ818" s="3"/>
      <c r="BA818" s="3"/>
      <c r="BB818" s="3"/>
      <c r="BC818" s="3"/>
    </row>
    <row r="819" ht="15.75" customHeight="1">
      <c r="A819" s="12"/>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c r="AA819" s="310"/>
      <c r="AB819" s="310"/>
      <c r="AC819" s="310"/>
      <c r="AD819" s="310"/>
      <c r="AE819" s="310"/>
      <c r="AF819" s="310"/>
      <c r="AG819" s="310"/>
      <c r="AH819" s="310"/>
      <c r="AI819" s="310"/>
      <c r="AJ819" s="310"/>
      <c r="AK819" s="310"/>
      <c r="AL819" s="310"/>
      <c r="AM819" s="310"/>
      <c r="AN819" s="310"/>
      <c r="AO819" s="310"/>
      <c r="AP819" s="12"/>
      <c r="AQ819" s="3"/>
      <c r="AR819" s="3"/>
      <c r="AS819" s="3"/>
      <c r="AT819" s="3"/>
      <c r="AU819" s="3"/>
      <c r="AV819" s="3"/>
      <c r="AW819" s="3"/>
      <c r="AX819" s="3"/>
      <c r="AY819" s="3"/>
      <c r="AZ819" s="3"/>
      <c r="BA819" s="3"/>
      <c r="BB819" s="3"/>
      <c r="BC819" s="3"/>
    </row>
    <row r="820" ht="15.75" customHeight="1">
      <c r="A820" s="12"/>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c r="AA820" s="310"/>
      <c r="AB820" s="310"/>
      <c r="AC820" s="310"/>
      <c r="AD820" s="310"/>
      <c r="AE820" s="310"/>
      <c r="AF820" s="310"/>
      <c r="AG820" s="310"/>
      <c r="AH820" s="310"/>
      <c r="AI820" s="310"/>
      <c r="AJ820" s="310"/>
      <c r="AK820" s="310"/>
      <c r="AL820" s="310"/>
      <c r="AM820" s="310"/>
      <c r="AN820" s="310"/>
      <c r="AO820" s="310"/>
      <c r="AP820" s="12"/>
      <c r="AQ820" s="3"/>
      <c r="AR820" s="3"/>
      <c r="AS820" s="3"/>
      <c r="AT820" s="3"/>
      <c r="AU820" s="3"/>
      <c r="AV820" s="3"/>
      <c r="AW820" s="3"/>
      <c r="AX820" s="3"/>
      <c r="AY820" s="3"/>
      <c r="AZ820" s="3"/>
      <c r="BA820" s="3"/>
      <c r="BB820" s="3"/>
      <c r="BC820" s="3"/>
    </row>
    <row r="821" ht="15.75" customHeight="1">
      <c r="A821" s="12"/>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c r="AA821" s="310"/>
      <c r="AB821" s="310"/>
      <c r="AC821" s="310"/>
      <c r="AD821" s="310"/>
      <c r="AE821" s="310"/>
      <c r="AF821" s="310"/>
      <c r="AG821" s="310"/>
      <c r="AH821" s="310"/>
      <c r="AI821" s="310"/>
      <c r="AJ821" s="310"/>
      <c r="AK821" s="310"/>
      <c r="AL821" s="310"/>
      <c r="AM821" s="310"/>
      <c r="AN821" s="310"/>
      <c r="AO821" s="310"/>
      <c r="AP821" s="12"/>
      <c r="AQ821" s="3"/>
      <c r="AR821" s="3"/>
      <c r="AS821" s="3"/>
      <c r="AT821" s="3"/>
      <c r="AU821" s="3"/>
      <c r="AV821" s="3"/>
      <c r="AW821" s="3"/>
      <c r="AX821" s="3"/>
      <c r="AY821" s="3"/>
      <c r="AZ821" s="3"/>
      <c r="BA821" s="3"/>
      <c r="BB821" s="3"/>
      <c r="BC821" s="3"/>
    </row>
    <row r="822" ht="15.75" customHeight="1">
      <c r="A822" s="12"/>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c r="AA822" s="310"/>
      <c r="AB822" s="310"/>
      <c r="AC822" s="310"/>
      <c r="AD822" s="310"/>
      <c r="AE822" s="310"/>
      <c r="AF822" s="310"/>
      <c r="AG822" s="310"/>
      <c r="AH822" s="310"/>
      <c r="AI822" s="310"/>
      <c r="AJ822" s="310"/>
      <c r="AK822" s="310"/>
      <c r="AL822" s="310"/>
      <c r="AM822" s="310"/>
      <c r="AN822" s="310"/>
      <c r="AO822" s="310"/>
      <c r="AP822" s="12"/>
      <c r="AQ822" s="3"/>
      <c r="AR822" s="3"/>
      <c r="AS822" s="3"/>
      <c r="AT822" s="3"/>
      <c r="AU822" s="3"/>
      <c r="AV822" s="3"/>
      <c r="AW822" s="3"/>
      <c r="AX822" s="3"/>
      <c r="AY822" s="3"/>
      <c r="AZ822" s="3"/>
      <c r="BA822" s="3"/>
      <c r="BB822" s="3"/>
      <c r="BC822" s="3"/>
    </row>
    <row r="823" ht="15.75" customHeight="1">
      <c r="A823" s="12"/>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c r="AA823" s="310"/>
      <c r="AB823" s="310"/>
      <c r="AC823" s="310"/>
      <c r="AD823" s="310"/>
      <c r="AE823" s="310"/>
      <c r="AF823" s="310"/>
      <c r="AG823" s="310"/>
      <c r="AH823" s="310"/>
      <c r="AI823" s="310"/>
      <c r="AJ823" s="310"/>
      <c r="AK823" s="310"/>
      <c r="AL823" s="310"/>
      <c r="AM823" s="310"/>
      <c r="AN823" s="310"/>
      <c r="AO823" s="310"/>
      <c r="AP823" s="12"/>
      <c r="AQ823" s="3"/>
      <c r="AR823" s="3"/>
      <c r="AS823" s="3"/>
      <c r="AT823" s="3"/>
      <c r="AU823" s="3"/>
      <c r="AV823" s="3"/>
      <c r="AW823" s="3"/>
      <c r="AX823" s="3"/>
      <c r="AY823" s="3"/>
      <c r="AZ823" s="3"/>
      <c r="BA823" s="3"/>
      <c r="BB823" s="3"/>
      <c r="BC823" s="3"/>
    </row>
    <row r="824" ht="15.75" customHeight="1">
      <c r="A824" s="12"/>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c r="AA824" s="310"/>
      <c r="AB824" s="310"/>
      <c r="AC824" s="310"/>
      <c r="AD824" s="310"/>
      <c r="AE824" s="310"/>
      <c r="AF824" s="310"/>
      <c r="AG824" s="310"/>
      <c r="AH824" s="310"/>
      <c r="AI824" s="310"/>
      <c r="AJ824" s="310"/>
      <c r="AK824" s="310"/>
      <c r="AL824" s="310"/>
      <c r="AM824" s="310"/>
      <c r="AN824" s="310"/>
      <c r="AO824" s="310"/>
      <c r="AP824" s="12"/>
      <c r="AQ824" s="3"/>
      <c r="AR824" s="3"/>
      <c r="AS824" s="3"/>
      <c r="AT824" s="3"/>
      <c r="AU824" s="3"/>
      <c r="AV824" s="3"/>
      <c r="AW824" s="3"/>
      <c r="AX824" s="3"/>
      <c r="AY824" s="3"/>
      <c r="AZ824" s="3"/>
      <c r="BA824" s="3"/>
      <c r="BB824" s="3"/>
      <c r="BC824" s="3"/>
    </row>
    <row r="825" ht="15.75" customHeight="1">
      <c r="A825" s="12"/>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c r="AA825" s="310"/>
      <c r="AB825" s="310"/>
      <c r="AC825" s="310"/>
      <c r="AD825" s="310"/>
      <c r="AE825" s="310"/>
      <c r="AF825" s="310"/>
      <c r="AG825" s="310"/>
      <c r="AH825" s="310"/>
      <c r="AI825" s="310"/>
      <c r="AJ825" s="310"/>
      <c r="AK825" s="310"/>
      <c r="AL825" s="310"/>
      <c r="AM825" s="310"/>
      <c r="AN825" s="310"/>
      <c r="AO825" s="310"/>
      <c r="AP825" s="12"/>
      <c r="AQ825" s="3"/>
      <c r="AR825" s="3"/>
      <c r="AS825" s="3"/>
      <c r="AT825" s="3"/>
      <c r="AU825" s="3"/>
      <c r="AV825" s="3"/>
      <c r="AW825" s="3"/>
      <c r="AX825" s="3"/>
      <c r="AY825" s="3"/>
      <c r="AZ825" s="3"/>
      <c r="BA825" s="3"/>
      <c r="BB825" s="3"/>
      <c r="BC825" s="3"/>
    </row>
    <row r="826" ht="15.75" customHeight="1">
      <c r="A826" s="12"/>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c r="AA826" s="310"/>
      <c r="AB826" s="310"/>
      <c r="AC826" s="310"/>
      <c r="AD826" s="310"/>
      <c r="AE826" s="310"/>
      <c r="AF826" s="310"/>
      <c r="AG826" s="310"/>
      <c r="AH826" s="310"/>
      <c r="AI826" s="310"/>
      <c r="AJ826" s="310"/>
      <c r="AK826" s="310"/>
      <c r="AL826" s="310"/>
      <c r="AM826" s="310"/>
      <c r="AN826" s="310"/>
      <c r="AO826" s="310"/>
      <c r="AP826" s="12"/>
      <c r="AQ826" s="3"/>
      <c r="AR826" s="3"/>
      <c r="AS826" s="3"/>
      <c r="AT826" s="3"/>
      <c r="AU826" s="3"/>
      <c r="AV826" s="3"/>
      <c r="AW826" s="3"/>
      <c r="AX826" s="3"/>
      <c r="AY826" s="3"/>
      <c r="AZ826" s="3"/>
      <c r="BA826" s="3"/>
      <c r="BB826" s="3"/>
      <c r="BC826" s="3"/>
    </row>
    <row r="827" ht="15.75" customHeight="1">
      <c r="A827" s="12"/>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c r="AA827" s="310"/>
      <c r="AB827" s="310"/>
      <c r="AC827" s="310"/>
      <c r="AD827" s="310"/>
      <c r="AE827" s="310"/>
      <c r="AF827" s="310"/>
      <c r="AG827" s="310"/>
      <c r="AH827" s="310"/>
      <c r="AI827" s="310"/>
      <c r="AJ827" s="310"/>
      <c r="AK827" s="310"/>
      <c r="AL827" s="310"/>
      <c r="AM827" s="310"/>
      <c r="AN827" s="310"/>
      <c r="AO827" s="310"/>
      <c r="AP827" s="12"/>
      <c r="AQ827" s="3"/>
      <c r="AR827" s="3"/>
      <c r="AS827" s="3"/>
      <c r="AT827" s="3"/>
      <c r="AU827" s="3"/>
      <c r="AV827" s="3"/>
      <c r="AW827" s="3"/>
      <c r="AX827" s="3"/>
      <c r="AY827" s="3"/>
      <c r="AZ827" s="3"/>
      <c r="BA827" s="3"/>
      <c r="BB827" s="3"/>
      <c r="BC827" s="3"/>
    </row>
    <row r="828" ht="15.75" customHeight="1">
      <c r="A828" s="12"/>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c r="AA828" s="310"/>
      <c r="AB828" s="310"/>
      <c r="AC828" s="310"/>
      <c r="AD828" s="310"/>
      <c r="AE828" s="310"/>
      <c r="AF828" s="310"/>
      <c r="AG828" s="310"/>
      <c r="AH828" s="310"/>
      <c r="AI828" s="310"/>
      <c r="AJ828" s="310"/>
      <c r="AK828" s="310"/>
      <c r="AL828" s="310"/>
      <c r="AM828" s="310"/>
      <c r="AN828" s="310"/>
      <c r="AO828" s="310"/>
      <c r="AP828" s="12"/>
      <c r="AQ828" s="3"/>
      <c r="AR828" s="3"/>
      <c r="AS828" s="3"/>
      <c r="AT828" s="3"/>
      <c r="AU828" s="3"/>
      <c r="AV828" s="3"/>
      <c r="AW828" s="3"/>
      <c r="AX828" s="3"/>
      <c r="AY828" s="3"/>
      <c r="AZ828" s="3"/>
      <c r="BA828" s="3"/>
      <c r="BB828" s="3"/>
      <c r="BC828" s="3"/>
    </row>
    <row r="829" ht="15.75" customHeight="1">
      <c r="A829" s="12"/>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c r="AA829" s="310"/>
      <c r="AB829" s="310"/>
      <c r="AC829" s="310"/>
      <c r="AD829" s="310"/>
      <c r="AE829" s="310"/>
      <c r="AF829" s="310"/>
      <c r="AG829" s="310"/>
      <c r="AH829" s="310"/>
      <c r="AI829" s="310"/>
      <c r="AJ829" s="310"/>
      <c r="AK829" s="310"/>
      <c r="AL829" s="310"/>
      <c r="AM829" s="310"/>
      <c r="AN829" s="310"/>
      <c r="AO829" s="310"/>
      <c r="AP829" s="12"/>
      <c r="AQ829" s="3"/>
      <c r="AR829" s="3"/>
      <c r="AS829" s="3"/>
      <c r="AT829" s="3"/>
      <c r="AU829" s="3"/>
      <c r="AV829" s="3"/>
      <c r="AW829" s="3"/>
      <c r="AX829" s="3"/>
      <c r="AY829" s="3"/>
      <c r="AZ829" s="3"/>
      <c r="BA829" s="3"/>
      <c r="BB829" s="3"/>
      <c r="BC829" s="3"/>
    </row>
    <row r="830" ht="15.75" customHeight="1">
      <c r="A830" s="12"/>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c r="AA830" s="310"/>
      <c r="AB830" s="310"/>
      <c r="AC830" s="310"/>
      <c r="AD830" s="310"/>
      <c r="AE830" s="310"/>
      <c r="AF830" s="310"/>
      <c r="AG830" s="310"/>
      <c r="AH830" s="310"/>
      <c r="AI830" s="310"/>
      <c r="AJ830" s="310"/>
      <c r="AK830" s="310"/>
      <c r="AL830" s="310"/>
      <c r="AM830" s="310"/>
      <c r="AN830" s="310"/>
      <c r="AO830" s="310"/>
      <c r="AP830" s="12"/>
      <c r="AQ830" s="3"/>
      <c r="AR830" s="3"/>
      <c r="AS830" s="3"/>
      <c r="AT830" s="3"/>
      <c r="AU830" s="3"/>
      <c r="AV830" s="3"/>
      <c r="AW830" s="3"/>
      <c r="AX830" s="3"/>
      <c r="AY830" s="3"/>
      <c r="AZ830" s="3"/>
      <c r="BA830" s="3"/>
      <c r="BB830" s="3"/>
      <c r="BC830" s="3"/>
    </row>
    <row r="831" ht="15.75" customHeight="1">
      <c r="A831" s="12"/>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c r="AA831" s="310"/>
      <c r="AB831" s="310"/>
      <c r="AC831" s="310"/>
      <c r="AD831" s="310"/>
      <c r="AE831" s="310"/>
      <c r="AF831" s="310"/>
      <c r="AG831" s="310"/>
      <c r="AH831" s="310"/>
      <c r="AI831" s="310"/>
      <c r="AJ831" s="310"/>
      <c r="AK831" s="310"/>
      <c r="AL831" s="310"/>
      <c r="AM831" s="310"/>
      <c r="AN831" s="310"/>
      <c r="AO831" s="310"/>
      <c r="AP831" s="12"/>
      <c r="AQ831" s="3"/>
      <c r="AR831" s="3"/>
      <c r="AS831" s="3"/>
      <c r="AT831" s="3"/>
      <c r="AU831" s="3"/>
      <c r="AV831" s="3"/>
      <c r="AW831" s="3"/>
      <c r="AX831" s="3"/>
      <c r="AY831" s="3"/>
      <c r="AZ831" s="3"/>
      <c r="BA831" s="3"/>
      <c r="BB831" s="3"/>
      <c r="BC831" s="3"/>
    </row>
    <row r="832" ht="15.75" customHeight="1">
      <c r="A832" s="12"/>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c r="AA832" s="310"/>
      <c r="AB832" s="310"/>
      <c r="AC832" s="310"/>
      <c r="AD832" s="310"/>
      <c r="AE832" s="310"/>
      <c r="AF832" s="310"/>
      <c r="AG832" s="310"/>
      <c r="AH832" s="310"/>
      <c r="AI832" s="310"/>
      <c r="AJ832" s="310"/>
      <c r="AK832" s="310"/>
      <c r="AL832" s="310"/>
      <c r="AM832" s="310"/>
      <c r="AN832" s="310"/>
      <c r="AO832" s="310"/>
      <c r="AP832" s="12"/>
      <c r="AQ832" s="3"/>
      <c r="AR832" s="3"/>
      <c r="AS832" s="3"/>
      <c r="AT832" s="3"/>
      <c r="AU832" s="3"/>
      <c r="AV832" s="3"/>
      <c r="AW832" s="3"/>
      <c r="AX832" s="3"/>
      <c r="AY832" s="3"/>
      <c r="AZ832" s="3"/>
      <c r="BA832" s="3"/>
      <c r="BB832" s="3"/>
      <c r="BC832" s="3"/>
    </row>
    <row r="833" ht="15.75" customHeight="1">
      <c r="A833" s="12"/>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c r="AA833" s="310"/>
      <c r="AB833" s="310"/>
      <c r="AC833" s="310"/>
      <c r="AD833" s="310"/>
      <c r="AE833" s="310"/>
      <c r="AF833" s="310"/>
      <c r="AG833" s="310"/>
      <c r="AH833" s="310"/>
      <c r="AI833" s="310"/>
      <c r="AJ833" s="310"/>
      <c r="AK833" s="310"/>
      <c r="AL833" s="310"/>
      <c r="AM833" s="310"/>
      <c r="AN833" s="310"/>
      <c r="AO833" s="310"/>
      <c r="AP833" s="12"/>
      <c r="AQ833" s="3"/>
      <c r="AR833" s="3"/>
      <c r="AS833" s="3"/>
      <c r="AT833" s="3"/>
      <c r="AU833" s="3"/>
      <c r="AV833" s="3"/>
      <c r="AW833" s="3"/>
      <c r="AX833" s="3"/>
      <c r="AY833" s="3"/>
      <c r="AZ833" s="3"/>
      <c r="BA833" s="3"/>
      <c r="BB833" s="3"/>
      <c r="BC833" s="3"/>
    </row>
    <row r="834" ht="15.75" customHeight="1">
      <c r="A834" s="12"/>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c r="AA834" s="310"/>
      <c r="AB834" s="310"/>
      <c r="AC834" s="310"/>
      <c r="AD834" s="310"/>
      <c r="AE834" s="310"/>
      <c r="AF834" s="310"/>
      <c r="AG834" s="310"/>
      <c r="AH834" s="310"/>
      <c r="AI834" s="310"/>
      <c r="AJ834" s="310"/>
      <c r="AK834" s="310"/>
      <c r="AL834" s="310"/>
      <c r="AM834" s="310"/>
      <c r="AN834" s="310"/>
      <c r="AO834" s="310"/>
      <c r="AP834" s="12"/>
      <c r="AQ834" s="3"/>
      <c r="AR834" s="3"/>
      <c r="AS834" s="3"/>
      <c r="AT834" s="3"/>
      <c r="AU834" s="3"/>
      <c r="AV834" s="3"/>
      <c r="AW834" s="3"/>
      <c r="AX834" s="3"/>
      <c r="AY834" s="3"/>
      <c r="AZ834" s="3"/>
      <c r="BA834" s="3"/>
      <c r="BB834" s="3"/>
      <c r="BC834" s="3"/>
    </row>
    <row r="835" ht="15.75" customHeight="1">
      <c r="A835" s="12"/>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c r="AA835" s="310"/>
      <c r="AB835" s="310"/>
      <c r="AC835" s="310"/>
      <c r="AD835" s="310"/>
      <c r="AE835" s="310"/>
      <c r="AF835" s="310"/>
      <c r="AG835" s="310"/>
      <c r="AH835" s="310"/>
      <c r="AI835" s="310"/>
      <c r="AJ835" s="310"/>
      <c r="AK835" s="310"/>
      <c r="AL835" s="310"/>
      <c r="AM835" s="310"/>
      <c r="AN835" s="310"/>
      <c r="AO835" s="310"/>
      <c r="AP835" s="12"/>
      <c r="AQ835" s="3"/>
      <c r="AR835" s="3"/>
      <c r="AS835" s="3"/>
      <c r="AT835" s="3"/>
      <c r="AU835" s="3"/>
      <c r="AV835" s="3"/>
      <c r="AW835" s="3"/>
      <c r="AX835" s="3"/>
      <c r="AY835" s="3"/>
      <c r="AZ835" s="3"/>
      <c r="BA835" s="3"/>
      <c r="BB835" s="3"/>
      <c r="BC835" s="3"/>
    </row>
    <row r="836" ht="15.75" customHeight="1">
      <c r="A836" s="12"/>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c r="AA836" s="310"/>
      <c r="AB836" s="310"/>
      <c r="AC836" s="310"/>
      <c r="AD836" s="310"/>
      <c r="AE836" s="310"/>
      <c r="AF836" s="310"/>
      <c r="AG836" s="310"/>
      <c r="AH836" s="310"/>
      <c r="AI836" s="310"/>
      <c r="AJ836" s="310"/>
      <c r="AK836" s="310"/>
      <c r="AL836" s="310"/>
      <c r="AM836" s="310"/>
      <c r="AN836" s="310"/>
      <c r="AO836" s="310"/>
      <c r="AP836" s="12"/>
      <c r="AQ836" s="3"/>
      <c r="AR836" s="3"/>
      <c r="AS836" s="3"/>
      <c r="AT836" s="3"/>
      <c r="AU836" s="3"/>
      <c r="AV836" s="3"/>
      <c r="AW836" s="3"/>
      <c r="AX836" s="3"/>
      <c r="AY836" s="3"/>
      <c r="AZ836" s="3"/>
      <c r="BA836" s="3"/>
      <c r="BB836" s="3"/>
      <c r="BC836" s="3"/>
    </row>
    <row r="837" ht="15.75" customHeight="1">
      <c r="A837" s="12"/>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c r="AA837" s="310"/>
      <c r="AB837" s="310"/>
      <c r="AC837" s="310"/>
      <c r="AD837" s="310"/>
      <c r="AE837" s="310"/>
      <c r="AF837" s="310"/>
      <c r="AG837" s="310"/>
      <c r="AH837" s="310"/>
      <c r="AI837" s="310"/>
      <c r="AJ837" s="310"/>
      <c r="AK837" s="310"/>
      <c r="AL837" s="310"/>
      <c r="AM837" s="310"/>
      <c r="AN837" s="310"/>
      <c r="AO837" s="310"/>
      <c r="AP837" s="12"/>
      <c r="AQ837" s="3"/>
      <c r="AR837" s="3"/>
      <c r="AS837" s="3"/>
      <c r="AT837" s="3"/>
      <c r="AU837" s="3"/>
      <c r="AV837" s="3"/>
      <c r="AW837" s="3"/>
      <c r="AX837" s="3"/>
      <c r="AY837" s="3"/>
      <c r="AZ837" s="3"/>
      <c r="BA837" s="3"/>
      <c r="BB837" s="3"/>
      <c r="BC837" s="3"/>
    </row>
    <row r="838" ht="15.75" customHeight="1">
      <c r="A838" s="12"/>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c r="AA838" s="310"/>
      <c r="AB838" s="310"/>
      <c r="AC838" s="310"/>
      <c r="AD838" s="310"/>
      <c r="AE838" s="310"/>
      <c r="AF838" s="310"/>
      <c r="AG838" s="310"/>
      <c r="AH838" s="310"/>
      <c r="AI838" s="310"/>
      <c r="AJ838" s="310"/>
      <c r="AK838" s="310"/>
      <c r="AL838" s="310"/>
      <c r="AM838" s="310"/>
      <c r="AN838" s="310"/>
      <c r="AO838" s="310"/>
      <c r="AP838" s="12"/>
      <c r="AQ838" s="3"/>
      <c r="AR838" s="3"/>
      <c r="AS838" s="3"/>
      <c r="AT838" s="3"/>
      <c r="AU838" s="3"/>
      <c r="AV838" s="3"/>
      <c r="AW838" s="3"/>
      <c r="AX838" s="3"/>
      <c r="AY838" s="3"/>
      <c r="AZ838" s="3"/>
      <c r="BA838" s="3"/>
      <c r="BB838" s="3"/>
      <c r="BC838" s="3"/>
    </row>
    <row r="839" ht="15.75" customHeight="1">
      <c r="A839" s="12"/>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c r="AA839" s="310"/>
      <c r="AB839" s="310"/>
      <c r="AC839" s="310"/>
      <c r="AD839" s="310"/>
      <c r="AE839" s="310"/>
      <c r="AF839" s="310"/>
      <c r="AG839" s="310"/>
      <c r="AH839" s="310"/>
      <c r="AI839" s="310"/>
      <c r="AJ839" s="310"/>
      <c r="AK839" s="310"/>
      <c r="AL839" s="310"/>
      <c r="AM839" s="310"/>
      <c r="AN839" s="310"/>
      <c r="AO839" s="310"/>
      <c r="AP839" s="12"/>
      <c r="AQ839" s="3"/>
      <c r="AR839" s="3"/>
      <c r="AS839" s="3"/>
      <c r="AT839" s="3"/>
      <c r="AU839" s="3"/>
      <c r="AV839" s="3"/>
      <c r="AW839" s="3"/>
      <c r="AX839" s="3"/>
      <c r="AY839" s="3"/>
      <c r="AZ839" s="3"/>
      <c r="BA839" s="3"/>
      <c r="BB839" s="3"/>
      <c r="BC839" s="3"/>
    </row>
    <row r="840" ht="15.75" customHeight="1">
      <c r="A840" s="12"/>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c r="AA840" s="310"/>
      <c r="AB840" s="310"/>
      <c r="AC840" s="310"/>
      <c r="AD840" s="310"/>
      <c r="AE840" s="310"/>
      <c r="AF840" s="310"/>
      <c r="AG840" s="310"/>
      <c r="AH840" s="310"/>
      <c r="AI840" s="310"/>
      <c r="AJ840" s="310"/>
      <c r="AK840" s="310"/>
      <c r="AL840" s="310"/>
      <c r="AM840" s="310"/>
      <c r="AN840" s="310"/>
      <c r="AO840" s="310"/>
      <c r="AP840" s="12"/>
      <c r="AQ840" s="3"/>
      <c r="AR840" s="3"/>
      <c r="AS840" s="3"/>
      <c r="AT840" s="3"/>
      <c r="AU840" s="3"/>
      <c r="AV840" s="3"/>
      <c r="AW840" s="3"/>
      <c r="AX840" s="3"/>
      <c r="AY840" s="3"/>
      <c r="AZ840" s="3"/>
      <c r="BA840" s="3"/>
      <c r="BB840" s="3"/>
      <c r="BC840" s="3"/>
    </row>
    <row r="841" ht="15.75" customHeight="1">
      <c r="A841" s="12"/>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c r="AA841" s="310"/>
      <c r="AB841" s="310"/>
      <c r="AC841" s="310"/>
      <c r="AD841" s="310"/>
      <c r="AE841" s="310"/>
      <c r="AF841" s="310"/>
      <c r="AG841" s="310"/>
      <c r="AH841" s="310"/>
      <c r="AI841" s="310"/>
      <c r="AJ841" s="310"/>
      <c r="AK841" s="310"/>
      <c r="AL841" s="310"/>
      <c r="AM841" s="310"/>
      <c r="AN841" s="310"/>
      <c r="AO841" s="310"/>
      <c r="AP841" s="12"/>
      <c r="AQ841" s="3"/>
      <c r="AR841" s="3"/>
      <c r="AS841" s="3"/>
      <c r="AT841" s="3"/>
      <c r="AU841" s="3"/>
      <c r="AV841" s="3"/>
      <c r="AW841" s="3"/>
      <c r="AX841" s="3"/>
      <c r="AY841" s="3"/>
      <c r="AZ841" s="3"/>
      <c r="BA841" s="3"/>
      <c r="BB841" s="3"/>
      <c r="BC841" s="3"/>
    </row>
    <row r="842" ht="15.75" customHeight="1">
      <c r="A842" s="12"/>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c r="AA842" s="310"/>
      <c r="AB842" s="310"/>
      <c r="AC842" s="310"/>
      <c r="AD842" s="310"/>
      <c r="AE842" s="310"/>
      <c r="AF842" s="310"/>
      <c r="AG842" s="310"/>
      <c r="AH842" s="310"/>
      <c r="AI842" s="310"/>
      <c r="AJ842" s="310"/>
      <c r="AK842" s="310"/>
      <c r="AL842" s="310"/>
      <c r="AM842" s="310"/>
      <c r="AN842" s="310"/>
      <c r="AO842" s="310"/>
      <c r="AP842" s="12"/>
      <c r="AQ842" s="3"/>
      <c r="AR842" s="3"/>
      <c r="AS842" s="3"/>
      <c r="AT842" s="3"/>
      <c r="AU842" s="3"/>
      <c r="AV842" s="3"/>
      <c r="AW842" s="3"/>
      <c r="AX842" s="3"/>
      <c r="AY842" s="3"/>
      <c r="AZ842" s="3"/>
      <c r="BA842" s="3"/>
      <c r="BB842" s="3"/>
      <c r="BC842" s="3"/>
    </row>
    <row r="843" ht="15.75" customHeight="1">
      <c r="A843" s="12"/>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c r="AA843" s="310"/>
      <c r="AB843" s="310"/>
      <c r="AC843" s="310"/>
      <c r="AD843" s="310"/>
      <c r="AE843" s="310"/>
      <c r="AF843" s="310"/>
      <c r="AG843" s="310"/>
      <c r="AH843" s="310"/>
      <c r="AI843" s="310"/>
      <c r="AJ843" s="310"/>
      <c r="AK843" s="310"/>
      <c r="AL843" s="310"/>
      <c r="AM843" s="310"/>
      <c r="AN843" s="310"/>
      <c r="AO843" s="310"/>
      <c r="AP843" s="12"/>
      <c r="AQ843" s="3"/>
      <c r="AR843" s="3"/>
      <c r="AS843" s="3"/>
      <c r="AT843" s="3"/>
      <c r="AU843" s="3"/>
      <c r="AV843" s="3"/>
      <c r="AW843" s="3"/>
      <c r="AX843" s="3"/>
      <c r="AY843" s="3"/>
      <c r="AZ843" s="3"/>
      <c r="BA843" s="3"/>
      <c r="BB843" s="3"/>
      <c r="BC843" s="3"/>
    </row>
    <row r="844" ht="15.75" customHeight="1">
      <c r="A844" s="12"/>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c r="AA844" s="310"/>
      <c r="AB844" s="310"/>
      <c r="AC844" s="310"/>
      <c r="AD844" s="310"/>
      <c r="AE844" s="310"/>
      <c r="AF844" s="310"/>
      <c r="AG844" s="310"/>
      <c r="AH844" s="310"/>
      <c r="AI844" s="310"/>
      <c r="AJ844" s="310"/>
      <c r="AK844" s="310"/>
      <c r="AL844" s="310"/>
      <c r="AM844" s="310"/>
      <c r="AN844" s="310"/>
      <c r="AO844" s="310"/>
      <c r="AP844" s="12"/>
      <c r="AQ844" s="3"/>
      <c r="AR844" s="3"/>
      <c r="AS844" s="3"/>
      <c r="AT844" s="3"/>
      <c r="AU844" s="3"/>
      <c r="AV844" s="3"/>
      <c r="AW844" s="3"/>
      <c r="AX844" s="3"/>
      <c r="AY844" s="3"/>
      <c r="AZ844" s="3"/>
      <c r="BA844" s="3"/>
      <c r="BB844" s="3"/>
      <c r="BC844" s="3"/>
    </row>
    <row r="845" ht="15.75" customHeight="1">
      <c r="A845" s="12"/>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c r="AA845" s="310"/>
      <c r="AB845" s="310"/>
      <c r="AC845" s="310"/>
      <c r="AD845" s="310"/>
      <c r="AE845" s="310"/>
      <c r="AF845" s="310"/>
      <c r="AG845" s="310"/>
      <c r="AH845" s="310"/>
      <c r="AI845" s="310"/>
      <c r="AJ845" s="310"/>
      <c r="AK845" s="310"/>
      <c r="AL845" s="310"/>
      <c r="AM845" s="310"/>
      <c r="AN845" s="310"/>
      <c r="AO845" s="310"/>
      <c r="AP845" s="12"/>
      <c r="AQ845" s="3"/>
      <c r="AR845" s="3"/>
      <c r="AS845" s="3"/>
      <c r="AT845" s="3"/>
      <c r="AU845" s="3"/>
      <c r="AV845" s="3"/>
      <c r="AW845" s="3"/>
      <c r="AX845" s="3"/>
      <c r="AY845" s="3"/>
      <c r="AZ845" s="3"/>
      <c r="BA845" s="3"/>
      <c r="BB845" s="3"/>
      <c r="BC845" s="3"/>
    </row>
    <row r="846" ht="15.75" customHeight="1">
      <c r="A846" s="12"/>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c r="AA846" s="310"/>
      <c r="AB846" s="310"/>
      <c r="AC846" s="310"/>
      <c r="AD846" s="310"/>
      <c r="AE846" s="310"/>
      <c r="AF846" s="310"/>
      <c r="AG846" s="310"/>
      <c r="AH846" s="310"/>
      <c r="AI846" s="310"/>
      <c r="AJ846" s="310"/>
      <c r="AK846" s="310"/>
      <c r="AL846" s="310"/>
      <c r="AM846" s="310"/>
      <c r="AN846" s="310"/>
      <c r="AO846" s="310"/>
      <c r="AP846" s="12"/>
      <c r="AQ846" s="3"/>
      <c r="AR846" s="3"/>
      <c r="AS846" s="3"/>
      <c r="AT846" s="3"/>
      <c r="AU846" s="3"/>
      <c r="AV846" s="3"/>
      <c r="AW846" s="3"/>
      <c r="AX846" s="3"/>
      <c r="AY846" s="3"/>
      <c r="AZ846" s="3"/>
      <c r="BA846" s="3"/>
      <c r="BB846" s="3"/>
      <c r="BC846" s="3"/>
    </row>
    <row r="847" ht="15.75" customHeight="1">
      <c r="A847" s="12"/>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c r="AA847" s="310"/>
      <c r="AB847" s="310"/>
      <c r="AC847" s="310"/>
      <c r="AD847" s="310"/>
      <c r="AE847" s="310"/>
      <c r="AF847" s="310"/>
      <c r="AG847" s="310"/>
      <c r="AH847" s="310"/>
      <c r="AI847" s="310"/>
      <c r="AJ847" s="310"/>
      <c r="AK847" s="310"/>
      <c r="AL847" s="310"/>
      <c r="AM847" s="310"/>
      <c r="AN847" s="310"/>
      <c r="AO847" s="310"/>
      <c r="AP847" s="12"/>
      <c r="AQ847" s="3"/>
      <c r="AR847" s="3"/>
      <c r="AS847" s="3"/>
      <c r="AT847" s="3"/>
      <c r="AU847" s="3"/>
      <c r="AV847" s="3"/>
      <c r="AW847" s="3"/>
      <c r="AX847" s="3"/>
      <c r="AY847" s="3"/>
      <c r="AZ847" s="3"/>
      <c r="BA847" s="3"/>
      <c r="BB847" s="3"/>
      <c r="BC847" s="3"/>
    </row>
    <row r="848" ht="15.75" customHeight="1">
      <c r="A848" s="12"/>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c r="AA848" s="310"/>
      <c r="AB848" s="310"/>
      <c r="AC848" s="310"/>
      <c r="AD848" s="310"/>
      <c r="AE848" s="310"/>
      <c r="AF848" s="310"/>
      <c r="AG848" s="310"/>
      <c r="AH848" s="310"/>
      <c r="AI848" s="310"/>
      <c r="AJ848" s="310"/>
      <c r="AK848" s="310"/>
      <c r="AL848" s="310"/>
      <c r="AM848" s="310"/>
      <c r="AN848" s="310"/>
      <c r="AO848" s="310"/>
      <c r="AP848" s="12"/>
      <c r="AQ848" s="3"/>
      <c r="AR848" s="3"/>
      <c r="AS848" s="3"/>
      <c r="AT848" s="3"/>
      <c r="AU848" s="3"/>
      <c r="AV848" s="3"/>
      <c r="AW848" s="3"/>
      <c r="AX848" s="3"/>
      <c r="AY848" s="3"/>
      <c r="AZ848" s="3"/>
      <c r="BA848" s="3"/>
      <c r="BB848" s="3"/>
      <c r="BC848" s="3"/>
    </row>
    <row r="849" ht="15.75" customHeight="1">
      <c r="A849" s="12"/>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c r="AA849" s="310"/>
      <c r="AB849" s="310"/>
      <c r="AC849" s="310"/>
      <c r="AD849" s="310"/>
      <c r="AE849" s="310"/>
      <c r="AF849" s="310"/>
      <c r="AG849" s="310"/>
      <c r="AH849" s="310"/>
      <c r="AI849" s="310"/>
      <c r="AJ849" s="310"/>
      <c r="AK849" s="310"/>
      <c r="AL849" s="310"/>
      <c r="AM849" s="310"/>
      <c r="AN849" s="310"/>
      <c r="AO849" s="310"/>
      <c r="AP849" s="12"/>
      <c r="AQ849" s="3"/>
      <c r="AR849" s="3"/>
      <c r="AS849" s="3"/>
      <c r="AT849" s="3"/>
      <c r="AU849" s="3"/>
      <c r="AV849" s="3"/>
      <c r="AW849" s="3"/>
      <c r="AX849" s="3"/>
      <c r="AY849" s="3"/>
      <c r="AZ849" s="3"/>
      <c r="BA849" s="3"/>
      <c r="BB849" s="3"/>
      <c r="BC849" s="3"/>
    </row>
    <row r="850" ht="15.75" customHeight="1">
      <c r="A850" s="12"/>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c r="AA850" s="310"/>
      <c r="AB850" s="310"/>
      <c r="AC850" s="310"/>
      <c r="AD850" s="310"/>
      <c r="AE850" s="310"/>
      <c r="AF850" s="310"/>
      <c r="AG850" s="310"/>
      <c r="AH850" s="310"/>
      <c r="AI850" s="310"/>
      <c r="AJ850" s="310"/>
      <c r="AK850" s="310"/>
      <c r="AL850" s="310"/>
      <c r="AM850" s="310"/>
      <c r="AN850" s="310"/>
      <c r="AO850" s="310"/>
      <c r="AP850" s="12"/>
      <c r="AQ850" s="3"/>
      <c r="AR850" s="3"/>
      <c r="AS850" s="3"/>
      <c r="AT850" s="3"/>
      <c r="AU850" s="3"/>
      <c r="AV850" s="3"/>
      <c r="AW850" s="3"/>
      <c r="AX850" s="3"/>
      <c r="AY850" s="3"/>
      <c r="AZ850" s="3"/>
      <c r="BA850" s="3"/>
      <c r="BB850" s="3"/>
      <c r="BC850" s="3"/>
    </row>
    <row r="851" ht="15.75" customHeight="1">
      <c r="A851" s="12"/>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c r="AA851" s="310"/>
      <c r="AB851" s="310"/>
      <c r="AC851" s="310"/>
      <c r="AD851" s="310"/>
      <c r="AE851" s="310"/>
      <c r="AF851" s="310"/>
      <c r="AG851" s="310"/>
      <c r="AH851" s="310"/>
      <c r="AI851" s="310"/>
      <c r="AJ851" s="310"/>
      <c r="AK851" s="310"/>
      <c r="AL851" s="310"/>
      <c r="AM851" s="310"/>
      <c r="AN851" s="310"/>
      <c r="AO851" s="310"/>
      <c r="AP851" s="12"/>
      <c r="AQ851" s="3"/>
      <c r="AR851" s="3"/>
      <c r="AS851" s="3"/>
      <c r="AT851" s="3"/>
      <c r="AU851" s="3"/>
      <c r="AV851" s="3"/>
      <c r="AW851" s="3"/>
      <c r="AX851" s="3"/>
      <c r="AY851" s="3"/>
      <c r="AZ851" s="3"/>
      <c r="BA851" s="3"/>
      <c r="BB851" s="3"/>
      <c r="BC851" s="3"/>
    </row>
    <row r="852" ht="15.75" customHeight="1">
      <c r="A852" s="12"/>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c r="AA852" s="310"/>
      <c r="AB852" s="310"/>
      <c r="AC852" s="310"/>
      <c r="AD852" s="310"/>
      <c r="AE852" s="310"/>
      <c r="AF852" s="310"/>
      <c r="AG852" s="310"/>
      <c r="AH852" s="310"/>
      <c r="AI852" s="310"/>
      <c r="AJ852" s="310"/>
      <c r="AK852" s="310"/>
      <c r="AL852" s="310"/>
      <c r="AM852" s="310"/>
      <c r="AN852" s="310"/>
      <c r="AO852" s="310"/>
      <c r="AP852" s="12"/>
      <c r="AQ852" s="3"/>
      <c r="AR852" s="3"/>
      <c r="AS852" s="3"/>
      <c r="AT852" s="3"/>
      <c r="AU852" s="3"/>
      <c r="AV852" s="3"/>
      <c r="AW852" s="3"/>
      <c r="AX852" s="3"/>
      <c r="AY852" s="3"/>
      <c r="AZ852" s="3"/>
      <c r="BA852" s="3"/>
      <c r="BB852" s="3"/>
      <c r="BC852" s="3"/>
    </row>
    <row r="853" ht="15.75" customHeight="1">
      <c r="A853" s="12"/>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c r="AA853" s="310"/>
      <c r="AB853" s="310"/>
      <c r="AC853" s="310"/>
      <c r="AD853" s="310"/>
      <c r="AE853" s="310"/>
      <c r="AF853" s="310"/>
      <c r="AG853" s="310"/>
      <c r="AH853" s="310"/>
      <c r="AI853" s="310"/>
      <c r="AJ853" s="310"/>
      <c r="AK853" s="310"/>
      <c r="AL853" s="310"/>
      <c r="AM853" s="310"/>
      <c r="AN853" s="310"/>
      <c r="AO853" s="310"/>
      <c r="AP853" s="12"/>
      <c r="AQ853" s="3"/>
      <c r="AR853" s="3"/>
      <c r="AS853" s="3"/>
      <c r="AT853" s="3"/>
      <c r="AU853" s="3"/>
      <c r="AV853" s="3"/>
      <c r="AW853" s="3"/>
      <c r="AX853" s="3"/>
      <c r="AY853" s="3"/>
      <c r="AZ853" s="3"/>
      <c r="BA853" s="3"/>
      <c r="BB853" s="3"/>
      <c r="BC853" s="3"/>
    </row>
    <row r="854" ht="15.75" customHeight="1">
      <c r="A854" s="12"/>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c r="AA854" s="310"/>
      <c r="AB854" s="310"/>
      <c r="AC854" s="310"/>
      <c r="AD854" s="310"/>
      <c r="AE854" s="310"/>
      <c r="AF854" s="310"/>
      <c r="AG854" s="310"/>
      <c r="AH854" s="310"/>
      <c r="AI854" s="310"/>
      <c r="AJ854" s="310"/>
      <c r="AK854" s="310"/>
      <c r="AL854" s="310"/>
      <c r="AM854" s="310"/>
      <c r="AN854" s="310"/>
      <c r="AO854" s="310"/>
      <c r="AP854" s="12"/>
      <c r="AQ854" s="3"/>
      <c r="AR854" s="3"/>
      <c r="AS854" s="3"/>
      <c r="AT854" s="3"/>
      <c r="AU854" s="3"/>
      <c r="AV854" s="3"/>
      <c r="AW854" s="3"/>
      <c r="AX854" s="3"/>
      <c r="AY854" s="3"/>
      <c r="AZ854" s="3"/>
      <c r="BA854" s="3"/>
      <c r="BB854" s="3"/>
      <c r="BC854" s="3"/>
    </row>
    <row r="855" ht="15.75" customHeight="1">
      <c r="A855" s="12"/>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c r="AA855" s="310"/>
      <c r="AB855" s="310"/>
      <c r="AC855" s="310"/>
      <c r="AD855" s="310"/>
      <c r="AE855" s="310"/>
      <c r="AF855" s="310"/>
      <c r="AG855" s="310"/>
      <c r="AH855" s="310"/>
      <c r="AI855" s="310"/>
      <c r="AJ855" s="310"/>
      <c r="AK855" s="310"/>
      <c r="AL855" s="310"/>
      <c r="AM855" s="310"/>
      <c r="AN855" s="310"/>
      <c r="AO855" s="310"/>
      <c r="AP855" s="12"/>
      <c r="AQ855" s="3"/>
      <c r="AR855" s="3"/>
      <c r="AS855" s="3"/>
      <c r="AT855" s="3"/>
      <c r="AU855" s="3"/>
      <c r="AV855" s="3"/>
      <c r="AW855" s="3"/>
      <c r="AX855" s="3"/>
      <c r="AY855" s="3"/>
      <c r="AZ855" s="3"/>
      <c r="BA855" s="3"/>
      <c r="BB855" s="3"/>
      <c r="BC855" s="3"/>
    </row>
    <row r="856" ht="15.75" customHeight="1">
      <c r="A856" s="12"/>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c r="AA856" s="310"/>
      <c r="AB856" s="310"/>
      <c r="AC856" s="310"/>
      <c r="AD856" s="310"/>
      <c r="AE856" s="310"/>
      <c r="AF856" s="310"/>
      <c r="AG856" s="310"/>
      <c r="AH856" s="310"/>
      <c r="AI856" s="310"/>
      <c r="AJ856" s="310"/>
      <c r="AK856" s="310"/>
      <c r="AL856" s="310"/>
      <c r="AM856" s="310"/>
      <c r="AN856" s="310"/>
      <c r="AO856" s="310"/>
      <c r="AP856" s="12"/>
      <c r="AQ856" s="3"/>
      <c r="AR856" s="3"/>
      <c r="AS856" s="3"/>
      <c r="AT856" s="3"/>
      <c r="AU856" s="3"/>
      <c r="AV856" s="3"/>
      <c r="AW856" s="3"/>
      <c r="AX856" s="3"/>
      <c r="AY856" s="3"/>
      <c r="AZ856" s="3"/>
      <c r="BA856" s="3"/>
      <c r="BB856" s="3"/>
      <c r="BC856" s="3"/>
    </row>
    <row r="857" ht="15.75" customHeight="1">
      <c r="A857" s="12"/>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c r="AA857" s="310"/>
      <c r="AB857" s="310"/>
      <c r="AC857" s="310"/>
      <c r="AD857" s="310"/>
      <c r="AE857" s="310"/>
      <c r="AF857" s="310"/>
      <c r="AG857" s="310"/>
      <c r="AH857" s="310"/>
      <c r="AI857" s="310"/>
      <c r="AJ857" s="310"/>
      <c r="AK857" s="310"/>
      <c r="AL857" s="310"/>
      <c r="AM857" s="310"/>
      <c r="AN857" s="310"/>
      <c r="AO857" s="310"/>
      <c r="AP857" s="12"/>
      <c r="AQ857" s="3"/>
      <c r="AR857" s="3"/>
      <c r="AS857" s="3"/>
      <c r="AT857" s="3"/>
      <c r="AU857" s="3"/>
      <c r="AV857" s="3"/>
      <c r="AW857" s="3"/>
      <c r="AX857" s="3"/>
      <c r="AY857" s="3"/>
      <c r="AZ857" s="3"/>
      <c r="BA857" s="3"/>
      <c r="BB857" s="3"/>
      <c r="BC857" s="3"/>
    </row>
    <row r="858" ht="15.75" customHeight="1">
      <c r="A858" s="12"/>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c r="AA858" s="310"/>
      <c r="AB858" s="310"/>
      <c r="AC858" s="310"/>
      <c r="AD858" s="310"/>
      <c r="AE858" s="310"/>
      <c r="AF858" s="310"/>
      <c r="AG858" s="310"/>
      <c r="AH858" s="310"/>
      <c r="AI858" s="310"/>
      <c r="AJ858" s="310"/>
      <c r="AK858" s="310"/>
      <c r="AL858" s="310"/>
      <c r="AM858" s="310"/>
      <c r="AN858" s="310"/>
      <c r="AO858" s="310"/>
      <c r="AP858" s="12"/>
      <c r="AQ858" s="3"/>
      <c r="AR858" s="3"/>
      <c r="AS858" s="3"/>
      <c r="AT858" s="3"/>
      <c r="AU858" s="3"/>
      <c r="AV858" s="3"/>
      <c r="AW858" s="3"/>
      <c r="AX858" s="3"/>
      <c r="AY858" s="3"/>
      <c r="AZ858" s="3"/>
      <c r="BA858" s="3"/>
      <c r="BB858" s="3"/>
      <c r="BC858" s="3"/>
    </row>
    <row r="859" ht="15.75" customHeight="1">
      <c r="A859" s="12"/>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c r="AA859" s="310"/>
      <c r="AB859" s="310"/>
      <c r="AC859" s="310"/>
      <c r="AD859" s="310"/>
      <c r="AE859" s="310"/>
      <c r="AF859" s="310"/>
      <c r="AG859" s="310"/>
      <c r="AH859" s="310"/>
      <c r="AI859" s="310"/>
      <c r="AJ859" s="310"/>
      <c r="AK859" s="310"/>
      <c r="AL859" s="310"/>
      <c r="AM859" s="310"/>
      <c r="AN859" s="310"/>
      <c r="AO859" s="310"/>
      <c r="AP859" s="12"/>
      <c r="AQ859" s="3"/>
      <c r="AR859" s="3"/>
      <c r="AS859" s="3"/>
      <c r="AT859" s="3"/>
      <c r="AU859" s="3"/>
      <c r="AV859" s="3"/>
      <c r="AW859" s="3"/>
      <c r="AX859" s="3"/>
      <c r="AY859" s="3"/>
      <c r="AZ859" s="3"/>
      <c r="BA859" s="3"/>
      <c r="BB859" s="3"/>
      <c r="BC859" s="3"/>
    </row>
    <row r="860" ht="15.75" customHeight="1">
      <c r="A860" s="12"/>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c r="AA860" s="310"/>
      <c r="AB860" s="310"/>
      <c r="AC860" s="310"/>
      <c r="AD860" s="310"/>
      <c r="AE860" s="310"/>
      <c r="AF860" s="310"/>
      <c r="AG860" s="310"/>
      <c r="AH860" s="310"/>
      <c r="AI860" s="310"/>
      <c r="AJ860" s="310"/>
      <c r="AK860" s="310"/>
      <c r="AL860" s="310"/>
      <c r="AM860" s="310"/>
      <c r="AN860" s="310"/>
      <c r="AO860" s="310"/>
      <c r="AP860" s="12"/>
      <c r="AQ860" s="3"/>
      <c r="AR860" s="3"/>
      <c r="AS860" s="3"/>
      <c r="AT860" s="3"/>
      <c r="AU860" s="3"/>
      <c r="AV860" s="3"/>
      <c r="AW860" s="3"/>
      <c r="AX860" s="3"/>
      <c r="AY860" s="3"/>
      <c r="AZ860" s="3"/>
      <c r="BA860" s="3"/>
      <c r="BB860" s="3"/>
      <c r="BC860" s="3"/>
    </row>
    <row r="861" ht="15.75" customHeight="1">
      <c r="A861" s="12"/>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c r="AA861" s="310"/>
      <c r="AB861" s="310"/>
      <c r="AC861" s="310"/>
      <c r="AD861" s="310"/>
      <c r="AE861" s="310"/>
      <c r="AF861" s="310"/>
      <c r="AG861" s="310"/>
      <c r="AH861" s="310"/>
      <c r="AI861" s="310"/>
      <c r="AJ861" s="310"/>
      <c r="AK861" s="310"/>
      <c r="AL861" s="310"/>
      <c r="AM861" s="310"/>
      <c r="AN861" s="310"/>
      <c r="AO861" s="310"/>
      <c r="AP861" s="12"/>
      <c r="AQ861" s="3"/>
      <c r="AR861" s="3"/>
      <c r="AS861" s="3"/>
      <c r="AT861" s="3"/>
      <c r="AU861" s="3"/>
      <c r="AV861" s="3"/>
      <c r="AW861" s="3"/>
      <c r="AX861" s="3"/>
      <c r="AY861" s="3"/>
      <c r="AZ861" s="3"/>
      <c r="BA861" s="3"/>
      <c r="BB861" s="3"/>
      <c r="BC861" s="3"/>
    </row>
    <row r="862" ht="15.75" customHeight="1">
      <c r="A862" s="12"/>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c r="AA862" s="310"/>
      <c r="AB862" s="310"/>
      <c r="AC862" s="310"/>
      <c r="AD862" s="310"/>
      <c r="AE862" s="310"/>
      <c r="AF862" s="310"/>
      <c r="AG862" s="310"/>
      <c r="AH862" s="310"/>
      <c r="AI862" s="310"/>
      <c r="AJ862" s="310"/>
      <c r="AK862" s="310"/>
      <c r="AL862" s="310"/>
      <c r="AM862" s="310"/>
      <c r="AN862" s="310"/>
      <c r="AO862" s="310"/>
      <c r="AP862" s="12"/>
      <c r="AQ862" s="3"/>
      <c r="AR862" s="3"/>
      <c r="AS862" s="3"/>
      <c r="AT862" s="3"/>
      <c r="AU862" s="3"/>
      <c r="AV862" s="3"/>
      <c r="AW862" s="3"/>
      <c r="AX862" s="3"/>
      <c r="AY862" s="3"/>
      <c r="AZ862" s="3"/>
      <c r="BA862" s="3"/>
      <c r="BB862" s="3"/>
      <c r="BC862" s="3"/>
    </row>
    <row r="863" ht="15.75" customHeight="1">
      <c r="A863" s="12"/>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c r="AA863" s="310"/>
      <c r="AB863" s="310"/>
      <c r="AC863" s="310"/>
      <c r="AD863" s="310"/>
      <c r="AE863" s="310"/>
      <c r="AF863" s="310"/>
      <c r="AG863" s="310"/>
      <c r="AH863" s="310"/>
      <c r="AI863" s="310"/>
      <c r="AJ863" s="310"/>
      <c r="AK863" s="310"/>
      <c r="AL863" s="310"/>
      <c r="AM863" s="310"/>
      <c r="AN863" s="310"/>
      <c r="AO863" s="310"/>
      <c r="AP863" s="12"/>
      <c r="AQ863" s="3"/>
      <c r="AR863" s="3"/>
      <c r="AS863" s="3"/>
      <c r="AT863" s="3"/>
      <c r="AU863" s="3"/>
      <c r="AV863" s="3"/>
      <c r="AW863" s="3"/>
      <c r="AX863" s="3"/>
      <c r="AY863" s="3"/>
      <c r="AZ863" s="3"/>
      <c r="BA863" s="3"/>
      <c r="BB863" s="3"/>
      <c r="BC863" s="3"/>
    </row>
    <row r="864" ht="15.75" customHeight="1">
      <c r="A864" s="12"/>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c r="AA864" s="310"/>
      <c r="AB864" s="310"/>
      <c r="AC864" s="310"/>
      <c r="AD864" s="310"/>
      <c r="AE864" s="310"/>
      <c r="AF864" s="310"/>
      <c r="AG864" s="310"/>
      <c r="AH864" s="310"/>
      <c r="AI864" s="310"/>
      <c r="AJ864" s="310"/>
      <c r="AK864" s="310"/>
      <c r="AL864" s="310"/>
      <c r="AM864" s="310"/>
      <c r="AN864" s="310"/>
      <c r="AO864" s="310"/>
      <c r="AP864" s="12"/>
      <c r="AQ864" s="3"/>
      <c r="AR864" s="3"/>
      <c r="AS864" s="3"/>
      <c r="AT864" s="3"/>
      <c r="AU864" s="3"/>
      <c r="AV864" s="3"/>
      <c r="AW864" s="3"/>
      <c r="AX864" s="3"/>
      <c r="AY864" s="3"/>
      <c r="AZ864" s="3"/>
      <c r="BA864" s="3"/>
      <c r="BB864" s="3"/>
      <c r="BC864" s="3"/>
    </row>
    <row r="865" ht="15.75" customHeight="1">
      <c r="A865" s="12"/>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c r="AA865" s="310"/>
      <c r="AB865" s="310"/>
      <c r="AC865" s="310"/>
      <c r="AD865" s="310"/>
      <c r="AE865" s="310"/>
      <c r="AF865" s="310"/>
      <c r="AG865" s="310"/>
      <c r="AH865" s="310"/>
      <c r="AI865" s="310"/>
      <c r="AJ865" s="310"/>
      <c r="AK865" s="310"/>
      <c r="AL865" s="310"/>
      <c r="AM865" s="310"/>
      <c r="AN865" s="310"/>
      <c r="AO865" s="310"/>
      <c r="AP865" s="12"/>
      <c r="AQ865" s="3"/>
      <c r="AR865" s="3"/>
      <c r="AS865" s="3"/>
      <c r="AT865" s="3"/>
      <c r="AU865" s="3"/>
      <c r="AV865" s="3"/>
      <c r="AW865" s="3"/>
      <c r="AX865" s="3"/>
      <c r="AY865" s="3"/>
      <c r="AZ865" s="3"/>
      <c r="BA865" s="3"/>
      <c r="BB865" s="3"/>
      <c r="BC865" s="3"/>
    </row>
    <row r="866" ht="15.75" customHeight="1">
      <c r="A866" s="12"/>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c r="AA866" s="310"/>
      <c r="AB866" s="310"/>
      <c r="AC866" s="310"/>
      <c r="AD866" s="310"/>
      <c r="AE866" s="310"/>
      <c r="AF866" s="310"/>
      <c r="AG866" s="310"/>
      <c r="AH866" s="310"/>
      <c r="AI866" s="310"/>
      <c r="AJ866" s="310"/>
      <c r="AK866" s="310"/>
      <c r="AL866" s="310"/>
      <c r="AM866" s="310"/>
      <c r="AN866" s="310"/>
      <c r="AO866" s="310"/>
      <c r="AP866" s="12"/>
      <c r="AQ866" s="3"/>
      <c r="AR866" s="3"/>
      <c r="AS866" s="3"/>
      <c r="AT866" s="3"/>
      <c r="AU866" s="3"/>
      <c r="AV866" s="3"/>
      <c r="AW866" s="3"/>
      <c r="AX866" s="3"/>
      <c r="AY866" s="3"/>
      <c r="AZ866" s="3"/>
      <c r="BA866" s="3"/>
      <c r="BB866" s="3"/>
      <c r="BC866" s="3"/>
    </row>
    <row r="867" ht="15.75" customHeight="1">
      <c r="A867" s="12"/>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c r="AA867" s="310"/>
      <c r="AB867" s="310"/>
      <c r="AC867" s="310"/>
      <c r="AD867" s="310"/>
      <c r="AE867" s="310"/>
      <c r="AF867" s="310"/>
      <c r="AG867" s="310"/>
      <c r="AH867" s="310"/>
      <c r="AI867" s="310"/>
      <c r="AJ867" s="310"/>
      <c r="AK867" s="310"/>
      <c r="AL867" s="310"/>
      <c r="AM867" s="310"/>
      <c r="AN867" s="310"/>
      <c r="AO867" s="310"/>
      <c r="AP867" s="12"/>
      <c r="AQ867" s="3"/>
      <c r="AR867" s="3"/>
      <c r="AS867" s="3"/>
      <c r="AT867" s="3"/>
      <c r="AU867" s="3"/>
      <c r="AV867" s="3"/>
      <c r="AW867" s="3"/>
      <c r="AX867" s="3"/>
      <c r="AY867" s="3"/>
      <c r="AZ867" s="3"/>
      <c r="BA867" s="3"/>
      <c r="BB867" s="3"/>
      <c r="BC867" s="3"/>
    </row>
    <row r="868" ht="15.75" customHeight="1">
      <c r="A868" s="12"/>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c r="AA868" s="310"/>
      <c r="AB868" s="310"/>
      <c r="AC868" s="310"/>
      <c r="AD868" s="310"/>
      <c r="AE868" s="310"/>
      <c r="AF868" s="310"/>
      <c r="AG868" s="310"/>
      <c r="AH868" s="310"/>
      <c r="AI868" s="310"/>
      <c r="AJ868" s="310"/>
      <c r="AK868" s="310"/>
      <c r="AL868" s="310"/>
      <c r="AM868" s="310"/>
      <c r="AN868" s="310"/>
      <c r="AO868" s="310"/>
      <c r="AP868" s="12"/>
      <c r="AQ868" s="3"/>
      <c r="AR868" s="3"/>
      <c r="AS868" s="3"/>
      <c r="AT868" s="3"/>
      <c r="AU868" s="3"/>
      <c r="AV868" s="3"/>
      <c r="AW868" s="3"/>
      <c r="AX868" s="3"/>
      <c r="AY868" s="3"/>
      <c r="AZ868" s="3"/>
      <c r="BA868" s="3"/>
      <c r="BB868" s="3"/>
      <c r="BC868" s="3"/>
    </row>
    <row r="869" ht="15.75" customHeight="1">
      <c r="A869" s="12"/>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c r="AA869" s="310"/>
      <c r="AB869" s="310"/>
      <c r="AC869" s="310"/>
      <c r="AD869" s="310"/>
      <c r="AE869" s="310"/>
      <c r="AF869" s="310"/>
      <c r="AG869" s="310"/>
      <c r="AH869" s="310"/>
      <c r="AI869" s="310"/>
      <c r="AJ869" s="310"/>
      <c r="AK869" s="310"/>
      <c r="AL869" s="310"/>
      <c r="AM869" s="310"/>
      <c r="AN869" s="310"/>
      <c r="AO869" s="310"/>
      <c r="AP869" s="12"/>
      <c r="AQ869" s="3"/>
      <c r="AR869" s="3"/>
      <c r="AS869" s="3"/>
      <c r="AT869" s="3"/>
      <c r="AU869" s="3"/>
      <c r="AV869" s="3"/>
      <c r="AW869" s="3"/>
      <c r="AX869" s="3"/>
      <c r="AY869" s="3"/>
      <c r="AZ869" s="3"/>
      <c r="BA869" s="3"/>
      <c r="BB869" s="3"/>
      <c r="BC869" s="3"/>
    </row>
    <row r="870" ht="15.75" customHeight="1">
      <c r="A870" s="12"/>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c r="AA870" s="310"/>
      <c r="AB870" s="310"/>
      <c r="AC870" s="310"/>
      <c r="AD870" s="310"/>
      <c r="AE870" s="310"/>
      <c r="AF870" s="310"/>
      <c r="AG870" s="310"/>
      <c r="AH870" s="310"/>
      <c r="AI870" s="310"/>
      <c r="AJ870" s="310"/>
      <c r="AK870" s="310"/>
      <c r="AL870" s="310"/>
      <c r="AM870" s="310"/>
      <c r="AN870" s="310"/>
      <c r="AO870" s="310"/>
      <c r="AP870" s="12"/>
      <c r="AQ870" s="3"/>
      <c r="AR870" s="3"/>
      <c r="AS870" s="3"/>
      <c r="AT870" s="3"/>
      <c r="AU870" s="3"/>
      <c r="AV870" s="3"/>
      <c r="AW870" s="3"/>
      <c r="AX870" s="3"/>
      <c r="AY870" s="3"/>
      <c r="AZ870" s="3"/>
      <c r="BA870" s="3"/>
      <c r="BB870" s="3"/>
      <c r="BC870" s="3"/>
    </row>
    <row r="871" ht="15.75" customHeight="1">
      <c r="A871" s="12"/>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c r="AA871" s="310"/>
      <c r="AB871" s="310"/>
      <c r="AC871" s="310"/>
      <c r="AD871" s="310"/>
      <c r="AE871" s="310"/>
      <c r="AF871" s="310"/>
      <c r="AG871" s="310"/>
      <c r="AH871" s="310"/>
      <c r="AI871" s="310"/>
      <c r="AJ871" s="310"/>
      <c r="AK871" s="310"/>
      <c r="AL871" s="310"/>
      <c r="AM871" s="310"/>
      <c r="AN871" s="310"/>
      <c r="AO871" s="310"/>
      <c r="AP871" s="12"/>
      <c r="AQ871" s="3"/>
      <c r="AR871" s="3"/>
      <c r="AS871" s="3"/>
      <c r="AT871" s="3"/>
      <c r="AU871" s="3"/>
      <c r="AV871" s="3"/>
      <c r="AW871" s="3"/>
      <c r="AX871" s="3"/>
      <c r="AY871" s="3"/>
      <c r="AZ871" s="3"/>
      <c r="BA871" s="3"/>
      <c r="BB871" s="3"/>
      <c r="BC871" s="3"/>
    </row>
    <row r="872" ht="15.75" customHeight="1">
      <c r="A872" s="12"/>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c r="AA872" s="310"/>
      <c r="AB872" s="310"/>
      <c r="AC872" s="310"/>
      <c r="AD872" s="310"/>
      <c r="AE872" s="310"/>
      <c r="AF872" s="310"/>
      <c r="AG872" s="310"/>
      <c r="AH872" s="310"/>
      <c r="AI872" s="310"/>
      <c r="AJ872" s="310"/>
      <c r="AK872" s="310"/>
      <c r="AL872" s="310"/>
      <c r="AM872" s="310"/>
      <c r="AN872" s="310"/>
      <c r="AO872" s="310"/>
      <c r="AP872" s="12"/>
      <c r="AQ872" s="3"/>
      <c r="AR872" s="3"/>
      <c r="AS872" s="3"/>
      <c r="AT872" s="3"/>
      <c r="AU872" s="3"/>
      <c r="AV872" s="3"/>
      <c r="AW872" s="3"/>
      <c r="AX872" s="3"/>
      <c r="AY872" s="3"/>
      <c r="AZ872" s="3"/>
      <c r="BA872" s="3"/>
      <c r="BB872" s="3"/>
      <c r="BC872" s="3"/>
    </row>
    <row r="873" ht="15.75" customHeight="1">
      <c r="A873" s="12"/>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c r="AA873" s="310"/>
      <c r="AB873" s="310"/>
      <c r="AC873" s="310"/>
      <c r="AD873" s="310"/>
      <c r="AE873" s="310"/>
      <c r="AF873" s="310"/>
      <c r="AG873" s="310"/>
      <c r="AH873" s="310"/>
      <c r="AI873" s="310"/>
      <c r="AJ873" s="310"/>
      <c r="AK873" s="310"/>
      <c r="AL873" s="310"/>
      <c r="AM873" s="310"/>
      <c r="AN873" s="310"/>
      <c r="AO873" s="310"/>
      <c r="AP873" s="12"/>
      <c r="AQ873" s="3"/>
      <c r="AR873" s="3"/>
      <c r="AS873" s="3"/>
      <c r="AT873" s="3"/>
      <c r="AU873" s="3"/>
      <c r="AV873" s="3"/>
      <c r="AW873" s="3"/>
      <c r="AX873" s="3"/>
      <c r="AY873" s="3"/>
      <c r="AZ873" s="3"/>
      <c r="BA873" s="3"/>
      <c r="BB873" s="3"/>
      <c r="BC873" s="3"/>
    </row>
    <row r="874" ht="15.75" customHeight="1">
      <c r="A874" s="12"/>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c r="AA874" s="310"/>
      <c r="AB874" s="310"/>
      <c r="AC874" s="310"/>
      <c r="AD874" s="310"/>
      <c r="AE874" s="310"/>
      <c r="AF874" s="310"/>
      <c r="AG874" s="310"/>
      <c r="AH874" s="310"/>
      <c r="AI874" s="310"/>
      <c r="AJ874" s="310"/>
      <c r="AK874" s="310"/>
      <c r="AL874" s="310"/>
      <c r="AM874" s="310"/>
      <c r="AN874" s="310"/>
      <c r="AO874" s="310"/>
      <c r="AP874" s="12"/>
      <c r="AQ874" s="3"/>
      <c r="AR874" s="3"/>
      <c r="AS874" s="3"/>
      <c r="AT874" s="3"/>
      <c r="AU874" s="3"/>
      <c r="AV874" s="3"/>
      <c r="AW874" s="3"/>
      <c r="AX874" s="3"/>
      <c r="AY874" s="3"/>
      <c r="AZ874" s="3"/>
      <c r="BA874" s="3"/>
      <c r="BB874" s="3"/>
      <c r="BC874" s="3"/>
    </row>
    <row r="875" ht="15.75" customHeight="1">
      <c r="A875" s="12"/>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c r="AA875" s="310"/>
      <c r="AB875" s="310"/>
      <c r="AC875" s="310"/>
      <c r="AD875" s="310"/>
      <c r="AE875" s="310"/>
      <c r="AF875" s="310"/>
      <c r="AG875" s="310"/>
      <c r="AH875" s="310"/>
      <c r="AI875" s="310"/>
      <c r="AJ875" s="310"/>
      <c r="AK875" s="310"/>
      <c r="AL875" s="310"/>
      <c r="AM875" s="310"/>
      <c r="AN875" s="310"/>
      <c r="AO875" s="310"/>
      <c r="AP875" s="12"/>
      <c r="AQ875" s="3"/>
      <c r="AR875" s="3"/>
      <c r="AS875" s="3"/>
      <c r="AT875" s="3"/>
      <c r="AU875" s="3"/>
      <c r="AV875" s="3"/>
      <c r="AW875" s="3"/>
      <c r="AX875" s="3"/>
      <c r="AY875" s="3"/>
      <c r="AZ875" s="3"/>
      <c r="BA875" s="3"/>
      <c r="BB875" s="3"/>
      <c r="BC875" s="3"/>
    </row>
    <row r="876" ht="15.75" customHeight="1">
      <c r="A876" s="12"/>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c r="AA876" s="310"/>
      <c r="AB876" s="310"/>
      <c r="AC876" s="310"/>
      <c r="AD876" s="310"/>
      <c r="AE876" s="310"/>
      <c r="AF876" s="310"/>
      <c r="AG876" s="310"/>
      <c r="AH876" s="310"/>
      <c r="AI876" s="310"/>
      <c r="AJ876" s="310"/>
      <c r="AK876" s="310"/>
      <c r="AL876" s="310"/>
      <c r="AM876" s="310"/>
      <c r="AN876" s="310"/>
      <c r="AO876" s="310"/>
      <c r="AP876" s="12"/>
      <c r="AQ876" s="3"/>
      <c r="AR876" s="3"/>
      <c r="AS876" s="3"/>
      <c r="AT876" s="3"/>
      <c r="AU876" s="3"/>
      <c r="AV876" s="3"/>
      <c r="AW876" s="3"/>
      <c r="AX876" s="3"/>
      <c r="AY876" s="3"/>
      <c r="AZ876" s="3"/>
      <c r="BA876" s="3"/>
      <c r="BB876" s="3"/>
      <c r="BC876" s="3"/>
    </row>
    <row r="877" ht="15.75" customHeight="1">
      <c r="A877" s="12"/>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c r="AA877" s="310"/>
      <c r="AB877" s="310"/>
      <c r="AC877" s="310"/>
      <c r="AD877" s="310"/>
      <c r="AE877" s="310"/>
      <c r="AF877" s="310"/>
      <c r="AG877" s="310"/>
      <c r="AH877" s="310"/>
      <c r="AI877" s="310"/>
      <c r="AJ877" s="310"/>
      <c r="AK877" s="310"/>
      <c r="AL877" s="310"/>
      <c r="AM877" s="310"/>
      <c r="AN877" s="310"/>
      <c r="AO877" s="310"/>
      <c r="AP877" s="12"/>
      <c r="AQ877" s="3"/>
      <c r="AR877" s="3"/>
      <c r="AS877" s="3"/>
      <c r="AT877" s="3"/>
      <c r="AU877" s="3"/>
      <c r="AV877" s="3"/>
      <c r="AW877" s="3"/>
      <c r="AX877" s="3"/>
      <c r="AY877" s="3"/>
      <c r="AZ877" s="3"/>
      <c r="BA877" s="3"/>
      <c r="BB877" s="3"/>
      <c r="BC877" s="3"/>
    </row>
    <row r="878" ht="15.75" customHeight="1">
      <c r="A878" s="12"/>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c r="AA878" s="310"/>
      <c r="AB878" s="310"/>
      <c r="AC878" s="310"/>
      <c r="AD878" s="310"/>
      <c r="AE878" s="310"/>
      <c r="AF878" s="310"/>
      <c r="AG878" s="310"/>
      <c r="AH878" s="310"/>
      <c r="AI878" s="310"/>
      <c r="AJ878" s="310"/>
      <c r="AK878" s="310"/>
      <c r="AL878" s="310"/>
      <c r="AM878" s="310"/>
      <c r="AN878" s="310"/>
      <c r="AO878" s="310"/>
      <c r="AP878" s="12"/>
      <c r="AQ878" s="3"/>
      <c r="AR878" s="3"/>
      <c r="AS878" s="3"/>
      <c r="AT878" s="3"/>
      <c r="AU878" s="3"/>
      <c r="AV878" s="3"/>
      <c r="AW878" s="3"/>
      <c r="AX878" s="3"/>
      <c r="AY878" s="3"/>
      <c r="AZ878" s="3"/>
      <c r="BA878" s="3"/>
      <c r="BB878" s="3"/>
      <c r="BC878" s="3"/>
    </row>
    <row r="879" ht="15.75" customHeight="1">
      <c r="A879" s="12"/>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c r="AA879" s="310"/>
      <c r="AB879" s="310"/>
      <c r="AC879" s="310"/>
      <c r="AD879" s="310"/>
      <c r="AE879" s="310"/>
      <c r="AF879" s="310"/>
      <c r="AG879" s="310"/>
      <c r="AH879" s="310"/>
      <c r="AI879" s="310"/>
      <c r="AJ879" s="310"/>
      <c r="AK879" s="310"/>
      <c r="AL879" s="310"/>
      <c r="AM879" s="310"/>
      <c r="AN879" s="310"/>
      <c r="AO879" s="310"/>
      <c r="AP879" s="12"/>
      <c r="AQ879" s="3"/>
      <c r="AR879" s="3"/>
      <c r="AS879" s="3"/>
      <c r="AT879" s="3"/>
      <c r="AU879" s="3"/>
      <c r="AV879" s="3"/>
      <c r="AW879" s="3"/>
      <c r="AX879" s="3"/>
      <c r="AY879" s="3"/>
      <c r="AZ879" s="3"/>
      <c r="BA879" s="3"/>
      <c r="BB879" s="3"/>
      <c r="BC879" s="3"/>
    </row>
    <row r="880" ht="15.75" customHeight="1">
      <c r="A880" s="12"/>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c r="AA880" s="310"/>
      <c r="AB880" s="310"/>
      <c r="AC880" s="310"/>
      <c r="AD880" s="310"/>
      <c r="AE880" s="310"/>
      <c r="AF880" s="310"/>
      <c r="AG880" s="310"/>
      <c r="AH880" s="310"/>
      <c r="AI880" s="310"/>
      <c r="AJ880" s="310"/>
      <c r="AK880" s="310"/>
      <c r="AL880" s="310"/>
      <c r="AM880" s="310"/>
      <c r="AN880" s="310"/>
      <c r="AO880" s="310"/>
      <c r="AP880" s="12"/>
      <c r="AQ880" s="3"/>
      <c r="AR880" s="3"/>
      <c r="AS880" s="3"/>
      <c r="AT880" s="3"/>
      <c r="AU880" s="3"/>
      <c r="AV880" s="3"/>
      <c r="AW880" s="3"/>
      <c r="AX880" s="3"/>
      <c r="AY880" s="3"/>
      <c r="AZ880" s="3"/>
      <c r="BA880" s="3"/>
      <c r="BB880" s="3"/>
      <c r="BC880" s="3"/>
    </row>
    <row r="881" ht="15.75" customHeight="1">
      <c r="A881" s="12"/>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c r="AA881" s="310"/>
      <c r="AB881" s="310"/>
      <c r="AC881" s="310"/>
      <c r="AD881" s="310"/>
      <c r="AE881" s="310"/>
      <c r="AF881" s="310"/>
      <c r="AG881" s="310"/>
      <c r="AH881" s="310"/>
      <c r="AI881" s="310"/>
      <c r="AJ881" s="310"/>
      <c r="AK881" s="310"/>
      <c r="AL881" s="310"/>
      <c r="AM881" s="310"/>
      <c r="AN881" s="310"/>
      <c r="AO881" s="310"/>
      <c r="AP881" s="12"/>
      <c r="AQ881" s="3"/>
      <c r="AR881" s="3"/>
      <c r="AS881" s="3"/>
      <c r="AT881" s="3"/>
      <c r="AU881" s="3"/>
      <c r="AV881" s="3"/>
      <c r="AW881" s="3"/>
      <c r="AX881" s="3"/>
      <c r="AY881" s="3"/>
      <c r="AZ881" s="3"/>
      <c r="BA881" s="3"/>
      <c r="BB881" s="3"/>
      <c r="BC881" s="3"/>
    </row>
    <row r="882" ht="15.75" customHeight="1">
      <c r="A882" s="12"/>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c r="AA882" s="310"/>
      <c r="AB882" s="310"/>
      <c r="AC882" s="310"/>
      <c r="AD882" s="310"/>
      <c r="AE882" s="310"/>
      <c r="AF882" s="310"/>
      <c r="AG882" s="310"/>
      <c r="AH882" s="310"/>
      <c r="AI882" s="310"/>
      <c r="AJ882" s="310"/>
      <c r="AK882" s="310"/>
      <c r="AL882" s="310"/>
      <c r="AM882" s="310"/>
      <c r="AN882" s="310"/>
      <c r="AO882" s="310"/>
      <c r="AP882" s="12"/>
      <c r="AQ882" s="3"/>
      <c r="AR882" s="3"/>
      <c r="AS882" s="3"/>
      <c r="AT882" s="3"/>
      <c r="AU882" s="3"/>
      <c r="AV882" s="3"/>
      <c r="AW882" s="3"/>
      <c r="AX882" s="3"/>
      <c r="AY882" s="3"/>
      <c r="AZ882" s="3"/>
      <c r="BA882" s="3"/>
      <c r="BB882" s="3"/>
      <c r="BC882" s="3"/>
    </row>
    <row r="883" ht="15.75" customHeight="1">
      <c r="A883" s="12"/>
      <c r="B883" s="310"/>
      <c r="C883" s="310"/>
      <c r="D883" s="310"/>
      <c r="E883" s="310"/>
      <c r="F883" s="310"/>
      <c r="G883" s="310"/>
      <c r="H883" s="310"/>
      <c r="I883" s="310"/>
      <c r="J883" s="310"/>
      <c r="K883" s="310"/>
      <c r="L883" s="310"/>
      <c r="M883" s="310"/>
      <c r="N883" s="310"/>
      <c r="O883" s="310"/>
      <c r="P883" s="310"/>
      <c r="Q883" s="310"/>
      <c r="R883" s="310"/>
      <c r="S883" s="310"/>
      <c r="T883" s="310"/>
      <c r="U883" s="310"/>
      <c r="V883" s="310"/>
      <c r="W883" s="310"/>
      <c r="X883" s="310"/>
      <c r="Y883" s="310"/>
      <c r="Z883" s="310"/>
      <c r="AA883" s="310"/>
      <c r="AB883" s="310"/>
      <c r="AC883" s="310"/>
      <c r="AD883" s="310"/>
      <c r="AE883" s="310"/>
      <c r="AF883" s="310"/>
      <c r="AG883" s="310"/>
      <c r="AH883" s="310"/>
      <c r="AI883" s="310"/>
      <c r="AJ883" s="310"/>
      <c r="AK883" s="310"/>
      <c r="AL883" s="310"/>
      <c r="AM883" s="310"/>
      <c r="AN883" s="310"/>
      <c r="AO883" s="310"/>
      <c r="AP883" s="12"/>
      <c r="AQ883" s="3"/>
      <c r="AR883" s="3"/>
      <c r="AS883" s="3"/>
      <c r="AT883" s="3"/>
      <c r="AU883" s="3"/>
      <c r="AV883" s="3"/>
      <c r="AW883" s="3"/>
      <c r="AX883" s="3"/>
      <c r="AY883" s="3"/>
      <c r="AZ883" s="3"/>
      <c r="BA883" s="3"/>
      <c r="BB883" s="3"/>
      <c r="BC883" s="3"/>
    </row>
    <row r="884" ht="15.75" customHeight="1">
      <c r="A884" s="12"/>
      <c r="B884" s="310"/>
      <c r="C884" s="310"/>
      <c r="D884" s="310"/>
      <c r="E884" s="310"/>
      <c r="F884" s="310"/>
      <c r="G884" s="310"/>
      <c r="H884" s="310"/>
      <c r="I884" s="310"/>
      <c r="J884" s="310"/>
      <c r="K884" s="310"/>
      <c r="L884" s="310"/>
      <c r="M884" s="310"/>
      <c r="N884" s="310"/>
      <c r="O884" s="310"/>
      <c r="P884" s="310"/>
      <c r="Q884" s="310"/>
      <c r="R884" s="310"/>
      <c r="S884" s="310"/>
      <c r="T884" s="310"/>
      <c r="U884" s="310"/>
      <c r="V884" s="310"/>
      <c r="W884" s="310"/>
      <c r="X884" s="310"/>
      <c r="Y884" s="310"/>
      <c r="Z884" s="310"/>
      <c r="AA884" s="310"/>
      <c r="AB884" s="310"/>
      <c r="AC884" s="310"/>
      <c r="AD884" s="310"/>
      <c r="AE884" s="310"/>
      <c r="AF884" s="310"/>
      <c r="AG884" s="310"/>
      <c r="AH884" s="310"/>
      <c r="AI884" s="310"/>
      <c r="AJ884" s="310"/>
      <c r="AK884" s="310"/>
      <c r="AL884" s="310"/>
      <c r="AM884" s="310"/>
      <c r="AN884" s="310"/>
      <c r="AO884" s="310"/>
      <c r="AP884" s="12"/>
      <c r="AQ884" s="3"/>
      <c r="AR884" s="3"/>
      <c r="AS884" s="3"/>
      <c r="AT884" s="3"/>
      <c r="AU884" s="3"/>
      <c r="AV884" s="3"/>
      <c r="AW884" s="3"/>
      <c r="AX884" s="3"/>
      <c r="AY884" s="3"/>
      <c r="AZ884" s="3"/>
      <c r="BA884" s="3"/>
      <c r="BB884" s="3"/>
      <c r="BC884" s="3"/>
    </row>
    <row r="885" ht="15.75" customHeight="1">
      <c r="A885" s="12"/>
      <c r="B885" s="310"/>
      <c r="C885" s="310"/>
      <c r="D885" s="310"/>
      <c r="E885" s="310"/>
      <c r="F885" s="310"/>
      <c r="G885" s="310"/>
      <c r="H885" s="310"/>
      <c r="I885" s="310"/>
      <c r="J885" s="310"/>
      <c r="K885" s="310"/>
      <c r="L885" s="310"/>
      <c r="M885" s="310"/>
      <c r="N885" s="310"/>
      <c r="O885" s="310"/>
      <c r="P885" s="310"/>
      <c r="Q885" s="310"/>
      <c r="R885" s="310"/>
      <c r="S885" s="310"/>
      <c r="T885" s="310"/>
      <c r="U885" s="310"/>
      <c r="V885" s="310"/>
      <c r="W885" s="310"/>
      <c r="X885" s="310"/>
      <c r="Y885" s="310"/>
      <c r="Z885" s="310"/>
      <c r="AA885" s="310"/>
      <c r="AB885" s="310"/>
      <c r="AC885" s="310"/>
      <c r="AD885" s="310"/>
      <c r="AE885" s="310"/>
      <c r="AF885" s="310"/>
      <c r="AG885" s="310"/>
      <c r="AH885" s="310"/>
      <c r="AI885" s="310"/>
      <c r="AJ885" s="310"/>
      <c r="AK885" s="310"/>
      <c r="AL885" s="310"/>
      <c r="AM885" s="310"/>
      <c r="AN885" s="310"/>
      <c r="AO885" s="310"/>
      <c r="AP885" s="12"/>
      <c r="AQ885" s="3"/>
      <c r="AR885" s="3"/>
      <c r="AS885" s="3"/>
      <c r="AT885" s="3"/>
      <c r="AU885" s="3"/>
      <c r="AV885" s="3"/>
      <c r="AW885" s="3"/>
      <c r="AX885" s="3"/>
      <c r="AY885" s="3"/>
      <c r="AZ885" s="3"/>
      <c r="BA885" s="3"/>
      <c r="BB885" s="3"/>
      <c r="BC885" s="3"/>
    </row>
    <row r="886" ht="15.75" customHeight="1">
      <c r="A886" s="12"/>
      <c r="B886" s="310"/>
      <c r="C886" s="310"/>
      <c r="D886" s="310"/>
      <c r="E886" s="310"/>
      <c r="F886" s="310"/>
      <c r="G886" s="310"/>
      <c r="H886" s="310"/>
      <c r="I886" s="310"/>
      <c r="J886" s="310"/>
      <c r="K886" s="310"/>
      <c r="L886" s="310"/>
      <c r="M886" s="310"/>
      <c r="N886" s="310"/>
      <c r="O886" s="310"/>
      <c r="P886" s="310"/>
      <c r="Q886" s="310"/>
      <c r="R886" s="310"/>
      <c r="S886" s="310"/>
      <c r="T886" s="310"/>
      <c r="U886" s="310"/>
      <c r="V886" s="310"/>
      <c r="W886" s="310"/>
      <c r="X886" s="310"/>
      <c r="Y886" s="310"/>
      <c r="Z886" s="310"/>
      <c r="AA886" s="310"/>
      <c r="AB886" s="310"/>
      <c r="AC886" s="310"/>
      <c r="AD886" s="310"/>
      <c r="AE886" s="310"/>
      <c r="AF886" s="310"/>
      <c r="AG886" s="310"/>
      <c r="AH886" s="310"/>
      <c r="AI886" s="310"/>
      <c r="AJ886" s="310"/>
      <c r="AK886" s="310"/>
      <c r="AL886" s="310"/>
      <c r="AM886" s="310"/>
      <c r="AN886" s="310"/>
      <c r="AO886" s="310"/>
      <c r="AP886" s="12"/>
      <c r="AQ886" s="3"/>
      <c r="AR886" s="3"/>
      <c r="AS886" s="3"/>
      <c r="AT886" s="3"/>
      <c r="AU886" s="3"/>
      <c r="AV886" s="3"/>
      <c r="AW886" s="3"/>
      <c r="AX886" s="3"/>
      <c r="AY886" s="3"/>
      <c r="AZ886" s="3"/>
      <c r="BA886" s="3"/>
      <c r="BB886" s="3"/>
      <c r="BC886" s="3"/>
    </row>
    <row r="887" ht="15.75" customHeight="1">
      <c r="A887" s="12"/>
      <c r="B887" s="310"/>
      <c r="C887" s="310"/>
      <c r="D887" s="310"/>
      <c r="E887" s="310"/>
      <c r="F887" s="310"/>
      <c r="G887" s="310"/>
      <c r="H887" s="310"/>
      <c r="I887" s="310"/>
      <c r="J887" s="310"/>
      <c r="K887" s="310"/>
      <c r="L887" s="310"/>
      <c r="M887" s="310"/>
      <c r="N887" s="310"/>
      <c r="O887" s="310"/>
      <c r="P887" s="310"/>
      <c r="Q887" s="310"/>
      <c r="R887" s="310"/>
      <c r="S887" s="310"/>
      <c r="T887" s="310"/>
      <c r="U887" s="310"/>
      <c r="V887" s="310"/>
      <c r="W887" s="310"/>
      <c r="X887" s="310"/>
      <c r="Y887" s="310"/>
      <c r="Z887" s="310"/>
      <c r="AA887" s="310"/>
      <c r="AB887" s="310"/>
      <c r="AC887" s="310"/>
      <c r="AD887" s="310"/>
      <c r="AE887" s="310"/>
      <c r="AF887" s="310"/>
      <c r="AG887" s="310"/>
      <c r="AH887" s="310"/>
      <c r="AI887" s="310"/>
      <c r="AJ887" s="310"/>
      <c r="AK887" s="310"/>
      <c r="AL887" s="310"/>
      <c r="AM887" s="310"/>
      <c r="AN887" s="310"/>
      <c r="AO887" s="310"/>
      <c r="AP887" s="12"/>
      <c r="AQ887" s="3"/>
      <c r="AR887" s="3"/>
      <c r="AS887" s="3"/>
      <c r="AT887" s="3"/>
      <c r="AU887" s="3"/>
      <c r="AV887" s="3"/>
      <c r="AW887" s="3"/>
      <c r="AX887" s="3"/>
      <c r="AY887" s="3"/>
      <c r="AZ887" s="3"/>
      <c r="BA887" s="3"/>
      <c r="BB887" s="3"/>
      <c r="BC887" s="3"/>
    </row>
    <row r="888" ht="15.75" customHeight="1">
      <c r="A888" s="12"/>
      <c r="B888" s="310"/>
      <c r="C888" s="310"/>
      <c r="D888" s="310"/>
      <c r="E888" s="310"/>
      <c r="F888" s="310"/>
      <c r="G888" s="310"/>
      <c r="H888" s="310"/>
      <c r="I888" s="310"/>
      <c r="J888" s="310"/>
      <c r="K888" s="310"/>
      <c r="L888" s="310"/>
      <c r="M888" s="310"/>
      <c r="N888" s="310"/>
      <c r="O888" s="310"/>
      <c r="P888" s="310"/>
      <c r="Q888" s="310"/>
      <c r="R888" s="310"/>
      <c r="S888" s="310"/>
      <c r="T888" s="310"/>
      <c r="U888" s="310"/>
      <c r="V888" s="310"/>
      <c r="W888" s="310"/>
      <c r="X888" s="310"/>
      <c r="Y888" s="310"/>
      <c r="Z888" s="310"/>
      <c r="AA888" s="310"/>
      <c r="AB888" s="310"/>
      <c r="AC888" s="310"/>
      <c r="AD888" s="310"/>
      <c r="AE888" s="310"/>
      <c r="AF888" s="310"/>
      <c r="AG888" s="310"/>
      <c r="AH888" s="310"/>
      <c r="AI888" s="310"/>
      <c r="AJ888" s="310"/>
      <c r="AK888" s="310"/>
      <c r="AL888" s="310"/>
      <c r="AM888" s="310"/>
      <c r="AN888" s="310"/>
      <c r="AO888" s="310"/>
      <c r="AP888" s="12"/>
      <c r="AQ888" s="3"/>
      <c r="AR888" s="3"/>
      <c r="AS888" s="3"/>
      <c r="AT888" s="3"/>
      <c r="AU888" s="3"/>
      <c r="AV888" s="3"/>
      <c r="AW888" s="3"/>
      <c r="AX888" s="3"/>
      <c r="AY888" s="3"/>
      <c r="AZ888" s="3"/>
      <c r="BA888" s="3"/>
      <c r="BB888" s="3"/>
      <c r="BC888" s="3"/>
    </row>
    <row r="889" ht="15.75" customHeight="1">
      <c r="A889" s="12"/>
      <c r="B889" s="310"/>
      <c r="C889" s="310"/>
      <c r="D889" s="310"/>
      <c r="E889" s="310"/>
      <c r="F889" s="310"/>
      <c r="G889" s="310"/>
      <c r="H889" s="310"/>
      <c r="I889" s="310"/>
      <c r="J889" s="310"/>
      <c r="K889" s="310"/>
      <c r="L889" s="310"/>
      <c r="M889" s="310"/>
      <c r="N889" s="310"/>
      <c r="O889" s="310"/>
      <c r="P889" s="310"/>
      <c r="Q889" s="310"/>
      <c r="R889" s="310"/>
      <c r="S889" s="310"/>
      <c r="T889" s="310"/>
      <c r="U889" s="310"/>
      <c r="V889" s="310"/>
      <c r="W889" s="310"/>
      <c r="X889" s="310"/>
      <c r="Y889" s="310"/>
      <c r="Z889" s="310"/>
      <c r="AA889" s="310"/>
      <c r="AB889" s="310"/>
      <c r="AC889" s="310"/>
      <c r="AD889" s="310"/>
      <c r="AE889" s="310"/>
      <c r="AF889" s="310"/>
      <c r="AG889" s="310"/>
      <c r="AH889" s="310"/>
      <c r="AI889" s="310"/>
      <c r="AJ889" s="310"/>
      <c r="AK889" s="310"/>
      <c r="AL889" s="310"/>
      <c r="AM889" s="310"/>
      <c r="AN889" s="310"/>
      <c r="AO889" s="310"/>
      <c r="AP889" s="12"/>
      <c r="AQ889" s="3"/>
      <c r="AR889" s="3"/>
      <c r="AS889" s="3"/>
      <c r="AT889" s="3"/>
      <c r="AU889" s="3"/>
      <c r="AV889" s="3"/>
      <c r="AW889" s="3"/>
      <c r="AX889" s="3"/>
      <c r="AY889" s="3"/>
      <c r="AZ889" s="3"/>
      <c r="BA889" s="3"/>
      <c r="BB889" s="3"/>
      <c r="BC889" s="3"/>
    </row>
    <row r="890" ht="15.75" customHeight="1">
      <c r="A890" s="12"/>
      <c r="B890" s="310"/>
      <c r="C890" s="310"/>
      <c r="D890" s="310"/>
      <c r="E890" s="310"/>
      <c r="F890" s="310"/>
      <c r="G890" s="310"/>
      <c r="H890" s="310"/>
      <c r="I890" s="310"/>
      <c r="J890" s="310"/>
      <c r="K890" s="310"/>
      <c r="L890" s="310"/>
      <c r="M890" s="310"/>
      <c r="N890" s="310"/>
      <c r="O890" s="310"/>
      <c r="P890" s="310"/>
      <c r="Q890" s="310"/>
      <c r="R890" s="310"/>
      <c r="S890" s="310"/>
      <c r="T890" s="310"/>
      <c r="U890" s="310"/>
      <c r="V890" s="310"/>
      <c r="W890" s="310"/>
      <c r="X890" s="310"/>
      <c r="Y890" s="310"/>
      <c r="Z890" s="310"/>
      <c r="AA890" s="310"/>
      <c r="AB890" s="310"/>
      <c r="AC890" s="310"/>
      <c r="AD890" s="310"/>
      <c r="AE890" s="310"/>
      <c r="AF890" s="310"/>
      <c r="AG890" s="310"/>
      <c r="AH890" s="310"/>
      <c r="AI890" s="310"/>
      <c r="AJ890" s="310"/>
      <c r="AK890" s="310"/>
      <c r="AL890" s="310"/>
      <c r="AM890" s="310"/>
      <c r="AN890" s="310"/>
      <c r="AO890" s="310"/>
      <c r="AP890" s="12"/>
      <c r="AQ890" s="3"/>
      <c r="AR890" s="3"/>
      <c r="AS890" s="3"/>
      <c r="AT890" s="3"/>
      <c r="AU890" s="3"/>
      <c r="AV890" s="3"/>
      <c r="AW890" s="3"/>
      <c r="AX890" s="3"/>
      <c r="AY890" s="3"/>
      <c r="AZ890" s="3"/>
      <c r="BA890" s="3"/>
      <c r="BB890" s="3"/>
      <c r="BC890" s="3"/>
    </row>
    <row r="891" ht="15.75" customHeight="1">
      <c r="A891" s="12"/>
      <c r="B891" s="310"/>
      <c r="C891" s="310"/>
      <c r="D891" s="310"/>
      <c r="E891" s="310"/>
      <c r="F891" s="310"/>
      <c r="G891" s="310"/>
      <c r="H891" s="310"/>
      <c r="I891" s="310"/>
      <c r="J891" s="310"/>
      <c r="K891" s="310"/>
      <c r="L891" s="310"/>
      <c r="M891" s="310"/>
      <c r="N891" s="310"/>
      <c r="O891" s="310"/>
      <c r="P891" s="310"/>
      <c r="Q891" s="310"/>
      <c r="R891" s="310"/>
      <c r="S891" s="310"/>
      <c r="T891" s="310"/>
      <c r="U891" s="310"/>
      <c r="V891" s="310"/>
      <c r="W891" s="310"/>
      <c r="X891" s="310"/>
      <c r="Y891" s="310"/>
      <c r="Z891" s="310"/>
      <c r="AA891" s="310"/>
      <c r="AB891" s="310"/>
      <c r="AC891" s="310"/>
      <c r="AD891" s="310"/>
      <c r="AE891" s="310"/>
      <c r="AF891" s="310"/>
      <c r="AG891" s="310"/>
      <c r="AH891" s="310"/>
      <c r="AI891" s="310"/>
      <c r="AJ891" s="310"/>
      <c r="AK891" s="310"/>
      <c r="AL891" s="310"/>
      <c r="AM891" s="310"/>
      <c r="AN891" s="310"/>
      <c r="AO891" s="310"/>
      <c r="AP891" s="12"/>
      <c r="AQ891" s="3"/>
      <c r="AR891" s="3"/>
      <c r="AS891" s="3"/>
      <c r="AT891" s="3"/>
      <c r="AU891" s="3"/>
      <c r="AV891" s="3"/>
      <c r="AW891" s="3"/>
      <c r="AX891" s="3"/>
      <c r="AY891" s="3"/>
      <c r="AZ891" s="3"/>
      <c r="BA891" s="3"/>
      <c r="BB891" s="3"/>
      <c r="BC891" s="3"/>
    </row>
    <row r="892" ht="15.75" customHeight="1">
      <c r="A892" s="12"/>
      <c r="B892" s="310"/>
      <c r="C892" s="310"/>
      <c r="D892" s="310"/>
      <c r="E892" s="310"/>
      <c r="F892" s="310"/>
      <c r="G892" s="310"/>
      <c r="H892" s="310"/>
      <c r="I892" s="310"/>
      <c r="J892" s="310"/>
      <c r="K892" s="310"/>
      <c r="L892" s="310"/>
      <c r="M892" s="310"/>
      <c r="N892" s="310"/>
      <c r="O892" s="310"/>
      <c r="P892" s="310"/>
      <c r="Q892" s="310"/>
      <c r="R892" s="310"/>
      <c r="S892" s="310"/>
      <c r="T892" s="310"/>
      <c r="U892" s="310"/>
      <c r="V892" s="310"/>
      <c r="W892" s="310"/>
      <c r="X892" s="310"/>
      <c r="Y892" s="310"/>
      <c r="Z892" s="310"/>
      <c r="AA892" s="310"/>
      <c r="AB892" s="310"/>
      <c r="AC892" s="310"/>
      <c r="AD892" s="310"/>
      <c r="AE892" s="310"/>
      <c r="AF892" s="310"/>
      <c r="AG892" s="310"/>
      <c r="AH892" s="310"/>
      <c r="AI892" s="310"/>
      <c r="AJ892" s="310"/>
      <c r="AK892" s="310"/>
      <c r="AL892" s="310"/>
      <c r="AM892" s="310"/>
      <c r="AN892" s="310"/>
      <c r="AO892" s="310"/>
      <c r="AP892" s="12"/>
      <c r="AQ892" s="3"/>
      <c r="AR892" s="3"/>
      <c r="AS892" s="3"/>
      <c r="AT892" s="3"/>
      <c r="AU892" s="3"/>
      <c r="AV892" s="3"/>
      <c r="AW892" s="3"/>
      <c r="AX892" s="3"/>
      <c r="AY892" s="3"/>
      <c r="AZ892" s="3"/>
      <c r="BA892" s="3"/>
      <c r="BB892" s="3"/>
      <c r="BC892" s="3"/>
    </row>
    <row r="893" ht="15.75" customHeight="1">
      <c r="A893" s="12"/>
      <c r="B893" s="310"/>
      <c r="C893" s="310"/>
      <c r="D893" s="310"/>
      <c r="E893" s="310"/>
      <c r="F893" s="310"/>
      <c r="G893" s="310"/>
      <c r="H893" s="310"/>
      <c r="I893" s="310"/>
      <c r="J893" s="310"/>
      <c r="K893" s="310"/>
      <c r="L893" s="310"/>
      <c r="M893" s="310"/>
      <c r="N893" s="310"/>
      <c r="O893" s="310"/>
      <c r="P893" s="310"/>
      <c r="Q893" s="310"/>
      <c r="R893" s="310"/>
      <c r="S893" s="310"/>
      <c r="T893" s="310"/>
      <c r="U893" s="310"/>
      <c r="V893" s="310"/>
      <c r="W893" s="310"/>
      <c r="X893" s="310"/>
      <c r="Y893" s="310"/>
      <c r="Z893" s="310"/>
      <c r="AA893" s="310"/>
      <c r="AB893" s="310"/>
      <c r="AC893" s="310"/>
      <c r="AD893" s="310"/>
      <c r="AE893" s="310"/>
      <c r="AF893" s="310"/>
      <c r="AG893" s="310"/>
      <c r="AH893" s="310"/>
      <c r="AI893" s="310"/>
      <c r="AJ893" s="310"/>
      <c r="AK893" s="310"/>
      <c r="AL893" s="310"/>
      <c r="AM893" s="310"/>
      <c r="AN893" s="310"/>
      <c r="AO893" s="310"/>
      <c r="AP893" s="12"/>
      <c r="AQ893" s="3"/>
      <c r="AR893" s="3"/>
      <c r="AS893" s="3"/>
      <c r="AT893" s="3"/>
      <c r="AU893" s="3"/>
      <c r="AV893" s="3"/>
      <c r="AW893" s="3"/>
      <c r="AX893" s="3"/>
      <c r="AY893" s="3"/>
      <c r="AZ893" s="3"/>
      <c r="BA893" s="3"/>
      <c r="BB893" s="3"/>
      <c r="BC893" s="3"/>
    </row>
    <row r="894" ht="15.75" customHeight="1">
      <c r="A894" s="12"/>
      <c r="B894" s="310"/>
      <c r="C894" s="310"/>
      <c r="D894" s="310"/>
      <c r="E894" s="310"/>
      <c r="F894" s="310"/>
      <c r="G894" s="310"/>
      <c r="H894" s="310"/>
      <c r="I894" s="310"/>
      <c r="J894" s="310"/>
      <c r="K894" s="310"/>
      <c r="L894" s="310"/>
      <c r="M894" s="310"/>
      <c r="N894" s="310"/>
      <c r="O894" s="310"/>
      <c r="P894" s="310"/>
      <c r="Q894" s="310"/>
      <c r="R894" s="310"/>
      <c r="S894" s="310"/>
      <c r="T894" s="310"/>
      <c r="U894" s="310"/>
      <c r="V894" s="310"/>
      <c r="W894" s="310"/>
      <c r="X894" s="310"/>
      <c r="Y894" s="310"/>
      <c r="Z894" s="310"/>
      <c r="AA894" s="310"/>
      <c r="AB894" s="310"/>
      <c r="AC894" s="310"/>
      <c r="AD894" s="310"/>
      <c r="AE894" s="310"/>
      <c r="AF894" s="310"/>
      <c r="AG894" s="310"/>
      <c r="AH894" s="310"/>
      <c r="AI894" s="310"/>
      <c r="AJ894" s="310"/>
      <c r="AK894" s="310"/>
      <c r="AL894" s="310"/>
      <c r="AM894" s="310"/>
      <c r="AN894" s="310"/>
      <c r="AO894" s="310"/>
      <c r="AP894" s="12"/>
      <c r="AQ894" s="3"/>
      <c r="AR894" s="3"/>
      <c r="AS894" s="3"/>
      <c r="AT894" s="3"/>
      <c r="AU894" s="3"/>
      <c r="AV894" s="3"/>
      <c r="AW894" s="3"/>
      <c r="AX894" s="3"/>
      <c r="AY894" s="3"/>
      <c r="AZ894" s="3"/>
      <c r="BA894" s="3"/>
      <c r="BB894" s="3"/>
      <c r="BC894" s="3"/>
    </row>
    <row r="895" ht="15.75" customHeight="1">
      <c r="A895" s="12"/>
      <c r="B895" s="310"/>
      <c r="C895" s="310"/>
      <c r="D895" s="310"/>
      <c r="E895" s="310"/>
      <c r="F895" s="310"/>
      <c r="G895" s="310"/>
      <c r="H895" s="310"/>
      <c r="I895" s="310"/>
      <c r="J895" s="310"/>
      <c r="K895" s="310"/>
      <c r="L895" s="310"/>
      <c r="M895" s="310"/>
      <c r="N895" s="310"/>
      <c r="O895" s="310"/>
      <c r="P895" s="310"/>
      <c r="Q895" s="310"/>
      <c r="R895" s="310"/>
      <c r="S895" s="310"/>
      <c r="T895" s="310"/>
      <c r="U895" s="310"/>
      <c r="V895" s="310"/>
      <c r="W895" s="310"/>
      <c r="X895" s="310"/>
      <c r="Y895" s="310"/>
      <c r="Z895" s="310"/>
      <c r="AA895" s="310"/>
      <c r="AB895" s="310"/>
      <c r="AC895" s="310"/>
      <c r="AD895" s="310"/>
      <c r="AE895" s="310"/>
      <c r="AF895" s="310"/>
      <c r="AG895" s="310"/>
      <c r="AH895" s="310"/>
      <c r="AI895" s="310"/>
      <c r="AJ895" s="310"/>
      <c r="AK895" s="310"/>
      <c r="AL895" s="310"/>
      <c r="AM895" s="310"/>
      <c r="AN895" s="310"/>
      <c r="AO895" s="310"/>
      <c r="AP895" s="12"/>
      <c r="AQ895" s="3"/>
      <c r="AR895" s="3"/>
      <c r="AS895" s="3"/>
      <c r="AT895" s="3"/>
      <c r="AU895" s="3"/>
      <c r="AV895" s="3"/>
      <c r="AW895" s="3"/>
      <c r="AX895" s="3"/>
      <c r="AY895" s="3"/>
      <c r="AZ895" s="3"/>
      <c r="BA895" s="3"/>
      <c r="BB895" s="3"/>
      <c r="BC895" s="3"/>
    </row>
    <row r="896" ht="15.75" customHeight="1">
      <c r="A896" s="12"/>
      <c r="B896" s="310"/>
      <c r="C896" s="310"/>
      <c r="D896" s="310"/>
      <c r="E896" s="310"/>
      <c r="F896" s="310"/>
      <c r="G896" s="310"/>
      <c r="H896" s="310"/>
      <c r="I896" s="310"/>
      <c r="J896" s="310"/>
      <c r="K896" s="310"/>
      <c r="L896" s="310"/>
      <c r="M896" s="310"/>
      <c r="N896" s="310"/>
      <c r="O896" s="310"/>
      <c r="P896" s="310"/>
      <c r="Q896" s="310"/>
      <c r="R896" s="310"/>
      <c r="S896" s="310"/>
      <c r="T896" s="310"/>
      <c r="U896" s="310"/>
      <c r="V896" s="310"/>
      <c r="W896" s="310"/>
      <c r="X896" s="310"/>
      <c r="Y896" s="310"/>
      <c r="Z896" s="310"/>
      <c r="AA896" s="310"/>
      <c r="AB896" s="310"/>
      <c r="AC896" s="310"/>
      <c r="AD896" s="310"/>
      <c r="AE896" s="310"/>
      <c r="AF896" s="310"/>
      <c r="AG896" s="310"/>
      <c r="AH896" s="310"/>
      <c r="AI896" s="310"/>
      <c r="AJ896" s="310"/>
      <c r="AK896" s="310"/>
      <c r="AL896" s="310"/>
      <c r="AM896" s="310"/>
      <c r="AN896" s="310"/>
      <c r="AO896" s="310"/>
      <c r="AP896" s="12"/>
      <c r="AQ896" s="3"/>
      <c r="AR896" s="3"/>
      <c r="AS896" s="3"/>
      <c r="AT896" s="3"/>
      <c r="AU896" s="3"/>
      <c r="AV896" s="3"/>
      <c r="AW896" s="3"/>
      <c r="AX896" s="3"/>
      <c r="AY896" s="3"/>
      <c r="AZ896" s="3"/>
      <c r="BA896" s="3"/>
      <c r="BB896" s="3"/>
      <c r="BC896" s="3"/>
    </row>
    <row r="897" ht="15.75" customHeight="1">
      <c r="A897" s="12"/>
      <c r="B897" s="310"/>
      <c r="C897" s="310"/>
      <c r="D897" s="310"/>
      <c r="E897" s="310"/>
      <c r="F897" s="310"/>
      <c r="G897" s="310"/>
      <c r="H897" s="310"/>
      <c r="I897" s="310"/>
      <c r="J897" s="310"/>
      <c r="K897" s="310"/>
      <c r="L897" s="310"/>
      <c r="M897" s="310"/>
      <c r="N897" s="310"/>
      <c r="O897" s="310"/>
      <c r="P897" s="310"/>
      <c r="Q897" s="310"/>
      <c r="R897" s="310"/>
      <c r="S897" s="310"/>
      <c r="T897" s="310"/>
      <c r="U897" s="310"/>
      <c r="V897" s="310"/>
      <c r="W897" s="310"/>
      <c r="X897" s="310"/>
      <c r="Y897" s="310"/>
      <c r="Z897" s="310"/>
      <c r="AA897" s="310"/>
      <c r="AB897" s="310"/>
      <c r="AC897" s="310"/>
      <c r="AD897" s="310"/>
      <c r="AE897" s="310"/>
      <c r="AF897" s="310"/>
      <c r="AG897" s="310"/>
      <c r="AH897" s="310"/>
      <c r="AI897" s="310"/>
      <c r="AJ897" s="310"/>
      <c r="AK897" s="310"/>
      <c r="AL897" s="310"/>
      <c r="AM897" s="310"/>
      <c r="AN897" s="310"/>
      <c r="AO897" s="310"/>
      <c r="AP897" s="12"/>
      <c r="AQ897" s="3"/>
      <c r="AR897" s="3"/>
      <c r="AS897" s="3"/>
      <c r="AT897" s="3"/>
      <c r="AU897" s="3"/>
      <c r="AV897" s="3"/>
      <c r="AW897" s="3"/>
      <c r="AX897" s="3"/>
      <c r="AY897" s="3"/>
      <c r="AZ897" s="3"/>
      <c r="BA897" s="3"/>
      <c r="BB897" s="3"/>
      <c r="BC897" s="3"/>
    </row>
    <row r="898" ht="15.75" customHeight="1">
      <c r="A898" s="12"/>
      <c r="B898" s="310"/>
      <c r="C898" s="310"/>
      <c r="D898" s="310"/>
      <c r="E898" s="310"/>
      <c r="F898" s="310"/>
      <c r="G898" s="310"/>
      <c r="H898" s="310"/>
      <c r="I898" s="310"/>
      <c r="J898" s="310"/>
      <c r="K898" s="310"/>
      <c r="L898" s="310"/>
      <c r="M898" s="310"/>
      <c r="N898" s="310"/>
      <c r="O898" s="310"/>
      <c r="P898" s="310"/>
      <c r="Q898" s="310"/>
      <c r="R898" s="310"/>
      <c r="S898" s="310"/>
      <c r="T898" s="310"/>
      <c r="U898" s="310"/>
      <c r="V898" s="310"/>
      <c r="W898" s="310"/>
      <c r="X898" s="310"/>
      <c r="Y898" s="310"/>
      <c r="Z898" s="310"/>
      <c r="AA898" s="310"/>
      <c r="AB898" s="310"/>
      <c r="AC898" s="310"/>
      <c r="AD898" s="310"/>
      <c r="AE898" s="310"/>
      <c r="AF898" s="310"/>
      <c r="AG898" s="310"/>
      <c r="AH898" s="310"/>
      <c r="AI898" s="310"/>
      <c r="AJ898" s="310"/>
      <c r="AK898" s="310"/>
      <c r="AL898" s="310"/>
      <c r="AM898" s="310"/>
      <c r="AN898" s="310"/>
      <c r="AO898" s="310"/>
      <c r="AP898" s="12"/>
      <c r="AQ898" s="3"/>
      <c r="AR898" s="3"/>
      <c r="AS898" s="3"/>
      <c r="AT898" s="3"/>
      <c r="AU898" s="3"/>
      <c r="AV898" s="3"/>
      <c r="AW898" s="3"/>
      <c r="AX898" s="3"/>
      <c r="AY898" s="3"/>
      <c r="AZ898" s="3"/>
      <c r="BA898" s="3"/>
      <c r="BB898" s="3"/>
      <c r="BC898" s="3"/>
    </row>
    <row r="899" ht="15.75" customHeight="1">
      <c r="A899" s="12"/>
      <c r="B899" s="310"/>
      <c r="C899" s="310"/>
      <c r="D899" s="310"/>
      <c r="E899" s="310"/>
      <c r="F899" s="310"/>
      <c r="G899" s="310"/>
      <c r="H899" s="310"/>
      <c r="I899" s="310"/>
      <c r="J899" s="310"/>
      <c r="K899" s="310"/>
      <c r="L899" s="310"/>
      <c r="M899" s="310"/>
      <c r="N899" s="310"/>
      <c r="O899" s="310"/>
      <c r="P899" s="310"/>
      <c r="Q899" s="310"/>
      <c r="R899" s="310"/>
      <c r="S899" s="310"/>
      <c r="T899" s="310"/>
      <c r="U899" s="310"/>
      <c r="V899" s="310"/>
      <c r="W899" s="310"/>
      <c r="X899" s="310"/>
      <c r="Y899" s="310"/>
      <c r="Z899" s="310"/>
      <c r="AA899" s="310"/>
      <c r="AB899" s="310"/>
      <c r="AC899" s="310"/>
      <c r="AD899" s="310"/>
      <c r="AE899" s="310"/>
      <c r="AF899" s="310"/>
      <c r="AG899" s="310"/>
      <c r="AH899" s="310"/>
      <c r="AI899" s="310"/>
      <c r="AJ899" s="310"/>
      <c r="AK899" s="310"/>
      <c r="AL899" s="310"/>
      <c r="AM899" s="310"/>
      <c r="AN899" s="310"/>
      <c r="AO899" s="310"/>
      <c r="AP899" s="12"/>
      <c r="AQ899" s="3"/>
      <c r="AR899" s="3"/>
      <c r="AS899" s="3"/>
      <c r="AT899" s="3"/>
      <c r="AU899" s="3"/>
      <c r="AV899" s="3"/>
      <c r="AW899" s="3"/>
      <c r="AX899" s="3"/>
      <c r="AY899" s="3"/>
      <c r="AZ899" s="3"/>
      <c r="BA899" s="3"/>
      <c r="BB899" s="3"/>
      <c r="BC899" s="3"/>
    </row>
    <row r="900" ht="15.75" customHeight="1">
      <c r="A900" s="12"/>
      <c r="B900" s="310"/>
      <c r="C900" s="310"/>
      <c r="D900" s="310"/>
      <c r="E900" s="310"/>
      <c r="F900" s="310"/>
      <c r="G900" s="310"/>
      <c r="H900" s="310"/>
      <c r="I900" s="310"/>
      <c r="J900" s="310"/>
      <c r="K900" s="310"/>
      <c r="L900" s="310"/>
      <c r="M900" s="310"/>
      <c r="N900" s="310"/>
      <c r="O900" s="310"/>
      <c r="P900" s="310"/>
      <c r="Q900" s="310"/>
      <c r="R900" s="310"/>
      <c r="S900" s="310"/>
      <c r="T900" s="310"/>
      <c r="U900" s="310"/>
      <c r="V900" s="310"/>
      <c r="W900" s="310"/>
      <c r="X900" s="310"/>
      <c r="Y900" s="310"/>
      <c r="Z900" s="310"/>
      <c r="AA900" s="310"/>
      <c r="AB900" s="310"/>
      <c r="AC900" s="310"/>
      <c r="AD900" s="310"/>
      <c r="AE900" s="310"/>
      <c r="AF900" s="310"/>
      <c r="AG900" s="310"/>
      <c r="AH900" s="310"/>
      <c r="AI900" s="310"/>
      <c r="AJ900" s="310"/>
      <c r="AK900" s="310"/>
      <c r="AL900" s="310"/>
      <c r="AM900" s="310"/>
      <c r="AN900" s="310"/>
      <c r="AO900" s="310"/>
      <c r="AP900" s="12"/>
      <c r="AQ900" s="3"/>
      <c r="AR900" s="3"/>
      <c r="AS900" s="3"/>
      <c r="AT900" s="3"/>
      <c r="AU900" s="3"/>
      <c r="AV900" s="3"/>
      <c r="AW900" s="3"/>
      <c r="AX900" s="3"/>
      <c r="AY900" s="3"/>
      <c r="AZ900" s="3"/>
      <c r="BA900" s="3"/>
      <c r="BB900" s="3"/>
      <c r="BC900" s="3"/>
    </row>
    <row r="901" ht="15.75" customHeight="1">
      <c r="A901" s="12"/>
      <c r="B901" s="310"/>
      <c r="C901" s="310"/>
      <c r="D901" s="310"/>
      <c r="E901" s="310"/>
      <c r="F901" s="310"/>
      <c r="G901" s="310"/>
      <c r="H901" s="310"/>
      <c r="I901" s="310"/>
      <c r="J901" s="310"/>
      <c r="K901" s="310"/>
      <c r="L901" s="310"/>
      <c r="M901" s="310"/>
      <c r="N901" s="310"/>
      <c r="O901" s="310"/>
      <c r="P901" s="310"/>
      <c r="Q901" s="310"/>
      <c r="R901" s="310"/>
      <c r="S901" s="310"/>
      <c r="T901" s="310"/>
      <c r="U901" s="310"/>
      <c r="V901" s="310"/>
      <c r="W901" s="310"/>
      <c r="X901" s="310"/>
      <c r="Y901" s="310"/>
      <c r="Z901" s="310"/>
      <c r="AA901" s="310"/>
      <c r="AB901" s="310"/>
      <c r="AC901" s="310"/>
      <c r="AD901" s="310"/>
      <c r="AE901" s="310"/>
      <c r="AF901" s="310"/>
      <c r="AG901" s="310"/>
      <c r="AH901" s="310"/>
      <c r="AI901" s="310"/>
      <c r="AJ901" s="310"/>
      <c r="AK901" s="310"/>
      <c r="AL901" s="310"/>
      <c r="AM901" s="310"/>
      <c r="AN901" s="310"/>
      <c r="AO901" s="310"/>
      <c r="AP901" s="12"/>
      <c r="AQ901" s="3"/>
      <c r="AR901" s="3"/>
      <c r="AS901" s="3"/>
      <c r="AT901" s="3"/>
      <c r="AU901" s="3"/>
      <c r="AV901" s="3"/>
      <c r="AW901" s="3"/>
      <c r="AX901" s="3"/>
      <c r="AY901" s="3"/>
      <c r="AZ901" s="3"/>
      <c r="BA901" s="3"/>
      <c r="BB901" s="3"/>
      <c r="BC901" s="3"/>
    </row>
    <row r="902" ht="15.75" customHeight="1">
      <c r="A902" s="12"/>
      <c r="B902" s="310"/>
      <c r="C902" s="310"/>
      <c r="D902" s="310"/>
      <c r="E902" s="310"/>
      <c r="F902" s="310"/>
      <c r="G902" s="310"/>
      <c r="H902" s="310"/>
      <c r="I902" s="310"/>
      <c r="J902" s="310"/>
      <c r="K902" s="310"/>
      <c r="L902" s="310"/>
      <c r="M902" s="310"/>
      <c r="N902" s="310"/>
      <c r="O902" s="310"/>
      <c r="P902" s="310"/>
      <c r="Q902" s="310"/>
      <c r="R902" s="310"/>
      <c r="S902" s="310"/>
      <c r="T902" s="310"/>
      <c r="U902" s="310"/>
      <c r="V902" s="310"/>
      <c r="W902" s="310"/>
      <c r="X902" s="310"/>
      <c r="Y902" s="310"/>
      <c r="Z902" s="310"/>
      <c r="AA902" s="310"/>
      <c r="AB902" s="310"/>
      <c r="AC902" s="310"/>
      <c r="AD902" s="310"/>
      <c r="AE902" s="310"/>
      <c r="AF902" s="310"/>
      <c r="AG902" s="310"/>
      <c r="AH902" s="310"/>
      <c r="AI902" s="310"/>
      <c r="AJ902" s="310"/>
      <c r="AK902" s="310"/>
      <c r="AL902" s="310"/>
      <c r="AM902" s="310"/>
      <c r="AN902" s="310"/>
      <c r="AO902" s="310"/>
      <c r="AP902" s="12"/>
      <c r="AQ902" s="3"/>
      <c r="AR902" s="3"/>
      <c r="AS902" s="3"/>
      <c r="AT902" s="3"/>
      <c r="AU902" s="3"/>
      <c r="AV902" s="3"/>
      <c r="AW902" s="3"/>
      <c r="AX902" s="3"/>
      <c r="AY902" s="3"/>
      <c r="AZ902" s="3"/>
      <c r="BA902" s="3"/>
      <c r="BB902" s="3"/>
      <c r="BC902" s="3"/>
    </row>
    <row r="903" ht="15.75" customHeight="1">
      <c r="A903" s="12"/>
      <c r="B903" s="310"/>
      <c r="C903" s="310"/>
      <c r="D903" s="310"/>
      <c r="E903" s="310"/>
      <c r="F903" s="310"/>
      <c r="G903" s="310"/>
      <c r="H903" s="310"/>
      <c r="I903" s="310"/>
      <c r="J903" s="310"/>
      <c r="K903" s="310"/>
      <c r="L903" s="310"/>
      <c r="M903" s="310"/>
      <c r="N903" s="310"/>
      <c r="O903" s="310"/>
      <c r="P903" s="310"/>
      <c r="Q903" s="310"/>
      <c r="R903" s="310"/>
      <c r="S903" s="310"/>
      <c r="T903" s="310"/>
      <c r="U903" s="310"/>
      <c r="V903" s="310"/>
      <c r="W903" s="310"/>
      <c r="X903" s="310"/>
      <c r="Y903" s="310"/>
      <c r="Z903" s="310"/>
      <c r="AA903" s="310"/>
      <c r="AB903" s="310"/>
      <c r="AC903" s="310"/>
      <c r="AD903" s="310"/>
      <c r="AE903" s="310"/>
      <c r="AF903" s="310"/>
      <c r="AG903" s="310"/>
      <c r="AH903" s="310"/>
      <c r="AI903" s="310"/>
      <c r="AJ903" s="310"/>
      <c r="AK903" s="310"/>
      <c r="AL903" s="310"/>
      <c r="AM903" s="310"/>
      <c r="AN903" s="310"/>
      <c r="AO903" s="310"/>
      <c r="AP903" s="12"/>
      <c r="AQ903" s="3"/>
      <c r="AR903" s="3"/>
      <c r="AS903" s="3"/>
      <c r="AT903" s="3"/>
      <c r="AU903" s="3"/>
      <c r="AV903" s="3"/>
      <c r="AW903" s="3"/>
      <c r="AX903" s="3"/>
      <c r="AY903" s="3"/>
      <c r="AZ903" s="3"/>
      <c r="BA903" s="3"/>
      <c r="BB903" s="3"/>
      <c r="BC903" s="3"/>
    </row>
    <row r="904" ht="15.75" customHeight="1">
      <c r="A904" s="12"/>
      <c r="B904" s="310"/>
      <c r="C904" s="310"/>
      <c r="D904" s="310"/>
      <c r="E904" s="310"/>
      <c r="F904" s="310"/>
      <c r="G904" s="310"/>
      <c r="H904" s="310"/>
      <c r="I904" s="310"/>
      <c r="J904" s="310"/>
      <c r="K904" s="310"/>
      <c r="L904" s="310"/>
      <c r="M904" s="310"/>
      <c r="N904" s="310"/>
      <c r="O904" s="310"/>
      <c r="P904" s="310"/>
      <c r="Q904" s="310"/>
      <c r="R904" s="310"/>
      <c r="S904" s="310"/>
      <c r="T904" s="310"/>
      <c r="U904" s="310"/>
      <c r="V904" s="310"/>
      <c r="W904" s="310"/>
      <c r="X904" s="310"/>
      <c r="Y904" s="310"/>
      <c r="Z904" s="310"/>
      <c r="AA904" s="310"/>
      <c r="AB904" s="310"/>
      <c r="AC904" s="310"/>
      <c r="AD904" s="310"/>
      <c r="AE904" s="310"/>
      <c r="AF904" s="310"/>
      <c r="AG904" s="310"/>
      <c r="AH904" s="310"/>
      <c r="AI904" s="310"/>
      <c r="AJ904" s="310"/>
      <c r="AK904" s="310"/>
      <c r="AL904" s="310"/>
      <c r="AM904" s="310"/>
      <c r="AN904" s="310"/>
      <c r="AO904" s="310"/>
      <c r="AP904" s="12"/>
      <c r="AQ904" s="3"/>
      <c r="AR904" s="3"/>
      <c r="AS904" s="3"/>
      <c r="AT904" s="3"/>
      <c r="AU904" s="3"/>
      <c r="AV904" s="3"/>
      <c r="AW904" s="3"/>
      <c r="AX904" s="3"/>
      <c r="AY904" s="3"/>
      <c r="AZ904" s="3"/>
      <c r="BA904" s="3"/>
      <c r="BB904" s="3"/>
      <c r="BC904" s="3"/>
    </row>
    <row r="905" ht="15.75" customHeight="1">
      <c r="A905" s="12"/>
      <c r="B905" s="310"/>
      <c r="C905" s="310"/>
      <c r="D905" s="310"/>
      <c r="E905" s="310"/>
      <c r="F905" s="310"/>
      <c r="G905" s="310"/>
      <c r="H905" s="310"/>
      <c r="I905" s="310"/>
      <c r="J905" s="310"/>
      <c r="K905" s="310"/>
      <c r="L905" s="310"/>
      <c r="M905" s="310"/>
      <c r="N905" s="310"/>
      <c r="O905" s="310"/>
      <c r="P905" s="310"/>
      <c r="Q905" s="310"/>
      <c r="R905" s="310"/>
      <c r="S905" s="310"/>
      <c r="T905" s="310"/>
      <c r="U905" s="310"/>
      <c r="V905" s="310"/>
      <c r="W905" s="310"/>
      <c r="X905" s="310"/>
      <c r="Y905" s="310"/>
      <c r="Z905" s="310"/>
      <c r="AA905" s="310"/>
      <c r="AB905" s="310"/>
      <c r="AC905" s="310"/>
      <c r="AD905" s="310"/>
      <c r="AE905" s="310"/>
      <c r="AF905" s="310"/>
      <c r="AG905" s="310"/>
      <c r="AH905" s="310"/>
      <c r="AI905" s="310"/>
      <c r="AJ905" s="310"/>
      <c r="AK905" s="310"/>
      <c r="AL905" s="310"/>
      <c r="AM905" s="310"/>
      <c r="AN905" s="310"/>
      <c r="AO905" s="310"/>
      <c r="AP905" s="12"/>
      <c r="AQ905" s="3"/>
      <c r="AR905" s="3"/>
      <c r="AS905" s="3"/>
      <c r="AT905" s="3"/>
      <c r="AU905" s="3"/>
      <c r="AV905" s="3"/>
      <c r="AW905" s="3"/>
      <c r="AX905" s="3"/>
      <c r="AY905" s="3"/>
      <c r="AZ905" s="3"/>
      <c r="BA905" s="3"/>
      <c r="BB905" s="3"/>
      <c r="BC905" s="3"/>
    </row>
    <row r="906" ht="15.75" customHeight="1">
      <c r="A906" s="12"/>
      <c r="B906" s="310"/>
      <c r="C906" s="310"/>
      <c r="D906" s="310"/>
      <c r="E906" s="310"/>
      <c r="F906" s="310"/>
      <c r="G906" s="310"/>
      <c r="H906" s="310"/>
      <c r="I906" s="310"/>
      <c r="J906" s="310"/>
      <c r="K906" s="310"/>
      <c r="L906" s="310"/>
      <c r="M906" s="310"/>
      <c r="N906" s="310"/>
      <c r="O906" s="310"/>
      <c r="P906" s="310"/>
      <c r="Q906" s="310"/>
      <c r="R906" s="310"/>
      <c r="S906" s="310"/>
      <c r="T906" s="310"/>
      <c r="U906" s="310"/>
      <c r="V906" s="310"/>
      <c r="W906" s="310"/>
      <c r="X906" s="310"/>
      <c r="Y906" s="310"/>
      <c r="Z906" s="310"/>
      <c r="AA906" s="310"/>
      <c r="AB906" s="310"/>
      <c r="AC906" s="310"/>
      <c r="AD906" s="310"/>
      <c r="AE906" s="310"/>
      <c r="AF906" s="310"/>
      <c r="AG906" s="310"/>
      <c r="AH906" s="310"/>
      <c r="AI906" s="310"/>
      <c r="AJ906" s="310"/>
      <c r="AK906" s="310"/>
      <c r="AL906" s="310"/>
      <c r="AM906" s="310"/>
      <c r="AN906" s="310"/>
      <c r="AO906" s="310"/>
      <c r="AP906" s="12"/>
      <c r="AQ906" s="3"/>
      <c r="AR906" s="3"/>
      <c r="AS906" s="3"/>
      <c r="AT906" s="3"/>
      <c r="AU906" s="3"/>
      <c r="AV906" s="3"/>
      <c r="AW906" s="3"/>
      <c r="AX906" s="3"/>
      <c r="AY906" s="3"/>
      <c r="AZ906" s="3"/>
      <c r="BA906" s="3"/>
      <c r="BB906" s="3"/>
      <c r="BC906" s="3"/>
    </row>
    <row r="907" ht="15.75" customHeight="1">
      <c r="A907" s="12"/>
      <c r="B907" s="310"/>
      <c r="C907" s="310"/>
      <c r="D907" s="310"/>
      <c r="E907" s="310"/>
      <c r="F907" s="310"/>
      <c r="G907" s="310"/>
      <c r="H907" s="310"/>
      <c r="I907" s="310"/>
      <c r="J907" s="310"/>
      <c r="K907" s="310"/>
      <c r="L907" s="310"/>
      <c r="M907" s="310"/>
      <c r="N907" s="310"/>
      <c r="O907" s="310"/>
      <c r="P907" s="310"/>
      <c r="Q907" s="310"/>
      <c r="R907" s="310"/>
      <c r="S907" s="310"/>
      <c r="T907" s="310"/>
      <c r="U907" s="310"/>
      <c r="V907" s="310"/>
      <c r="W907" s="310"/>
      <c r="X907" s="310"/>
      <c r="Y907" s="310"/>
      <c r="Z907" s="310"/>
      <c r="AA907" s="310"/>
      <c r="AB907" s="310"/>
      <c r="AC907" s="310"/>
      <c r="AD907" s="310"/>
      <c r="AE907" s="310"/>
      <c r="AF907" s="310"/>
      <c r="AG907" s="310"/>
      <c r="AH907" s="310"/>
      <c r="AI907" s="310"/>
      <c r="AJ907" s="310"/>
      <c r="AK907" s="310"/>
      <c r="AL907" s="310"/>
      <c r="AM907" s="310"/>
      <c r="AN907" s="310"/>
      <c r="AO907" s="310"/>
      <c r="AP907" s="12"/>
      <c r="AQ907" s="3"/>
      <c r="AR907" s="3"/>
      <c r="AS907" s="3"/>
      <c r="AT907" s="3"/>
      <c r="AU907" s="3"/>
      <c r="AV907" s="3"/>
      <c r="AW907" s="3"/>
      <c r="AX907" s="3"/>
      <c r="AY907" s="3"/>
      <c r="AZ907" s="3"/>
      <c r="BA907" s="3"/>
      <c r="BB907" s="3"/>
      <c r="BC907" s="3"/>
    </row>
    <row r="908" ht="15.75" customHeight="1">
      <c r="A908" s="12"/>
      <c r="B908" s="310"/>
      <c r="C908" s="310"/>
      <c r="D908" s="310"/>
      <c r="E908" s="310"/>
      <c r="F908" s="310"/>
      <c r="G908" s="310"/>
      <c r="H908" s="310"/>
      <c r="I908" s="310"/>
      <c r="J908" s="310"/>
      <c r="K908" s="310"/>
      <c r="L908" s="310"/>
      <c r="M908" s="310"/>
      <c r="N908" s="310"/>
      <c r="O908" s="310"/>
      <c r="P908" s="310"/>
      <c r="Q908" s="310"/>
      <c r="R908" s="310"/>
      <c r="S908" s="310"/>
      <c r="T908" s="310"/>
      <c r="U908" s="310"/>
      <c r="V908" s="310"/>
      <c r="W908" s="310"/>
      <c r="X908" s="310"/>
      <c r="Y908" s="310"/>
      <c r="Z908" s="310"/>
      <c r="AA908" s="310"/>
      <c r="AB908" s="310"/>
      <c r="AC908" s="310"/>
      <c r="AD908" s="310"/>
      <c r="AE908" s="310"/>
      <c r="AF908" s="310"/>
      <c r="AG908" s="310"/>
      <c r="AH908" s="310"/>
      <c r="AI908" s="310"/>
      <c r="AJ908" s="310"/>
      <c r="AK908" s="310"/>
      <c r="AL908" s="310"/>
      <c r="AM908" s="310"/>
      <c r="AN908" s="310"/>
      <c r="AO908" s="310"/>
      <c r="AP908" s="12"/>
      <c r="AQ908" s="3"/>
      <c r="AR908" s="3"/>
      <c r="AS908" s="3"/>
      <c r="AT908" s="3"/>
      <c r="AU908" s="3"/>
      <c r="AV908" s="3"/>
      <c r="AW908" s="3"/>
      <c r="AX908" s="3"/>
      <c r="AY908" s="3"/>
      <c r="AZ908" s="3"/>
      <c r="BA908" s="3"/>
      <c r="BB908" s="3"/>
      <c r="BC908" s="3"/>
    </row>
    <row r="909" ht="15.75" customHeight="1">
      <c r="A909" s="12"/>
      <c r="B909" s="310"/>
      <c r="C909" s="310"/>
      <c r="D909" s="310"/>
      <c r="E909" s="310"/>
      <c r="F909" s="310"/>
      <c r="G909" s="310"/>
      <c r="H909" s="310"/>
      <c r="I909" s="310"/>
      <c r="J909" s="310"/>
      <c r="K909" s="310"/>
      <c r="L909" s="310"/>
      <c r="M909" s="310"/>
      <c r="N909" s="310"/>
      <c r="O909" s="310"/>
      <c r="P909" s="310"/>
      <c r="Q909" s="310"/>
      <c r="R909" s="310"/>
      <c r="S909" s="310"/>
      <c r="T909" s="310"/>
      <c r="U909" s="310"/>
      <c r="V909" s="310"/>
      <c r="W909" s="310"/>
      <c r="X909" s="310"/>
      <c r="Y909" s="310"/>
      <c r="Z909" s="310"/>
      <c r="AA909" s="310"/>
      <c r="AB909" s="310"/>
      <c r="AC909" s="310"/>
      <c r="AD909" s="310"/>
      <c r="AE909" s="310"/>
      <c r="AF909" s="310"/>
      <c r="AG909" s="310"/>
      <c r="AH909" s="310"/>
      <c r="AI909" s="310"/>
      <c r="AJ909" s="310"/>
      <c r="AK909" s="310"/>
      <c r="AL909" s="310"/>
      <c r="AM909" s="310"/>
      <c r="AN909" s="310"/>
      <c r="AO909" s="310"/>
      <c r="AP909" s="12"/>
      <c r="AQ909" s="3"/>
      <c r="AR909" s="3"/>
      <c r="AS909" s="3"/>
      <c r="AT909" s="3"/>
      <c r="AU909" s="3"/>
      <c r="AV909" s="3"/>
      <c r="AW909" s="3"/>
      <c r="AX909" s="3"/>
      <c r="AY909" s="3"/>
      <c r="AZ909" s="3"/>
      <c r="BA909" s="3"/>
      <c r="BB909" s="3"/>
      <c r="BC909" s="3"/>
    </row>
    <row r="910" ht="15.75" customHeight="1">
      <c r="A910" s="12"/>
      <c r="B910" s="310"/>
      <c r="C910" s="310"/>
      <c r="D910" s="310"/>
      <c r="E910" s="310"/>
      <c r="F910" s="310"/>
      <c r="G910" s="310"/>
      <c r="H910" s="310"/>
      <c r="I910" s="310"/>
      <c r="J910" s="310"/>
      <c r="K910" s="310"/>
      <c r="L910" s="310"/>
      <c r="M910" s="310"/>
      <c r="N910" s="310"/>
      <c r="O910" s="310"/>
      <c r="P910" s="310"/>
      <c r="Q910" s="310"/>
      <c r="R910" s="310"/>
      <c r="S910" s="310"/>
      <c r="T910" s="310"/>
      <c r="U910" s="310"/>
      <c r="V910" s="310"/>
      <c r="W910" s="310"/>
      <c r="X910" s="310"/>
      <c r="Y910" s="310"/>
      <c r="Z910" s="310"/>
      <c r="AA910" s="310"/>
      <c r="AB910" s="310"/>
      <c r="AC910" s="310"/>
      <c r="AD910" s="310"/>
      <c r="AE910" s="310"/>
      <c r="AF910" s="310"/>
      <c r="AG910" s="310"/>
      <c r="AH910" s="310"/>
      <c r="AI910" s="310"/>
      <c r="AJ910" s="310"/>
      <c r="AK910" s="310"/>
      <c r="AL910" s="310"/>
      <c r="AM910" s="310"/>
      <c r="AN910" s="310"/>
      <c r="AO910" s="310"/>
      <c r="AP910" s="12"/>
      <c r="AQ910" s="3"/>
      <c r="AR910" s="3"/>
      <c r="AS910" s="3"/>
      <c r="AT910" s="3"/>
      <c r="AU910" s="3"/>
      <c r="AV910" s="3"/>
      <c r="AW910" s="3"/>
      <c r="AX910" s="3"/>
      <c r="AY910" s="3"/>
      <c r="AZ910" s="3"/>
      <c r="BA910" s="3"/>
      <c r="BB910" s="3"/>
      <c r="BC910" s="3"/>
    </row>
    <row r="911" ht="15.75" customHeight="1">
      <c r="A911" s="12"/>
      <c r="B911" s="310"/>
      <c r="C911" s="310"/>
      <c r="D911" s="310"/>
      <c r="E911" s="310"/>
      <c r="F911" s="310"/>
      <c r="G911" s="310"/>
      <c r="H911" s="310"/>
      <c r="I911" s="310"/>
      <c r="J911" s="310"/>
      <c r="K911" s="310"/>
      <c r="L911" s="310"/>
      <c r="M911" s="310"/>
      <c r="N911" s="310"/>
      <c r="O911" s="310"/>
      <c r="P911" s="310"/>
      <c r="Q911" s="310"/>
      <c r="R911" s="310"/>
      <c r="S911" s="310"/>
      <c r="T911" s="310"/>
      <c r="U911" s="310"/>
      <c r="V911" s="310"/>
      <c r="W911" s="310"/>
      <c r="X911" s="310"/>
      <c r="Y911" s="310"/>
      <c r="Z911" s="310"/>
      <c r="AA911" s="310"/>
      <c r="AB911" s="310"/>
      <c r="AC911" s="310"/>
      <c r="AD911" s="310"/>
      <c r="AE911" s="310"/>
      <c r="AF911" s="310"/>
      <c r="AG911" s="310"/>
      <c r="AH911" s="310"/>
      <c r="AI911" s="310"/>
      <c r="AJ911" s="310"/>
      <c r="AK911" s="310"/>
      <c r="AL911" s="310"/>
      <c r="AM911" s="310"/>
      <c r="AN911" s="310"/>
      <c r="AO911" s="310"/>
      <c r="AP911" s="12"/>
      <c r="AQ911" s="3"/>
      <c r="AR911" s="3"/>
      <c r="AS911" s="3"/>
      <c r="AT911" s="3"/>
      <c r="AU911" s="3"/>
      <c r="AV911" s="3"/>
      <c r="AW911" s="3"/>
      <c r="AX911" s="3"/>
      <c r="AY911" s="3"/>
      <c r="AZ911" s="3"/>
      <c r="BA911" s="3"/>
      <c r="BB911" s="3"/>
      <c r="BC911" s="3"/>
    </row>
    <row r="912" ht="15.75" customHeight="1">
      <c r="A912" s="12"/>
      <c r="B912" s="310"/>
      <c r="C912" s="310"/>
      <c r="D912" s="310"/>
      <c r="E912" s="310"/>
      <c r="F912" s="310"/>
      <c r="G912" s="310"/>
      <c r="H912" s="310"/>
      <c r="I912" s="310"/>
      <c r="J912" s="310"/>
      <c r="K912" s="310"/>
      <c r="L912" s="310"/>
      <c r="M912" s="310"/>
      <c r="N912" s="310"/>
      <c r="O912" s="310"/>
      <c r="P912" s="310"/>
      <c r="Q912" s="310"/>
      <c r="R912" s="310"/>
      <c r="S912" s="310"/>
      <c r="T912" s="310"/>
      <c r="U912" s="310"/>
      <c r="V912" s="310"/>
      <c r="W912" s="310"/>
      <c r="X912" s="310"/>
      <c r="Y912" s="310"/>
      <c r="Z912" s="310"/>
      <c r="AA912" s="310"/>
      <c r="AB912" s="310"/>
      <c r="AC912" s="310"/>
      <c r="AD912" s="310"/>
      <c r="AE912" s="310"/>
      <c r="AF912" s="310"/>
      <c r="AG912" s="310"/>
      <c r="AH912" s="310"/>
      <c r="AI912" s="310"/>
      <c r="AJ912" s="310"/>
      <c r="AK912" s="310"/>
      <c r="AL912" s="310"/>
      <c r="AM912" s="310"/>
      <c r="AN912" s="310"/>
      <c r="AO912" s="310"/>
      <c r="AP912" s="12"/>
      <c r="AQ912" s="3"/>
      <c r="AR912" s="3"/>
      <c r="AS912" s="3"/>
      <c r="AT912" s="3"/>
      <c r="AU912" s="3"/>
      <c r="AV912" s="3"/>
      <c r="AW912" s="3"/>
      <c r="AX912" s="3"/>
      <c r="AY912" s="3"/>
      <c r="AZ912" s="3"/>
      <c r="BA912" s="3"/>
      <c r="BB912" s="3"/>
      <c r="BC912" s="3"/>
    </row>
    <row r="913" ht="15.75" customHeight="1">
      <c r="A913" s="12"/>
      <c r="B913" s="310"/>
      <c r="C913" s="310"/>
      <c r="D913" s="310"/>
      <c r="E913" s="310"/>
      <c r="F913" s="310"/>
      <c r="G913" s="310"/>
      <c r="H913" s="310"/>
      <c r="I913" s="310"/>
      <c r="J913" s="310"/>
      <c r="K913" s="310"/>
      <c r="L913" s="310"/>
      <c r="M913" s="310"/>
      <c r="N913" s="310"/>
      <c r="O913" s="310"/>
      <c r="P913" s="310"/>
      <c r="Q913" s="310"/>
      <c r="R913" s="310"/>
      <c r="S913" s="310"/>
      <c r="T913" s="310"/>
      <c r="U913" s="310"/>
      <c r="V913" s="310"/>
      <c r="W913" s="310"/>
      <c r="X913" s="310"/>
      <c r="Y913" s="310"/>
      <c r="Z913" s="310"/>
      <c r="AA913" s="310"/>
      <c r="AB913" s="310"/>
      <c r="AC913" s="310"/>
      <c r="AD913" s="310"/>
      <c r="AE913" s="310"/>
      <c r="AF913" s="310"/>
      <c r="AG913" s="310"/>
      <c r="AH913" s="310"/>
      <c r="AI913" s="310"/>
      <c r="AJ913" s="310"/>
      <c r="AK913" s="310"/>
      <c r="AL913" s="310"/>
      <c r="AM913" s="310"/>
      <c r="AN913" s="310"/>
      <c r="AO913" s="310"/>
      <c r="AP913" s="12"/>
      <c r="AQ913" s="3"/>
      <c r="AR913" s="3"/>
      <c r="AS913" s="3"/>
      <c r="AT913" s="3"/>
      <c r="AU913" s="3"/>
      <c r="AV913" s="3"/>
      <c r="AW913" s="3"/>
      <c r="AX913" s="3"/>
      <c r="AY913" s="3"/>
      <c r="AZ913" s="3"/>
      <c r="BA913" s="3"/>
      <c r="BB913" s="3"/>
      <c r="BC913" s="3"/>
    </row>
    <row r="914" ht="15.75" customHeight="1">
      <c r="A914" s="12"/>
      <c r="B914" s="310"/>
      <c r="C914" s="310"/>
      <c r="D914" s="310"/>
      <c r="E914" s="310"/>
      <c r="F914" s="310"/>
      <c r="G914" s="310"/>
      <c r="H914" s="310"/>
      <c r="I914" s="310"/>
      <c r="J914" s="310"/>
      <c r="K914" s="310"/>
      <c r="L914" s="310"/>
      <c r="M914" s="310"/>
      <c r="N914" s="310"/>
      <c r="O914" s="310"/>
      <c r="P914" s="310"/>
      <c r="Q914" s="310"/>
      <c r="R914" s="310"/>
      <c r="S914" s="310"/>
      <c r="T914" s="310"/>
      <c r="U914" s="310"/>
      <c r="V914" s="310"/>
      <c r="W914" s="310"/>
      <c r="X914" s="310"/>
      <c r="Y914" s="310"/>
      <c r="Z914" s="310"/>
      <c r="AA914" s="310"/>
      <c r="AB914" s="310"/>
      <c r="AC914" s="310"/>
      <c r="AD914" s="310"/>
      <c r="AE914" s="310"/>
      <c r="AF914" s="310"/>
      <c r="AG914" s="310"/>
      <c r="AH914" s="310"/>
      <c r="AI914" s="310"/>
      <c r="AJ914" s="310"/>
      <c r="AK914" s="310"/>
      <c r="AL914" s="310"/>
      <c r="AM914" s="310"/>
      <c r="AN914" s="310"/>
      <c r="AO914" s="310"/>
      <c r="AP914" s="12"/>
      <c r="AQ914" s="3"/>
      <c r="AR914" s="3"/>
      <c r="AS914" s="3"/>
      <c r="AT914" s="3"/>
      <c r="AU914" s="3"/>
      <c r="AV914" s="3"/>
      <c r="AW914" s="3"/>
      <c r="AX914" s="3"/>
      <c r="AY914" s="3"/>
      <c r="AZ914" s="3"/>
      <c r="BA914" s="3"/>
      <c r="BB914" s="3"/>
      <c r="BC914" s="3"/>
    </row>
    <row r="915" ht="15.75" customHeight="1">
      <c r="A915" s="12"/>
      <c r="B915" s="310"/>
      <c r="C915" s="310"/>
      <c r="D915" s="310"/>
      <c r="E915" s="310"/>
      <c r="F915" s="310"/>
      <c r="G915" s="310"/>
      <c r="H915" s="310"/>
      <c r="I915" s="310"/>
      <c r="J915" s="310"/>
      <c r="K915" s="310"/>
      <c r="L915" s="310"/>
      <c r="M915" s="310"/>
      <c r="N915" s="310"/>
      <c r="O915" s="310"/>
      <c r="P915" s="310"/>
      <c r="Q915" s="310"/>
      <c r="R915" s="310"/>
      <c r="S915" s="310"/>
      <c r="T915" s="310"/>
      <c r="U915" s="310"/>
      <c r="V915" s="310"/>
      <c r="W915" s="310"/>
      <c r="X915" s="310"/>
      <c r="Y915" s="310"/>
      <c r="Z915" s="310"/>
      <c r="AA915" s="310"/>
      <c r="AB915" s="310"/>
      <c r="AC915" s="310"/>
      <c r="AD915" s="310"/>
      <c r="AE915" s="310"/>
      <c r="AF915" s="310"/>
      <c r="AG915" s="310"/>
      <c r="AH915" s="310"/>
      <c r="AI915" s="310"/>
      <c r="AJ915" s="310"/>
      <c r="AK915" s="310"/>
      <c r="AL915" s="310"/>
      <c r="AM915" s="310"/>
      <c r="AN915" s="310"/>
      <c r="AO915" s="310"/>
      <c r="AP915" s="12"/>
      <c r="AQ915" s="3"/>
      <c r="AR915" s="3"/>
      <c r="AS915" s="3"/>
      <c r="AT915" s="3"/>
      <c r="AU915" s="3"/>
      <c r="AV915" s="3"/>
      <c r="AW915" s="3"/>
      <c r="AX915" s="3"/>
      <c r="AY915" s="3"/>
      <c r="AZ915" s="3"/>
      <c r="BA915" s="3"/>
      <c r="BB915" s="3"/>
      <c r="BC915" s="3"/>
    </row>
    <row r="916" ht="15.75" customHeight="1">
      <c r="A916" s="12"/>
      <c r="B916" s="310"/>
      <c r="C916" s="310"/>
      <c r="D916" s="310"/>
      <c r="E916" s="310"/>
      <c r="F916" s="310"/>
      <c r="G916" s="310"/>
      <c r="H916" s="310"/>
      <c r="I916" s="310"/>
      <c r="J916" s="310"/>
      <c r="K916" s="310"/>
      <c r="L916" s="310"/>
      <c r="M916" s="310"/>
      <c r="N916" s="310"/>
      <c r="O916" s="310"/>
      <c r="P916" s="310"/>
      <c r="Q916" s="310"/>
      <c r="R916" s="310"/>
      <c r="S916" s="310"/>
      <c r="T916" s="310"/>
      <c r="U916" s="310"/>
      <c r="V916" s="310"/>
      <c r="W916" s="310"/>
      <c r="X916" s="310"/>
      <c r="Y916" s="310"/>
      <c r="Z916" s="310"/>
      <c r="AA916" s="310"/>
      <c r="AB916" s="310"/>
      <c r="AC916" s="310"/>
      <c r="AD916" s="310"/>
      <c r="AE916" s="310"/>
      <c r="AF916" s="310"/>
      <c r="AG916" s="310"/>
      <c r="AH916" s="310"/>
      <c r="AI916" s="310"/>
      <c r="AJ916" s="310"/>
      <c r="AK916" s="310"/>
      <c r="AL916" s="310"/>
      <c r="AM916" s="310"/>
      <c r="AN916" s="310"/>
      <c r="AO916" s="310"/>
      <c r="AP916" s="12"/>
      <c r="AQ916" s="3"/>
      <c r="AR916" s="3"/>
      <c r="AS916" s="3"/>
      <c r="AT916" s="3"/>
      <c r="AU916" s="3"/>
      <c r="AV916" s="3"/>
      <c r="AW916" s="3"/>
      <c r="AX916" s="3"/>
      <c r="AY916" s="3"/>
      <c r="AZ916" s="3"/>
      <c r="BA916" s="3"/>
      <c r="BB916" s="3"/>
      <c r="BC916" s="3"/>
    </row>
    <row r="917" ht="15.75" customHeight="1">
      <c r="A917" s="12"/>
      <c r="B917" s="310"/>
      <c r="C917" s="310"/>
      <c r="D917" s="310"/>
      <c r="E917" s="310"/>
      <c r="F917" s="310"/>
      <c r="G917" s="310"/>
      <c r="H917" s="310"/>
      <c r="I917" s="310"/>
      <c r="J917" s="310"/>
      <c r="K917" s="310"/>
      <c r="L917" s="310"/>
      <c r="M917" s="310"/>
      <c r="N917" s="310"/>
      <c r="O917" s="310"/>
      <c r="P917" s="310"/>
      <c r="Q917" s="310"/>
      <c r="R917" s="310"/>
      <c r="S917" s="310"/>
      <c r="T917" s="310"/>
      <c r="U917" s="310"/>
      <c r="V917" s="310"/>
      <c r="W917" s="310"/>
      <c r="X917" s="310"/>
      <c r="Y917" s="310"/>
      <c r="Z917" s="310"/>
      <c r="AA917" s="310"/>
      <c r="AB917" s="310"/>
      <c r="AC917" s="310"/>
      <c r="AD917" s="310"/>
      <c r="AE917" s="310"/>
      <c r="AF917" s="310"/>
      <c r="AG917" s="310"/>
      <c r="AH917" s="310"/>
      <c r="AI917" s="310"/>
      <c r="AJ917" s="310"/>
      <c r="AK917" s="310"/>
      <c r="AL917" s="310"/>
      <c r="AM917" s="310"/>
      <c r="AN917" s="310"/>
      <c r="AO917" s="310"/>
      <c r="AP917" s="12"/>
      <c r="AQ917" s="3"/>
      <c r="AR917" s="3"/>
      <c r="AS917" s="3"/>
      <c r="AT917" s="3"/>
      <c r="AU917" s="3"/>
      <c r="AV917" s="3"/>
      <c r="AW917" s="3"/>
      <c r="AX917" s="3"/>
      <c r="AY917" s="3"/>
      <c r="AZ917" s="3"/>
      <c r="BA917" s="3"/>
      <c r="BB917" s="3"/>
      <c r="BC917" s="3"/>
    </row>
    <row r="918" ht="15.75" customHeight="1">
      <c r="A918" s="12"/>
      <c r="B918" s="310"/>
      <c r="C918" s="310"/>
      <c r="D918" s="310"/>
      <c r="E918" s="310"/>
      <c r="F918" s="310"/>
      <c r="G918" s="310"/>
      <c r="H918" s="310"/>
      <c r="I918" s="310"/>
      <c r="J918" s="310"/>
      <c r="K918" s="310"/>
      <c r="L918" s="310"/>
      <c r="M918" s="310"/>
      <c r="N918" s="310"/>
      <c r="O918" s="310"/>
      <c r="P918" s="310"/>
      <c r="Q918" s="310"/>
      <c r="R918" s="310"/>
      <c r="S918" s="310"/>
      <c r="T918" s="310"/>
      <c r="U918" s="310"/>
      <c r="V918" s="310"/>
      <c r="W918" s="310"/>
      <c r="X918" s="310"/>
      <c r="Y918" s="310"/>
      <c r="Z918" s="310"/>
      <c r="AA918" s="310"/>
      <c r="AB918" s="310"/>
      <c r="AC918" s="310"/>
      <c r="AD918" s="310"/>
      <c r="AE918" s="310"/>
      <c r="AF918" s="310"/>
      <c r="AG918" s="310"/>
      <c r="AH918" s="310"/>
      <c r="AI918" s="310"/>
      <c r="AJ918" s="310"/>
      <c r="AK918" s="310"/>
      <c r="AL918" s="310"/>
      <c r="AM918" s="310"/>
      <c r="AN918" s="310"/>
      <c r="AO918" s="310"/>
      <c r="AP918" s="12"/>
      <c r="AQ918" s="3"/>
      <c r="AR918" s="3"/>
      <c r="AS918" s="3"/>
      <c r="AT918" s="3"/>
      <c r="AU918" s="3"/>
      <c r="AV918" s="3"/>
      <c r="AW918" s="3"/>
      <c r="AX918" s="3"/>
      <c r="AY918" s="3"/>
      <c r="AZ918" s="3"/>
      <c r="BA918" s="3"/>
      <c r="BB918" s="3"/>
      <c r="BC918" s="3"/>
    </row>
    <row r="919" ht="15.75" customHeight="1">
      <c r="A919" s="12"/>
      <c r="B919" s="310"/>
      <c r="C919" s="310"/>
      <c r="D919" s="310"/>
      <c r="E919" s="310"/>
      <c r="F919" s="310"/>
      <c r="G919" s="310"/>
      <c r="H919" s="310"/>
      <c r="I919" s="310"/>
      <c r="J919" s="310"/>
      <c r="K919" s="310"/>
      <c r="L919" s="310"/>
      <c r="M919" s="310"/>
      <c r="N919" s="310"/>
      <c r="O919" s="310"/>
      <c r="P919" s="310"/>
      <c r="Q919" s="310"/>
      <c r="R919" s="310"/>
      <c r="S919" s="310"/>
      <c r="T919" s="310"/>
      <c r="U919" s="310"/>
      <c r="V919" s="310"/>
      <c r="W919" s="310"/>
      <c r="X919" s="310"/>
      <c r="Y919" s="310"/>
      <c r="Z919" s="310"/>
      <c r="AA919" s="310"/>
      <c r="AB919" s="310"/>
      <c r="AC919" s="310"/>
      <c r="AD919" s="310"/>
      <c r="AE919" s="310"/>
      <c r="AF919" s="310"/>
      <c r="AG919" s="310"/>
      <c r="AH919" s="310"/>
      <c r="AI919" s="310"/>
      <c r="AJ919" s="310"/>
      <c r="AK919" s="310"/>
      <c r="AL919" s="310"/>
      <c r="AM919" s="310"/>
      <c r="AN919" s="310"/>
      <c r="AO919" s="310"/>
      <c r="AP919" s="12"/>
      <c r="AQ919" s="3"/>
      <c r="AR919" s="3"/>
      <c r="AS919" s="3"/>
      <c r="AT919" s="3"/>
      <c r="AU919" s="3"/>
      <c r="AV919" s="3"/>
      <c r="AW919" s="3"/>
      <c r="AX919" s="3"/>
      <c r="AY919" s="3"/>
      <c r="AZ919" s="3"/>
      <c r="BA919" s="3"/>
      <c r="BB919" s="3"/>
      <c r="BC919" s="3"/>
    </row>
    <row r="920" ht="15.75" customHeight="1">
      <c r="A920" s="12"/>
      <c r="B920" s="310"/>
      <c r="C920" s="310"/>
      <c r="D920" s="310"/>
      <c r="E920" s="310"/>
      <c r="F920" s="310"/>
      <c r="G920" s="310"/>
      <c r="H920" s="310"/>
      <c r="I920" s="310"/>
      <c r="J920" s="310"/>
      <c r="K920" s="310"/>
      <c r="L920" s="310"/>
      <c r="M920" s="310"/>
      <c r="N920" s="310"/>
      <c r="O920" s="310"/>
      <c r="P920" s="310"/>
      <c r="Q920" s="310"/>
      <c r="R920" s="310"/>
      <c r="S920" s="310"/>
      <c r="T920" s="310"/>
      <c r="U920" s="310"/>
      <c r="V920" s="310"/>
      <c r="W920" s="310"/>
      <c r="X920" s="310"/>
      <c r="Y920" s="310"/>
      <c r="Z920" s="310"/>
      <c r="AA920" s="310"/>
      <c r="AB920" s="310"/>
      <c r="AC920" s="310"/>
      <c r="AD920" s="310"/>
      <c r="AE920" s="310"/>
      <c r="AF920" s="310"/>
      <c r="AG920" s="310"/>
      <c r="AH920" s="310"/>
      <c r="AI920" s="310"/>
      <c r="AJ920" s="310"/>
      <c r="AK920" s="310"/>
      <c r="AL920" s="310"/>
      <c r="AM920" s="310"/>
      <c r="AN920" s="310"/>
      <c r="AO920" s="310"/>
      <c r="AP920" s="12"/>
      <c r="AQ920" s="3"/>
      <c r="AR920" s="3"/>
      <c r="AS920" s="3"/>
      <c r="AT920" s="3"/>
      <c r="AU920" s="3"/>
      <c r="AV920" s="3"/>
      <c r="AW920" s="3"/>
      <c r="AX920" s="3"/>
      <c r="AY920" s="3"/>
      <c r="AZ920" s="3"/>
      <c r="BA920" s="3"/>
      <c r="BB920" s="3"/>
      <c r="BC920" s="3"/>
    </row>
    <row r="921" ht="15.75" customHeight="1">
      <c r="A921" s="12"/>
      <c r="B921" s="310"/>
      <c r="C921" s="310"/>
      <c r="D921" s="310"/>
      <c r="E921" s="310"/>
      <c r="F921" s="310"/>
      <c r="G921" s="310"/>
      <c r="H921" s="310"/>
      <c r="I921" s="310"/>
      <c r="J921" s="310"/>
      <c r="K921" s="310"/>
      <c r="L921" s="310"/>
      <c r="M921" s="310"/>
      <c r="N921" s="310"/>
      <c r="O921" s="310"/>
      <c r="P921" s="310"/>
      <c r="Q921" s="310"/>
      <c r="R921" s="310"/>
      <c r="S921" s="310"/>
      <c r="T921" s="310"/>
      <c r="U921" s="310"/>
      <c r="V921" s="310"/>
      <c r="W921" s="310"/>
      <c r="X921" s="310"/>
      <c r="Y921" s="310"/>
      <c r="Z921" s="310"/>
      <c r="AA921" s="310"/>
      <c r="AB921" s="310"/>
      <c r="AC921" s="310"/>
      <c r="AD921" s="310"/>
      <c r="AE921" s="310"/>
      <c r="AF921" s="310"/>
      <c r="AG921" s="310"/>
      <c r="AH921" s="310"/>
      <c r="AI921" s="310"/>
      <c r="AJ921" s="310"/>
      <c r="AK921" s="310"/>
      <c r="AL921" s="310"/>
      <c r="AM921" s="310"/>
      <c r="AN921" s="310"/>
      <c r="AO921" s="310"/>
      <c r="AP921" s="12"/>
      <c r="AQ921" s="3"/>
      <c r="AR921" s="3"/>
      <c r="AS921" s="3"/>
      <c r="AT921" s="3"/>
      <c r="AU921" s="3"/>
      <c r="AV921" s="3"/>
      <c r="AW921" s="3"/>
      <c r="AX921" s="3"/>
      <c r="AY921" s="3"/>
      <c r="AZ921" s="3"/>
      <c r="BA921" s="3"/>
      <c r="BB921" s="3"/>
      <c r="BC921" s="3"/>
    </row>
    <row r="922" ht="15.75" customHeight="1">
      <c r="A922" s="12"/>
      <c r="B922" s="310"/>
      <c r="C922" s="310"/>
      <c r="D922" s="310"/>
      <c r="E922" s="310"/>
      <c r="F922" s="310"/>
      <c r="G922" s="310"/>
      <c r="H922" s="310"/>
      <c r="I922" s="310"/>
      <c r="J922" s="310"/>
      <c r="K922" s="310"/>
      <c r="L922" s="310"/>
      <c r="M922" s="310"/>
      <c r="N922" s="310"/>
      <c r="O922" s="310"/>
      <c r="P922" s="310"/>
      <c r="Q922" s="310"/>
      <c r="R922" s="310"/>
      <c r="S922" s="310"/>
      <c r="T922" s="310"/>
      <c r="U922" s="310"/>
      <c r="V922" s="310"/>
      <c r="W922" s="310"/>
      <c r="X922" s="310"/>
      <c r="Y922" s="310"/>
      <c r="Z922" s="310"/>
      <c r="AA922" s="310"/>
      <c r="AB922" s="310"/>
      <c r="AC922" s="310"/>
      <c r="AD922" s="310"/>
      <c r="AE922" s="310"/>
      <c r="AF922" s="310"/>
      <c r="AG922" s="310"/>
      <c r="AH922" s="310"/>
      <c r="AI922" s="310"/>
      <c r="AJ922" s="310"/>
      <c r="AK922" s="310"/>
      <c r="AL922" s="310"/>
      <c r="AM922" s="310"/>
      <c r="AN922" s="310"/>
      <c r="AO922" s="310"/>
      <c r="AP922" s="12"/>
      <c r="AQ922" s="3"/>
      <c r="AR922" s="3"/>
      <c r="AS922" s="3"/>
      <c r="AT922" s="3"/>
      <c r="AU922" s="3"/>
      <c r="AV922" s="3"/>
      <c r="AW922" s="3"/>
      <c r="AX922" s="3"/>
      <c r="AY922" s="3"/>
      <c r="AZ922" s="3"/>
      <c r="BA922" s="3"/>
      <c r="BB922" s="3"/>
      <c r="BC922" s="3"/>
    </row>
    <row r="923" ht="15.75" customHeight="1">
      <c r="A923" s="12"/>
      <c r="B923" s="310"/>
      <c r="C923" s="310"/>
      <c r="D923" s="310"/>
      <c r="E923" s="310"/>
      <c r="F923" s="310"/>
      <c r="G923" s="310"/>
      <c r="H923" s="310"/>
      <c r="I923" s="310"/>
      <c r="J923" s="310"/>
      <c r="K923" s="310"/>
      <c r="L923" s="310"/>
      <c r="M923" s="310"/>
      <c r="N923" s="310"/>
      <c r="O923" s="310"/>
      <c r="P923" s="310"/>
      <c r="Q923" s="310"/>
      <c r="R923" s="310"/>
      <c r="S923" s="310"/>
      <c r="T923" s="310"/>
      <c r="U923" s="310"/>
      <c r="V923" s="310"/>
      <c r="W923" s="310"/>
      <c r="X923" s="310"/>
      <c r="Y923" s="310"/>
      <c r="Z923" s="310"/>
      <c r="AA923" s="310"/>
      <c r="AB923" s="310"/>
      <c r="AC923" s="310"/>
      <c r="AD923" s="310"/>
      <c r="AE923" s="310"/>
      <c r="AF923" s="310"/>
      <c r="AG923" s="310"/>
      <c r="AH923" s="310"/>
      <c r="AI923" s="310"/>
      <c r="AJ923" s="310"/>
      <c r="AK923" s="310"/>
      <c r="AL923" s="310"/>
      <c r="AM923" s="310"/>
      <c r="AN923" s="310"/>
      <c r="AO923" s="310"/>
      <c r="AP923" s="12"/>
      <c r="AQ923" s="3"/>
      <c r="AR923" s="3"/>
      <c r="AS923" s="3"/>
      <c r="AT923" s="3"/>
      <c r="AU923" s="3"/>
      <c r="AV923" s="3"/>
      <c r="AW923" s="3"/>
      <c r="AX923" s="3"/>
      <c r="AY923" s="3"/>
      <c r="AZ923" s="3"/>
      <c r="BA923" s="3"/>
      <c r="BB923" s="3"/>
      <c r="BC923" s="3"/>
    </row>
    <row r="924" ht="15.75" customHeight="1">
      <c r="A924" s="12"/>
      <c r="B924" s="310"/>
      <c r="C924" s="310"/>
      <c r="D924" s="310"/>
      <c r="E924" s="310"/>
      <c r="F924" s="310"/>
      <c r="G924" s="310"/>
      <c r="H924" s="310"/>
      <c r="I924" s="310"/>
      <c r="J924" s="310"/>
      <c r="K924" s="310"/>
      <c r="L924" s="310"/>
      <c r="M924" s="310"/>
      <c r="N924" s="310"/>
      <c r="O924" s="310"/>
      <c r="P924" s="310"/>
      <c r="Q924" s="310"/>
      <c r="R924" s="310"/>
      <c r="S924" s="310"/>
      <c r="T924" s="310"/>
      <c r="U924" s="310"/>
      <c r="V924" s="310"/>
      <c r="W924" s="310"/>
      <c r="X924" s="310"/>
      <c r="Y924" s="310"/>
      <c r="Z924" s="310"/>
      <c r="AA924" s="310"/>
      <c r="AB924" s="310"/>
      <c r="AC924" s="310"/>
      <c r="AD924" s="310"/>
      <c r="AE924" s="310"/>
      <c r="AF924" s="310"/>
      <c r="AG924" s="310"/>
      <c r="AH924" s="310"/>
      <c r="AI924" s="310"/>
      <c r="AJ924" s="310"/>
      <c r="AK924" s="310"/>
      <c r="AL924" s="310"/>
      <c r="AM924" s="310"/>
      <c r="AN924" s="310"/>
      <c r="AO924" s="310"/>
      <c r="AP924" s="12"/>
      <c r="AQ924" s="3"/>
      <c r="AR924" s="3"/>
      <c r="AS924" s="3"/>
      <c r="AT924" s="3"/>
      <c r="AU924" s="3"/>
      <c r="AV924" s="3"/>
      <c r="AW924" s="3"/>
      <c r="AX924" s="3"/>
      <c r="AY924" s="3"/>
      <c r="AZ924" s="3"/>
      <c r="BA924" s="3"/>
      <c r="BB924" s="3"/>
      <c r="BC924" s="3"/>
    </row>
    <row r="925" ht="15.75" customHeight="1">
      <c r="A925" s="12"/>
      <c r="B925" s="310"/>
      <c r="C925" s="310"/>
      <c r="D925" s="310"/>
      <c r="E925" s="310"/>
      <c r="F925" s="310"/>
      <c r="G925" s="310"/>
      <c r="H925" s="310"/>
      <c r="I925" s="310"/>
      <c r="J925" s="310"/>
      <c r="K925" s="310"/>
      <c r="L925" s="310"/>
      <c r="M925" s="310"/>
      <c r="N925" s="310"/>
      <c r="O925" s="310"/>
      <c r="P925" s="310"/>
      <c r="Q925" s="310"/>
      <c r="R925" s="310"/>
      <c r="S925" s="310"/>
      <c r="T925" s="310"/>
      <c r="U925" s="310"/>
      <c r="V925" s="310"/>
      <c r="W925" s="310"/>
      <c r="X925" s="310"/>
      <c r="Y925" s="310"/>
      <c r="Z925" s="310"/>
      <c r="AA925" s="310"/>
      <c r="AB925" s="310"/>
      <c r="AC925" s="310"/>
      <c r="AD925" s="310"/>
      <c r="AE925" s="310"/>
      <c r="AF925" s="310"/>
      <c r="AG925" s="310"/>
      <c r="AH925" s="310"/>
      <c r="AI925" s="310"/>
      <c r="AJ925" s="310"/>
      <c r="AK925" s="310"/>
      <c r="AL925" s="310"/>
      <c r="AM925" s="310"/>
      <c r="AN925" s="310"/>
      <c r="AO925" s="310"/>
      <c r="AP925" s="12"/>
      <c r="AQ925" s="3"/>
      <c r="AR925" s="3"/>
      <c r="AS925" s="3"/>
      <c r="AT925" s="3"/>
      <c r="AU925" s="3"/>
      <c r="AV925" s="3"/>
      <c r="AW925" s="3"/>
      <c r="AX925" s="3"/>
      <c r="AY925" s="3"/>
      <c r="AZ925" s="3"/>
      <c r="BA925" s="3"/>
      <c r="BB925" s="3"/>
      <c r="BC925" s="3"/>
    </row>
    <row r="926" ht="15.75" customHeight="1">
      <c r="A926" s="12"/>
      <c r="B926" s="310"/>
      <c r="C926" s="310"/>
      <c r="D926" s="310"/>
      <c r="E926" s="310"/>
      <c r="F926" s="310"/>
      <c r="G926" s="310"/>
      <c r="H926" s="310"/>
      <c r="I926" s="310"/>
      <c r="J926" s="310"/>
      <c r="K926" s="310"/>
      <c r="L926" s="310"/>
      <c r="M926" s="310"/>
      <c r="N926" s="310"/>
      <c r="O926" s="310"/>
      <c r="P926" s="310"/>
      <c r="Q926" s="310"/>
      <c r="R926" s="310"/>
      <c r="S926" s="310"/>
      <c r="T926" s="310"/>
      <c r="U926" s="310"/>
      <c r="V926" s="310"/>
      <c r="W926" s="310"/>
      <c r="X926" s="310"/>
      <c r="Y926" s="310"/>
      <c r="Z926" s="310"/>
      <c r="AA926" s="310"/>
      <c r="AB926" s="310"/>
      <c r="AC926" s="310"/>
      <c r="AD926" s="310"/>
      <c r="AE926" s="310"/>
      <c r="AF926" s="310"/>
      <c r="AG926" s="310"/>
      <c r="AH926" s="310"/>
      <c r="AI926" s="310"/>
      <c r="AJ926" s="310"/>
      <c r="AK926" s="310"/>
      <c r="AL926" s="310"/>
      <c r="AM926" s="310"/>
      <c r="AN926" s="310"/>
      <c r="AO926" s="310"/>
      <c r="AP926" s="12"/>
      <c r="AQ926" s="3"/>
      <c r="AR926" s="3"/>
      <c r="AS926" s="3"/>
      <c r="AT926" s="3"/>
      <c r="AU926" s="3"/>
      <c r="AV926" s="3"/>
      <c r="AW926" s="3"/>
      <c r="AX926" s="3"/>
      <c r="AY926" s="3"/>
      <c r="AZ926" s="3"/>
      <c r="BA926" s="3"/>
      <c r="BB926" s="3"/>
      <c r="BC926" s="3"/>
    </row>
    <row r="927" ht="15.75" customHeight="1">
      <c r="A927" s="12"/>
      <c r="B927" s="310"/>
      <c r="C927" s="310"/>
      <c r="D927" s="310"/>
      <c r="E927" s="310"/>
      <c r="F927" s="310"/>
      <c r="G927" s="310"/>
      <c r="H927" s="310"/>
      <c r="I927" s="310"/>
      <c r="J927" s="310"/>
      <c r="K927" s="310"/>
      <c r="L927" s="310"/>
      <c r="M927" s="310"/>
      <c r="N927" s="310"/>
      <c r="O927" s="310"/>
      <c r="P927" s="310"/>
      <c r="Q927" s="310"/>
      <c r="R927" s="310"/>
      <c r="S927" s="310"/>
      <c r="T927" s="310"/>
      <c r="U927" s="310"/>
      <c r="V927" s="310"/>
      <c r="W927" s="310"/>
      <c r="X927" s="310"/>
      <c r="Y927" s="310"/>
      <c r="Z927" s="310"/>
      <c r="AA927" s="310"/>
      <c r="AB927" s="310"/>
      <c r="AC927" s="310"/>
      <c r="AD927" s="310"/>
      <c r="AE927" s="310"/>
      <c r="AF927" s="310"/>
      <c r="AG927" s="310"/>
      <c r="AH927" s="310"/>
      <c r="AI927" s="310"/>
      <c r="AJ927" s="310"/>
      <c r="AK927" s="310"/>
      <c r="AL927" s="310"/>
      <c r="AM927" s="310"/>
      <c r="AN927" s="310"/>
      <c r="AO927" s="310"/>
      <c r="AP927" s="12"/>
      <c r="AQ927" s="3"/>
      <c r="AR927" s="3"/>
      <c r="AS927" s="3"/>
      <c r="AT927" s="3"/>
      <c r="AU927" s="3"/>
      <c r="AV927" s="3"/>
      <c r="AW927" s="3"/>
      <c r="AX927" s="3"/>
      <c r="AY927" s="3"/>
      <c r="AZ927" s="3"/>
      <c r="BA927" s="3"/>
      <c r="BB927" s="3"/>
      <c r="BC927" s="3"/>
    </row>
    <row r="928" ht="15.75" customHeight="1">
      <c r="A928" s="12"/>
      <c r="B928" s="310"/>
      <c r="C928" s="310"/>
      <c r="D928" s="310"/>
      <c r="E928" s="310"/>
      <c r="F928" s="310"/>
      <c r="G928" s="310"/>
      <c r="H928" s="310"/>
      <c r="I928" s="310"/>
      <c r="J928" s="310"/>
      <c r="K928" s="310"/>
      <c r="L928" s="310"/>
      <c r="M928" s="310"/>
      <c r="N928" s="310"/>
      <c r="O928" s="310"/>
      <c r="P928" s="310"/>
      <c r="Q928" s="310"/>
      <c r="R928" s="310"/>
      <c r="S928" s="310"/>
      <c r="T928" s="310"/>
      <c r="U928" s="310"/>
      <c r="V928" s="310"/>
      <c r="W928" s="310"/>
      <c r="X928" s="310"/>
      <c r="Y928" s="310"/>
      <c r="Z928" s="310"/>
      <c r="AA928" s="310"/>
      <c r="AB928" s="310"/>
      <c r="AC928" s="310"/>
      <c r="AD928" s="310"/>
      <c r="AE928" s="310"/>
      <c r="AF928" s="310"/>
      <c r="AG928" s="310"/>
      <c r="AH928" s="310"/>
      <c r="AI928" s="310"/>
      <c r="AJ928" s="310"/>
      <c r="AK928" s="310"/>
      <c r="AL928" s="310"/>
      <c r="AM928" s="310"/>
      <c r="AN928" s="310"/>
      <c r="AO928" s="310"/>
      <c r="AP928" s="12"/>
      <c r="AQ928" s="3"/>
      <c r="AR928" s="3"/>
      <c r="AS928" s="3"/>
      <c r="AT928" s="3"/>
      <c r="AU928" s="3"/>
      <c r="AV928" s="3"/>
      <c r="AW928" s="3"/>
      <c r="AX928" s="3"/>
      <c r="AY928" s="3"/>
      <c r="AZ928" s="3"/>
      <c r="BA928" s="3"/>
      <c r="BB928" s="3"/>
      <c r="BC928" s="3"/>
    </row>
    <row r="929" ht="15.75" customHeight="1">
      <c r="A929" s="12"/>
      <c r="B929" s="310"/>
      <c r="C929" s="310"/>
      <c r="D929" s="310"/>
      <c r="E929" s="310"/>
      <c r="F929" s="310"/>
      <c r="G929" s="310"/>
      <c r="H929" s="310"/>
      <c r="I929" s="310"/>
      <c r="J929" s="310"/>
      <c r="K929" s="310"/>
      <c r="L929" s="310"/>
      <c r="M929" s="310"/>
      <c r="N929" s="310"/>
      <c r="O929" s="310"/>
      <c r="P929" s="310"/>
      <c r="Q929" s="310"/>
      <c r="R929" s="310"/>
      <c r="S929" s="310"/>
      <c r="T929" s="310"/>
      <c r="U929" s="310"/>
      <c r="V929" s="310"/>
      <c r="W929" s="310"/>
      <c r="X929" s="310"/>
      <c r="Y929" s="310"/>
      <c r="Z929" s="310"/>
      <c r="AA929" s="310"/>
      <c r="AB929" s="310"/>
      <c r="AC929" s="310"/>
      <c r="AD929" s="310"/>
      <c r="AE929" s="310"/>
      <c r="AF929" s="310"/>
      <c r="AG929" s="310"/>
      <c r="AH929" s="310"/>
      <c r="AI929" s="310"/>
      <c r="AJ929" s="310"/>
      <c r="AK929" s="310"/>
      <c r="AL929" s="310"/>
      <c r="AM929" s="310"/>
      <c r="AN929" s="310"/>
      <c r="AO929" s="310"/>
      <c r="AP929" s="12"/>
      <c r="AQ929" s="3"/>
      <c r="AR929" s="3"/>
      <c r="AS929" s="3"/>
      <c r="AT929" s="3"/>
      <c r="AU929" s="3"/>
      <c r="AV929" s="3"/>
      <c r="AW929" s="3"/>
      <c r="AX929" s="3"/>
      <c r="AY929" s="3"/>
      <c r="AZ929" s="3"/>
      <c r="BA929" s="3"/>
      <c r="BB929" s="3"/>
      <c r="BC929" s="3"/>
    </row>
    <row r="930" ht="15.75" customHeight="1">
      <c r="A930" s="12"/>
      <c r="B930" s="310"/>
      <c r="C930" s="310"/>
      <c r="D930" s="310"/>
      <c r="E930" s="310"/>
      <c r="F930" s="310"/>
      <c r="G930" s="310"/>
      <c r="H930" s="310"/>
      <c r="I930" s="310"/>
      <c r="J930" s="310"/>
      <c r="K930" s="310"/>
      <c r="L930" s="310"/>
      <c r="M930" s="310"/>
      <c r="N930" s="310"/>
      <c r="O930" s="310"/>
      <c r="P930" s="310"/>
      <c r="Q930" s="310"/>
      <c r="R930" s="310"/>
      <c r="S930" s="310"/>
      <c r="T930" s="310"/>
      <c r="U930" s="310"/>
      <c r="V930" s="310"/>
      <c r="W930" s="310"/>
      <c r="X930" s="310"/>
      <c r="Y930" s="310"/>
      <c r="Z930" s="310"/>
      <c r="AA930" s="310"/>
      <c r="AB930" s="310"/>
      <c r="AC930" s="310"/>
      <c r="AD930" s="310"/>
      <c r="AE930" s="310"/>
      <c r="AF930" s="310"/>
      <c r="AG930" s="310"/>
      <c r="AH930" s="310"/>
      <c r="AI930" s="310"/>
      <c r="AJ930" s="310"/>
      <c r="AK930" s="310"/>
      <c r="AL930" s="310"/>
      <c r="AM930" s="310"/>
      <c r="AN930" s="310"/>
      <c r="AO930" s="310"/>
      <c r="AP930" s="12"/>
      <c r="AQ930" s="3"/>
      <c r="AR930" s="3"/>
      <c r="AS930" s="3"/>
      <c r="AT930" s="3"/>
      <c r="AU930" s="3"/>
      <c r="AV930" s="3"/>
      <c r="AW930" s="3"/>
      <c r="AX930" s="3"/>
      <c r="AY930" s="3"/>
      <c r="AZ930" s="3"/>
      <c r="BA930" s="3"/>
      <c r="BB930" s="3"/>
      <c r="BC930" s="3"/>
    </row>
    <row r="931" ht="15.75" customHeight="1">
      <c r="A931" s="12"/>
      <c r="B931" s="310"/>
      <c r="C931" s="310"/>
      <c r="D931" s="310"/>
      <c r="E931" s="310"/>
      <c r="F931" s="310"/>
      <c r="G931" s="310"/>
      <c r="H931" s="310"/>
      <c r="I931" s="310"/>
      <c r="J931" s="310"/>
      <c r="K931" s="310"/>
      <c r="L931" s="310"/>
      <c r="M931" s="310"/>
      <c r="N931" s="310"/>
      <c r="O931" s="310"/>
      <c r="P931" s="310"/>
      <c r="Q931" s="310"/>
      <c r="R931" s="310"/>
      <c r="S931" s="310"/>
      <c r="T931" s="310"/>
      <c r="U931" s="310"/>
      <c r="V931" s="310"/>
      <c r="W931" s="310"/>
      <c r="X931" s="310"/>
      <c r="Y931" s="310"/>
      <c r="Z931" s="310"/>
      <c r="AA931" s="310"/>
      <c r="AB931" s="310"/>
      <c r="AC931" s="310"/>
      <c r="AD931" s="310"/>
      <c r="AE931" s="310"/>
      <c r="AF931" s="310"/>
      <c r="AG931" s="310"/>
      <c r="AH931" s="310"/>
      <c r="AI931" s="310"/>
      <c r="AJ931" s="310"/>
      <c r="AK931" s="310"/>
      <c r="AL931" s="310"/>
      <c r="AM931" s="310"/>
      <c r="AN931" s="310"/>
      <c r="AO931" s="310"/>
      <c r="AP931" s="12"/>
      <c r="AQ931" s="3"/>
      <c r="AR931" s="3"/>
      <c r="AS931" s="3"/>
      <c r="AT931" s="3"/>
      <c r="AU931" s="3"/>
      <c r="AV931" s="3"/>
      <c r="AW931" s="3"/>
      <c r="AX931" s="3"/>
      <c r="AY931" s="3"/>
      <c r="AZ931" s="3"/>
      <c r="BA931" s="3"/>
      <c r="BB931" s="3"/>
      <c r="BC931" s="3"/>
    </row>
    <row r="932" ht="15.75" customHeight="1">
      <c r="A932" s="12"/>
      <c r="B932" s="310"/>
      <c r="C932" s="310"/>
      <c r="D932" s="310"/>
      <c r="E932" s="310"/>
      <c r="F932" s="310"/>
      <c r="G932" s="310"/>
      <c r="H932" s="310"/>
      <c r="I932" s="310"/>
      <c r="J932" s="310"/>
      <c r="K932" s="310"/>
      <c r="L932" s="310"/>
      <c r="M932" s="310"/>
      <c r="N932" s="310"/>
      <c r="O932" s="310"/>
      <c r="P932" s="310"/>
      <c r="Q932" s="310"/>
      <c r="R932" s="310"/>
      <c r="S932" s="310"/>
      <c r="T932" s="310"/>
      <c r="U932" s="310"/>
      <c r="V932" s="310"/>
      <c r="W932" s="310"/>
      <c r="X932" s="310"/>
      <c r="Y932" s="310"/>
      <c r="Z932" s="310"/>
      <c r="AA932" s="310"/>
      <c r="AB932" s="310"/>
      <c r="AC932" s="310"/>
      <c r="AD932" s="310"/>
      <c r="AE932" s="310"/>
      <c r="AF932" s="310"/>
      <c r="AG932" s="310"/>
      <c r="AH932" s="310"/>
      <c r="AI932" s="310"/>
      <c r="AJ932" s="310"/>
      <c r="AK932" s="310"/>
      <c r="AL932" s="310"/>
      <c r="AM932" s="310"/>
      <c r="AN932" s="310"/>
      <c r="AO932" s="310"/>
      <c r="AP932" s="12"/>
      <c r="AQ932" s="3"/>
      <c r="AR932" s="3"/>
      <c r="AS932" s="3"/>
      <c r="AT932" s="3"/>
      <c r="AU932" s="3"/>
      <c r="AV932" s="3"/>
      <c r="AW932" s="3"/>
      <c r="AX932" s="3"/>
      <c r="AY932" s="3"/>
      <c r="AZ932" s="3"/>
      <c r="BA932" s="3"/>
      <c r="BB932" s="3"/>
      <c r="BC932" s="3"/>
    </row>
    <row r="933" ht="15.75" customHeight="1">
      <c r="A933" s="12"/>
      <c r="B933" s="310"/>
      <c r="C933" s="310"/>
      <c r="D933" s="310"/>
      <c r="E933" s="310"/>
      <c r="F933" s="310"/>
      <c r="G933" s="310"/>
      <c r="H933" s="310"/>
      <c r="I933" s="310"/>
      <c r="J933" s="310"/>
      <c r="K933" s="310"/>
      <c r="L933" s="310"/>
      <c r="M933" s="310"/>
      <c r="N933" s="310"/>
      <c r="O933" s="310"/>
      <c r="P933" s="310"/>
      <c r="Q933" s="310"/>
      <c r="R933" s="310"/>
      <c r="S933" s="310"/>
      <c r="T933" s="310"/>
      <c r="U933" s="310"/>
      <c r="V933" s="310"/>
      <c r="W933" s="310"/>
      <c r="X933" s="310"/>
      <c r="Y933" s="310"/>
      <c r="Z933" s="310"/>
      <c r="AA933" s="310"/>
      <c r="AB933" s="310"/>
      <c r="AC933" s="310"/>
      <c r="AD933" s="310"/>
      <c r="AE933" s="310"/>
      <c r="AF933" s="310"/>
      <c r="AG933" s="310"/>
      <c r="AH933" s="310"/>
      <c r="AI933" s="310"/>
      <c r="AJ933" s="310"/>
      <c r="AK933" s="310"/>
      <c r="AL933" s="310"/>
      <c r="AM933" s="310"/>
      <c r="AN933" s="310"/>
      <c r="AO933" s="310"/>
      <c r="AP933" s="12"/>
      <c r="AQ933" s="3"/>
      <c r="AR933" s="3"/>
      <c r="AS933" s="3"/>
      <c r="AT933" s="3"/>
      <c r="AU933" s="3"/>
      <c r="AV933" s="3"/>
      <c r="AW933" s="3"/>
      <c r="AX933" s="3"/>
      <c r="AY933" s="3"/>
      <c r="AZ933" s="3"/>
      <c r="BA933" s="3"/>
      <c r="BB933" s="3"/>
      <c r="BC933" s="3"/>
    </row>
    <row r="934" ht="15.75" customHeight="1">
      <c r="A934" s="12"/>
      <c r="B934" s="310"/>
      <c r="C934" s="310"/>
      <c r="D934" s="310"/>
      <c r="E934" s="310"/>
      <c r="F934" s="310"/>
      <c r="G934" s="310"/>
      <c r="H934" s="310"/>
      <c r="I934" s="310"/>
      <c r="J934" s="310"/>
      <c r="K934" s="310"/>
      <c r="L934" s="310"/>
      <c r="M934" s="310"/>
      <c r="N934" s="310"/>
      <c r="O934" s="310"/>
      <c r="P934" s="310"/>
      <c r="Q934" s="310"/>
      <c r="R934" s="310"/>
      <c r="S934" s="310"/>
      <c r="T934" s="310"/>
      <c r="U934" s="310"/>
      <c r="V934" s="310"/>
      <c r="W934" s="310"/>
      <c r="X934" s="310"/>
      <c r="Y934" s="310"/>
      <c r="Z934" s="310"/>
      <c r="AA934" s="310"/>
      <c r="AB934" s="310"/>
      <c r="AC934" s="310"/>
      <c r="AD934" s="310"/>
      <c r="AE934" s="310"/>
      <c r="AF934" s="310"/>
      <c r="AG934" s="310"/>
      <c r="AH934" s="310"/>
      <c r="AI934" s="310"/>
      <c r="AJ934" s="310"/>
      <c r="AK934" s="310"/>
      <c r="AL934" s="310"/>
      <c r="AM934" s="310"/>
      <c r="AN934" s="310"/>
      <c r="AO934" s="310"/>
      <c r="AP934" s="12"/>
      <c r="AQ934" s="3"/>
      <c r="AR934" s="3"/>
      <c r="AS934" s="3"/>
      <c r="AT934" s="3"/>
      <c r="AU934" s="3"/>
      <c r="AV934" s="3"/>
      <c r="AW934" s="3"/>
      <c r="AX934" s="3"/>
      <c r="AY934" s="3"/>
      <c r="AZ934" s="3"/>
      <c r="BA934" s="3"/>
      <c r="BB934" s="3"/>
      <c r="BC934" s="3"/>
    </row>
    <row r="935" ht="15.75" customHeight="1">
      <c r="A935" s="12"/>
      <c r="B935" s="310"/>
      <c r="C935" s="310"/>
      <c r="D935" s="310"/>
      <c r="E935" s="310"/>
      <c r="F935" s="310"/>
      <c r="G935" s="310"/>
      <c r="H935" s="310"/>
      <c r="I935" s="310"/>
      <c r="J935" s="310"/>
      <c r="K935" s="310"/>
      <c r="L935" s="310"/>
      <c r="M935" s="310"/>
      <c r="N935" s="310"/>
      <c r="O935" s="310"/>
      <c r="P935" s="310"/>
      <c r="Q935" s="310"/>
      <c r="R935" s="310"/>
      <c r="S935" s="310"/>
      <c r="T935" s="310"/>
      <c r="U935" s="310"/>
      <c r="V935" s="310"/>
      <c r="W935" s="310"/>
      <c r="X935" s="310"/>
      <c r="Y935" s="310"/>
      <c r="Z935" s="310"/>
      <c r="AA935" s="310"/>
      <c r="AB935" s="310"/>
      <c r="AC935" s="310"/>
      <c r="AD935" s="310"/>
      <c r="AE935" s="310"/>
      <c r="AF935" s="310"/>
      <c r="AG935" s="310"/>
      <c r="AH935" s="310"/>
      <c r="AI935" s="310"/>
      <c r="AJ935" s="310"/>
      <c r="AK935" s="310"/>
      <c r="AL935" s="310"/>
      <c r="AM935" s="310"/>
      <c r="AN935" s="310"/>
      <c r="AO935" s="310"/>
      <c r="AP935" s="12"/>
      <c r="AQ935" s="3"/>
      <c r="AR935" s="3"/>
      <c r="AS935" s="3"/>
      <c r="AT935" s="3"/>
      <c r="AU935" s="3"/>
      <c r="AV935" s="3"/>
      <c r="AW935" s="3"/>
      <c r="AX935" s="3"/>
      <c r="AY935" s="3"/>
      <c r="AZ935" s="3"/>
      <c r="BA935" s="3"/>
      <c r="BB935" s="3"/>
      <c r="BC935" s="3"/>
    </row>
    <row r="936" ht="15.75" customHeight="1">
      <c r="A936" s="12"/>
      <c r="B936" s="310"/>
      <c r="C936" s="310"/>
      <c r="D936" s="310"/>
      <c r="E936" s="310"/>
      <c r="F936" s="310"/>
      <c r="G936" s="310"/>
      <c r="H936" s="310"/>
      <c r="I936" s="310"/>
      <c r="J936" s="310"/>
      <c r="K936" s="310"/>
      <c r="L936" s="310"/>
      <c r="M936" s="310"/>
      <c r="N936" s="310"/>
      <c r="O936" s="310"/>
      <c r="P936" s="310"/>
      <c r="Q936" s="310"/>
      <c r="R936" s="310"/>
      <c r="S936" s="310"/>
      <c r="T936" s="310"/>
      <c r="U936" s="310"/>
      <c r="V936" s="310"/>
      <c r="W936" s="310"/>
      <c r="X936" s="310"/>
      <c r="Y936" s="310"/>
      <c r="Z936" s="310"/>
      <c r="AA936" s="310"/>
      <c r="AB936" s="310"/>
      <c r="AC936" s="310"/>
      <c r="AD936" s="310"/>
      <c r="AE936" s="310"/>
      <c r="AF936" s="310"/>
      <c r="AG936" s="310"/>
      <c r="AH936" s="310"/>
      <c r="AI936" s="310"/>
      <c r="AJ936" s="310"/>
      <c r="AK936" s="310"/>
      <c r="AL936" s="310"/>
      <c r="AM936" s="310"/>
      <c r="AN936" s="310"/>
      <c r="AO936" s="310"/>
      <c r="AP936" s="12"/>
      <c r="AQ936" s="3"/>
      <c r="AR936" s="3"/>
      <c r="AS936" s="3"/>
      <c r="AT936" s="3"/>
      <c r="AU936" s="3"/>
      <c r="AV936" s="3"/>
      <c r="AW936" s="3"/>
      <c r="AX936" s="3"/>
      <c r="AY936" s="3"/>
      <c r="AZ936" s="3"/>
      <c r="BA936" s="3"/>
      <c r="BB936" s="3"/>
      <c r="BC936" s="3"/>
    </row>
    <row r="937" ht="15.75" customHeight="1">
      <c r="A937" s="12"/>
      <c r="B937" s="310"/>
      <c r="C937" s="310"/>
      <c r="D937" s="310"/>
      <c r="E937" s="310"/>
      <c r="F937" s="310"/>
      <c r="G937" s="310"/>
      <c r="H937" s="310"/>
      <c r="I937" s="310"/>
      <c r="J937" s="310"/>
      <c r="K937" s="310"/>
      <c r="L937" s="310"/>
      <c r="M937" s="310"/>
      <c r="N937" s="310"/>
      <c r="O937" s="310"/>
      <c r="P937" s="310"/>
      <c r="Q937" s="310"/>
      <c r="R937" s="310"/>
      <c r="S937" s="310"/>
      <c r="T937" s="310"/>
      <c r="U937" s="310"/>
      <c r="V937" s="310"/>
      <c r="W937" s="310"/>
      <c r="X937" s="310"/>
      <c r="Y937" s="310"/>
      <c r="Z937" s="310"/>
      <c r="AA937" s="310"/>
      <c r="AB937" s="310"/>
      <c r="AC937" s="310"/>
      <c r="AD937" s="310"/>
      <c r="AE937" s="310"/>
      <c r="AF937" s="310"/>
      <c r="AG937" s="310"/>
      <c r="AH937" s="310"/>
      <c r="AI937" s="310"/>
      <c r="AJ937" s="310"/>
      <c r="AK937" s="310"/>
      <c r="AL937" s="310"/>
      <c r="AM937" s="310"/>
      <c r="AN937" s="310"/>
      <c r="AO937" s="310"/>
      <c r="AP937" s="12"/>
      <c r="AQ937" s="3"/>
      <c r="AR937" s="3"/>
      <c r="AS937" s="3"/>
      <c r="AT937" s="3"/>
      <c r="AU937" s="3"/>
      <c r="AV937" s="3"/>
      <c r="AW937" s="3"/>
      <c r="AX937" s="3"/>
      <c r="AY937" s="3"/>
      <c r="AZ937" s="3"/>
      <c r="BA937" s="3"/>
      <c r="BB937" s="3"/>
      <c r="BC937" s="3"/>
    </row>
    <row r="938" ht="15.75" customHeight="1">
      <c r="A938" s="12"/>
      <c r="B938" s="310"/>
      <c r="C938" s="310"/>
      <c r="D938" s="310"/>
      <c r="E938" s="310"/>
      <c r="F938" s="310"/>
      <c r="G938" s="310"/>
      <c r="H938" s="310"/>
      <c r="I938" s="310"/>
      <c r="J938" s="310"/>
      <c r="K938" s="310"/>
      <c r="L938" s="310"/>
      <c r="M938" s="310"/>
      <c r="N938" s="310"/>
      <c r="O938" s="310"/>
      <c r="P938" s="310"/>
      <c r="Q938" s="310"/>
      <c r="R938" s="310"/>
      <c r="S938" s="310"/>
      <c r="T938" s="310"/>
      <c r="U938" s="310"/>
      <c r="V938" s="310"/>
      <c r="W938" s="310"/>
      <c r="X938" s="310"/>
      <c r="Y938" s="310"/>
      <c r="Z938" s="310"/>
      <c r="AA938" s="310"/>
      <c r="AB938" s="310"/>
      <c r="AC938" s="310"/>
      <c r="AD938" s="310"/>
      <c r="AE938" s="310"/>
      <c r="AF938" s="310"/>
      <c r="AG938" s="310"/>
      <c r="AH938" s="310"/>
      <c r="AI938" s="310"/>
      <c r="AJ938" s="310"/>
      <c r="AK938" s="310"/>
      <c r="AL938" s="310"/>
      <c r="AM938" s="310"/>
      <c r="AN938" s="310"/>
      <c r="AO938" s="310"/>
      <c r="AP938" s="12"/>
      <c r="AQ938" s="3"/>
      <c r="AR938" s="3"/>
      <c r="AS938" s="3"/>
      <c r="AT938" s="3"/>
      <c r="AU938" s="3"/>
      <c r="AV938" s="3"/>
      <c r="AW938" s="3"/>
      <c r="AX938" s="3"/>
      <c r="AY938" s="3"/>
      <c r="AZ938" s="3"/>
      <c r="BA938" s="3"/>
      <c r="BB938" s="3"/>
      <c r="BC938" s="3"/>
    </row>
    <row r="939" ht="15.75" customHeight="1">
      <c r="A939" s="12"/>
      <c r="B939" s="310"/>
      <c r="C939" s="310"/>
      <c r="D939" s="310"/>
      <c r="E939" s="310"/>
      <c r="F939" s="310"/>
      <c r="G939" s="310"/>
      <c r="H939" s="310"/>
      <c r="I939" s="310"/>
      <c r="J939" s="310"/>
      <c r="K939" s="310"/>
      <c r="L939" s="310"/>
      <c r="M939" s="310"/>
      <c r="N939" s="310"/>
      <c r="O939" s="310"/>
      <c r="P939" s="310"/>
      <c r="Q939" s="310"/>
      <c r="R939" s="310"/>
      <c r="S939" s="310"/>
      <c r="T939" s="310"/>
      <c r="U939" s="310"/>
      <c r="V939" s="310"/>
      <c r="W939" s="310"/>
      <c r="X939" s="310"/>
      <c r="Y939" s="310"/>
      <c r="Z939" s="310"/>
      <c r="AA939" s="310"/>
      <c r="AB939" s="310"/>
      <c r="AC939" s="310"/>
      <c r="AD939" s="310"/>
      <c r="AE939" s="310"/>
      <c r="AF939" s="310"/>
      <c r="AG939" s="310"/>
      <c r="AH939" s="310"/>
      <c r="AI939" s="310"/>
      <c r="AJ939" s="310"/>
      <c r="AK939" s="310"/>
      <c r="AL939" s="310"/>
      <c r="AM939" s="310"/>
      <c r="AN939" s="310"/>
      <c r="AO939" s="310"/>
      <c r="AP939" s="12"/>
      <c r="AQ939" s="3"/>
      <c r="AR939" s="3"/>
      <c r="AS939" s="3"/>
      <c r="AT939" s="3"/>
      <c r="AU939" s="3"/>
      <c r="AV939" s="3"/>
      <c r="AW939" s="3"/>
      <c r="AX939" s="3"/>
      <c r="AY939" s="3"/>
      <c r="AZ939" s="3"/>
      <c r="BA939" s="3"/>
      <c r="BB939" s="3"/>
      <c r="BC939" s="3"/>
    </row>
    <row r="940" ht="15.75" customHeight="1">
      <c r="A940" s="12"/>
      <c r="B940" s="310"/>
      <c r="C940" s="310"/>
      <c r="D940" s="310"/>
      <c r="E940" s="310"/>
      <c r="F940" s="310"/>
      <c r="G940" s="310"/>
      <c r="H940" s="310"/>
      <c r="I940" s="310"/>
      <c r="J940" s="310"/>
      <c r="K940" s="310"/>
      <c r="L940" s="310"/>
      <c r="M940" s="310"/>
      <c r="N940" s="310"/>
      <c r="O940" s="310"/>
      <c r="P940" s="310"/>
      <c r="Q940" s="310"/>
      <c r="R940" s="310"/>
      <c r="S940" s="310"/>
      <c r="T940" s="310"/>
      <c r="U940" s="310"/>
      <c r="V940" s="310"/>
      <c r="W940" s="310"/>
      <c r="X940" s="310"/>
      <c r="Y940" s="310"/>
      <c r="Z940" s="310"/>
      <c r="AA940" s="310"/>
      <c r="AB940" s="310"/>
      <c r="AC940" s="310"/>
      <c r="AD940" s="310"/>
      <c r="AE940" s="310"/>
      <c r="AF940" s="310"/>
      <c r="AG940" s="310"/>
      <c r="AH940" s="310"/>
      <c r="AI940" s="310"/>
      <c r="AJ940" s="310"/>
      <c r="AK940" s="310"/>
      <c r="AL940" s="310"/>
      <c r="AM940" s="310"/>
      <c r="AN940" s="310"/>
      <c r="AO940" s="310"/>
      <c r="AP940" s="12"/>
      <c r="AQ940" s="3"/>
      <c r="AR940" s="3"/>
      <c r="AS940" s="3"/>
      <c r="AT940" s="3"/>
      <c r="AU940" s="3"/>
      <c r="AV940" s="3"/>
      <c r="AW940" s="3"/>
      <c r="AX940" s="3"/>
      <c r="AY940" s="3"/>
      <c r="AZ940" s="3"/>
      <c r="BA940" s="3"/>
      <c r="BB940" s="3"/>
      <c r="BC940" s="3"/>
    </row>
    <row r="941" ht="15.75" customHeight="1">
      <c r="A941" s="12"/>
      <c r="B941" s="310"/>
      <c r="C941" s="310"/>
      <c r="D941" s="310"/>
      <c r="E941" s="310"/>
      <c r="F941" s="310"/>
      <c r="G941" s="310"/>
      <c r="H941" s="310"/>
      <c r="I941" s="310"/>
      <c r="J941" s="310"/>
      <c r="K941" s="310"/>
      <c r="L941" s="310"/>
      <c r="M941" s="310"/>
      <c r="N941" s="310"/>
      <c r="O941" s="310"/>
      <c r="P941" s="310"/>
      <c r="Q941" s="310"/>
      <c r="R941" s="310"/>
      <c r="S941" s="310"/>
      <c r="T941" s="310"/>
      <c r="U941" s="310"/>
      <c r="V941" s="310"/>
      <c r="W941" s="310"/>
      <c r="X941" s="310"/>
      <c r="Y941" s="310"/>
      <c r="Z941" s="310"/>
      <c r="AA941" s="310"/>
      <c r="AB941" s="310"/>
      <c r="AC941" s="310"/>
      <c r="AD941" s="310"/>
      <c r="AE941" s="310"/>
      <c r="AF941" s="310"/>
      <c r="AG941" s="310"/>
      <c r="AH941" s="310"/>
      <c r="AI941" s="310"/>
      <c r="AJ941" s="310"/>
      <c r="AK941" s="310"/>
      <c r="AL941" s="310"/>
      <c r="AM941" s="310"/>
      <c r="AN941" s="310"/>
      <c r="AO941" s="310"/>
      <c r="AP941" s="12"/>
      <c r="AQ941" s="3"/>
      <c r="AR941" s="3"/>
      <c r="AS941" s="3"/>
      <c r="AT941" s="3"/>
      <c r="AU941" s="3"/>
      <c r="AV941" s="3"/>
      <c r="AW941" s="3"/>
      <c r="AX941" s="3"/>
      <c r="AY941" s="3"/>
      <c r="AZ941" s="3"/>
      <c r="BA941" s="3"/>
      <c r="BB941" s="3"/>
      <c r="BC941" s="3"/>
    </row>
    <row r="942" ht="15.75" customHeight="1">
      <c r="A942" s="12"/>
      <c r="B942" s="310"/>
      <c r="C942" s="310"/>
      <c r="D942" s="310"/>
      <c r="E942" s="310"/>
      <c r="F942" s="310"/>
      <c r="G942" s="310"/>
      <c r="H942" s="310"/>
      <c r="I942" s="310"/>
      <c r="J942" s="310"/>
      <c r="K942" s="310"/>
      <c r="L942" s="310"/>
      <c r="M942" s="310"/>
      <c r="N942" s="310"/>
      <c r="O942" s="310"/>
      <c r="P942" s="310"/>
      <c r="Q942" s="310"/>
      <c r="R942" s="310"/>
      <c r="S942" s="310"/>
      <c r="T942" s="310"/>
      <c r="U942" s="310"/>
      <c r="V942" s="310"/>
      <c r="W942" s="310"/>
      <c r="X942" s="310"/>
      <c r="Y942" s="310"/>
      <c r="Z942" s="310"/>
      <c r="AA942" s="310"/>
      <c r="AB942" s="310"/>
      <c r="AC942" s="310"/>
      <c r="AD942" s="310"/>
      <c r="AE942" s="310"/>
      <c r="AF942" s="310"/>
      <c r="AG942" s="310"/>
      <c r="AH942" s="310"/>
      <c r="AI942" s="310"/>
      <c r="AJ942" s="310"/>
      <c r="AK942" s="310"/>
      <c r="AL942" s="310"/>
      <c r="AM942" s="310"/>
      <c r="AN942" s="310"/>
      <c r="AO942" s="310"/>
      <c r="AP942" s="12"/>
      <c r="AQ942" s="3"/>
      <c r="AR942" s="3"/>
      <c r="AS942" s="3"/>
      <c r="AT942" s="3"/>
      <c r="AU942" s="3"/>
      <c r="AV942" s="3"/>
      <c r="AW942" s="3"/>
      <c r="AX942" s="3"/>
      <c r="AY942" s="3"/>
      <c r="AZ942" s="3"/>
      <c r="BA942" s="3"/>
      <c r="BB942" s="3"/>
      <c r="BC942" s="3"/>
    </row>
    <row r="943" ht="15.75" customHeight="1">
      <c r="A943" s="12"/>
      <c r="B943" s="310"/>
      <c r="C943" s="310"/>
      <c r="D943" s="310"/>
      <c r="E943" s="310"/>
      <c r="F943" s="310"/>
      <c r="G943" s="310"/>
      <c r="H943" s="310"/>
      <c r="I943" s="310"/>
      <c r="J943" s="310"/>
      <c r="K943" s="310"/>
      <c r="L943" s="310"/>
      <c r="M943" s="310"/>
      <c r="N943" s="310"/>
      <c r="O943" s="310"/>
      <c r="P943" s="310"/>
      <c r="Q943" s="310"/>
      <c r="R943" s="310"/>
      <c r="S943" s="310"/>
      <c r="T943" s="310"/>
      <c r="U943" s="310"/>
      <c r="V943" s="310"/>
      <c r="W943" s="310"/>
      <c r="X943" s="310"/>
      <c r="Y943" s="310"/>
      <c r="Z943" s="310"/>
      <c r="AA943" s="310"/>
      <c r="AB943" s="310"/>
      <c r="AC943" s="310"/>
      <c r="AD943" s="310"/>
      <c r="AE943" s="310"/>
      <c r="AF943" s="310"/>
      <c r="AG943" s="310"/>
      <c r="AH943" s="310"/>
      <c r="AI943" s="310"/>
      <c r="AJ943" s="310"/>
      <c r="AK943" s="310"/>
      <c r="AL943" s="310"/>
      <c r="AM943" s="310"/>
      <c r="AN943" s="310"/>
      <c r="AO943" s="310"/>
      <c r="AP943" s="12"/>
      <c r="AQ943" s="3"/>
      <c r="AR943" s="3"/>
      <c r="AS943" s="3"/>
      <c r="AT943" s="3"/>
      <c r="AU943" s="3"/>
      <c r="AV943" s="3"/>
      <c r="AW943" s="3"/>
      <c r="AX943" s="3"/>
      <c r="AY943" s="3"/>
      <c r="AZ943" s="3"/>
      <c r="BA943" s="3"/>
      <c r="BB943" s="3"/>
      <c r="BC943" s="3"/>
    </row>
    <row r="944" ht="15.75" customHeight="1">
      <c r="A944" s="12"/>
      <c r="B944" s="310"/>
      <c r="C944" s="310"/>
      <c r="D944" s="310"/>
      <c r="E944" s="310"/>
      <c r="F944" s="310"/>
      <c r="G944" s="310"/>
      <c r="H944" s="310"/>
      <c r="I944" s="310"/>
      <c r="J944" s="310"/>
      <c r="K944" s="310"/>
      <c r="L944" s="310"/>
      <c r="M944" s="310"/>
      <c r="N944" s="310"/>
      <c r="O944" s="310"/>
      <c r="P944" s="310"/>
      <c r="Q944" s="310"/>
      <c r="R944" s="310"/>
      <c r="S944" s="310"/>
      <c r="T944" s="310"/>
      <c r="U944" s="310"/>
      <c r="V944" s="310"/>
      <c r="W944" s="310"/>
      <c r="X944" s="310"/>
      <c r="Y944" s="310"/>
      <c r="Z944" s="310"/>
      <c r="AA944" s="310"/>
      <c r="AB944" s="310"/>
      <c r="AC944" s="310"/>
      <c r="AD944" s="310"/>
      <c r="AE944" s="310"/>
      <c r="AF944" s="310"/>
      <c r="AG944" s="310"/>
      <c r="AH944" s="310"/>
      <c r="AI944" s="310"/>
      <c r="AJ944" s="310"/>
      <c r="AK944" s="310"/>
      <c r="AL944" s="310"/>
      <c r="AM944" s="310"/>
      <c r="AN944" s="310"/>
      <c r="AO944" s="310"/>
      <c r="AP944" s="12"/>
      <c r="AQ944" s="3"/>
      <c r="AR944" s="3"/>
      <c r="AS944" s="3"/>
      <c r="AT944" s="3"/>
      <c r="AU944" s="3"/>
      <c r="AV944" s="3"/>
      <c r="AW944" s="3"/>
      <c r="AX944" s="3"/>
      <c r="AY944" s="3"/>
      <c r="AZ944" s="3"/>
      <c r="BA944" s="3"/>
      <c r="BB944" s="3"/>
      <c r="BC944" s="3"/>
    </row>
    <row r="945" ht="15.75" customHeight="1">
      <c r="A945" s="12"/>
      <c r="B945" s="310"/>
      <c r="C945" s="310"/>
      <c r="D945" s="310"/>
      <c r="E945" s="310"/>
      <c r="F945" s="310"/>
      <c r="G945" s="310"/>
      <c r="H945" s="310"/>
      <c r="I945" s="310"/>
      <c r="J945" s="310"/>
      <c r="K945" s="310"/>
      <c r="L945" s="310"/>
      <c r="M945" s="310"/>
      <c r="N945" s="310"/>
      <c r="O945" s="310"/>
      <c r="P945" s="310"/>
      <c r="Q945" s="310"/>
      <c r="R945" s="310"/>
      <c r="S945" s="310"/>
      <c r="T945" s="310"/>
      <c r="U945" s="310"/>
      <c r="V945" s="310"/>
      <c r="W945" s="310"/>
      <c r="X945" s="310"/>
      <c r="Y945" s="310"/>
      <c r="Z945" s="310"/>
      <c r="AA945" s="310"/>
      <c r="AB945" s="310"/>
      <c r="AC945" s="310"/>
      <c r="AD945" s="310"/>
      <c r="AE945" s="310"/>
      <c r="AF945" s="310"/>
      <c r="AG945" s="310"/>
      <c r="AH945" s="310"/>
      <c r="AI945" s="310"/>
      <c r="AJ945" s="310"/>
      <c r="AK945" s="310"/>
      <c r="AL945" s="310"/>
      <c r="AM945" s="310"/>
      <c r="AN945" s="310"/>
      <c r="AO945" s="310"/>
      <c r="AP945" s="12"/>
      <c r="AQ945" s="3"/>
      <c r="AR945" s="3"/>
      <c r="AS945" s="3"/>
      <c r="AT945" s="3"/>
      <c r="AU945" s="3"/>
      <c r="AV945" s="3"/>
      <c r="AW945" s="3"/>
      <c r="AX945" s="3"/>
      <c r="AY945" s="3"/>
      <c r="AZ945" s="3"/>
      <c r="BA945" s="3"/>
      <c r="BB945" s="3"/>
      <c r="BC945" s="3"/>
    </row>
    <row r="946" ht="15.75" customHeight="1">
      <c r="A946" s="12"/>
      <c r="B946" s="310"/>
      <c r="C946" s="310"/>
      <c r="D946" s="310"/>
      <c r="E946" s="310"/>
      <c r="F946" s="310"/>
      <c r="G946" s="310"/>
      <c r="H946" s="310"/>
      <c r="I946" s="310"/>
      <c r="J946" s="310"/>
      <c r="K946" s="310"/>
      <c r="L946" s="310"/>
      <c r="M946" s="310"/>
      <c r="N946" s="310"/>
      <c r="O946" s="310"/>
      <c r="P946" s="310"/>
      <c r="Q946" s="310"/>
      <c r="R946" s="310"/>
      <c r="S946" s="310"/>
      <c r="T946" s="310"/>
      <c r="U946" s="310"/>
      <c r="V946" s="310"/>
      <c r="W946" s="310"/>
      <c r="X946" s="310"/>
      <c r="Y946" s="310"/>
      <c r="Z946" s="310"/>
      <c r="AA946" s="310"/>
      <c r="AB946" s="310"/>
      <c r="AC946" s="310"/>
      <c r="AD946" s="310"/>
      <c r="AE946" s="310"/>
      <c r="AF946" s="310"/>
      <c r="AG946" s="310"/>
      <c r="AH946" s="310"/>
      <c r="AI946" s="310"/>
      <c r="AJ946" s="310"/>
      <c r="AK946" s="310"/>
      <c r="AL946" s="310"/>
      <c r="AM946" s="310"/>
      <c r="AN946" s="310"/>
      <c r="AO946" s="310"/>
      <c r="AP946" s="12"/>
      <c r="AQ946" s="3"/>
      <c r="AR946" s="3"/>
      <c r="AS946" s="3"/>
      <c r="AT946" s="3"/>
      <c r="AU946" s="3"/>
      <c r="AV946" s="3"/>
      <c r="AW946" s="3"/>
      <c r="AX946" s="3"/>
      <c r="AY946" s="3"/>
      <c r="AZ946" s="3"/>
      <c r="BA946" s="3"/>
      <c r="BB946" s="3"/>
      <c r="BC946" s="3"/>
    </row>
    <row r="947" ht="15.75" customHeight="1">
      <c r="A947" s="12"/>
      <c r="B947" s="310"/>
      <c r="C947" s="310"/>
      <c r="D947" s="310"/>
      <c r="E947" s="310"/>
      <c r="F947" s="310"/>
      <c r="G947" s="310"/>
      <c r="H947" s="310"/>
      <c r="I947" s="310"/>
      <c r="J947" s="310"/>
      <c r="K947" s="310"/>
      <c r="L947" s="310"/>
      <c r="M947" s="310"/>
      <c r="N947" s="310"/>
      <c r="O947" s="310"/>
      <c r="P947" s="310"/>
      <c r="Q947" s="310"/>
      <c r="R947" s="310"/>
      <c r="S947" s="310"/>
      <c r="T947" s="310"/>
      <c r="U947" s="310"/>
      <c r="V947" s="310"/>
      <c r="W947" s="310"/>
      <c r="X947" s="310"/>
      <c r="Y947" s="310"/>
      <c r="Z947" s="310"/>
      <c r="AA947" s="310"/>
      <c r="AB947" s="310"/>
      <c r="AC947" s="310"/>
      <c r="AD947" s="310"/>
      <c r="AE947" s="310"/>
      <c r="AF947" s="310"/>
      <c r="AG947" s="310"/>
      <c r="AH947" s="310"/>
      <c r="AI947" s="310"/>
      <c r="AJ947" s="310"/>
      <c r="AK947" s="310"/>
      <c r="AL947" s="310"/>
      <c r="AM947" s="310"/>
      <c r="AN947" s="310"/>
      <c r="AO947" s="310"/>
      <c r="AP947" s="12"/>
      <c r="AQ947" s="3"/>
      <c r="AR947" s="3"/>
      <c r="AS947" s="3"/>
      <c r="AT947" s="3"/>
      <c r="AU947" s="3"/>
      <c r="AV947" s="3"/>
      <c r="AW947" s="3"/>
      <c r="AX947" s="3"/>
      <c r="AY947" s="3"/>
      <c r="AZ947" s="3"/>
      <c r="BA947" s="3"/>
      <c r="BB947" s="3"/>
      <c r="BC947" s="3"/>
    </row>
    <row r="948" ht="15.75" customHeight="1">
      <c r="A948" s="12"/>
      <c r="B948" s="310"/>
      <c r="C948" s="310"/>
      <c r="D948" s="310"/>
      <c r="E948" s="310"/>
      <c r="F948" s="310"/>
      <c r="G948" s="310"/>
      <c r="H948" s="310"/>
      <c r="I948" s="310"/>
      <c r="J948" s="310"/>
      <c r="K948" s="310"/>
      <c r="L948" s="310"/>
      <c r="M948" s="310"/>
      <c r="N948" s="310"/>
      <c r="O948" s="310"/>
      <c r="P948" s="310"/>
      <c r="Q948" s="310"/>
      <c r="R948" s="310"/>
      <c r="S948" s="310"/>
      <c r="T948" s="310"/>
      <c r="U948" s="310"/>
      <c r="V948" s="310"/>
      <c r="W948" s="310"/>
      <c r="X948" s="310"/>
      <c r="Y948" s="310"/>
      <c r="Z948" s="310"/>
      <c r="AA948" s="310"/>
      <c r="AB948" s="310"/>
      <c r="AC948" s="310"/>
      <c r="AD948" s="310"/>
      <c r="AE948" s="310"/>
      <c r="AF948" s="310"/>
      <c r="AG948" s="310"/>
      <c r="AH948" s="310"/>
      <c r="AI948" s="310"/>
      <c r="AJ948" s="310"/>
      <c r="AK948" s="310"/>
      <c r="AL948" s="310"/>
      <c r="AM948" s="310"/>
      <c r="AN948" s="310"/>
      <c r="AO948" s="310"/>
      <c r="AP948" s="12"/>
      <c r="AQ948" s="3"/>
      <c r="AR948" s="3"/>
      <c r="AS948" s="3"/>
      <c r="AT948" s="3"/>
      <c r="AU948" s="3"/>
      <c r="AV948" s="3"/>
      <c r="AW948" s="3"/>
      <c r="AX948" s="3"/>
      <c r="AY948" s="3"/>
      <c r="AZ948" s="3"/>
      <c r="BA948" s="3"/>
      <c r="BB948" s="3"/>
      <c r="BC948" s="3"/>
    </row>
    <row r="949" ht="15.75" customHeight="1">
      <c r="A949" s="12"/>
      <c r="B949" s="310"/>
      <c r="C949" s="310"/>
      <c r="D949" s="310"/>
      <c r="E949" s="310"/>
      <c r="F949" s="310"/>
      <c r="G949" s="310"/>
      <c r="H949" s="310"/>
      <c r="I949" s="310"/>
      <c r="J949" s="310"/>
      <c r="K949" s="310"/>
      <c r="L949" s="310"/>
      <c r="M949" s="310"/>
      <c r="N949" s="310"/>
      <c r="O949" s="310"/>
      <c r="P949" s="310"/>
      <c r="Q949" s="310"/>
      <c r="R949" s="310"/>
      <c r="S949" s="310"/>
      <c r="T949" s="310"/>
      <c r="U949" s="310"/>
      <c r="V949" s="310"/>
      <c r="W949" s="310"/>
      <c r="X949" s="310"/>
      <c r="Y949" s="310"/>
      <c r="Z949" s="310"/>
      <c r="AA949" s="310"/>
      <c r="AB949" s="310"/>
      <c r="AC949" s="310"/>
      <c r="AD949" s="310"/>
      <c r="AE949" s="310"/>
      <c r="AF949" s="310"/>
      <c r="AG949" s="310"/>
      <c r="AH949" s="310"/>
      <c r="AI949" s="310"/>
      <c r="AJ949" s="310"/>
      <c r="AK949" s="310"/>
      <c r="AL949" s="310"/>
      <c r="AM949" s="310"/>
      <c r="AN949" s="310"/>
      <c r="AO949" s="310"/>
      <c r="AP949" s="12"/>
      <c r="AQ949" s="3"/>
      <c r="AR949" s="3"/>
      <c r="AS949" s="3"/>
      <c r="AT949" s="3"/>
      <c r="AU949" s="3"/>
      <c r="AV949" s="3"/>
      <c r="AW949" s="3"/>
      <c r="AX949" s="3"/>
      <c r="AY949" s="3"/>
      <c r="AZ949" s="3"/>
      <c r="BA949" s="3"/>
      <c r="BB949" s="3"/>
      <c r="BC949" s="3"/>
    </row>
    <row r="950" ht="15.75" customHeight="1">
      <c r="A950" s="12"/>
      <c r="B950" s="310"/>
      <c r="C950" s="310"/>
      <c r="D950" s="310"/>
      <c r="E950" s="310"/>
      <c r="F950" s="310"/>
      <c r="G950" s="310"/>
      <c r="H950" s="310"/>
      <c r="I950" s="310"/>
      <c r="J950" s="310"/>
      <c r="K950" s="310"/>
      <c r="L950" s="310"/>
      <c r="M950" s="310"/>
      <c r="N950" s="310"/>
      <c r="O950" s="310"/>
      <c r="P950" s="310"/>
      <c r="Q950" s="310"/>
      <c r="R950" s="310"/>
      <c r="S950" s="310"/>
      <c r="T950" s="310"/>
      <c r="U950" s="310"/>
      <c r="V950" s="310"/>
      <c r="W950" s="310"/>
      <c r="X950" s="310"/>
      <c r="Y950" s="310"/>
      <c r="Z950" s="310"/>
      <c r="AA950" s="310"/>
      <c r="AB950" s="310"/>
      <c r="AC950" s="310"/>
      <c r="AD950" s="310"/>
      <c r="AE950" s="310"/>
      <c r="AF950" s="310"/>
      <c r="AG950" s="310"/>
      <c r="AH950" s="310"/>
      <c r="AI950" s="310"/>
      <c r="AJ950" s="310"/>
      <c r="AK950" s="310"/>
      <c r="AL950" s="310"/>
      <c r="AM950" s="310"/>
      <c r="AN950" s="310"/>
      <c r="AO950" s="310"/>
      <c r="AP950" s="12"/>
      <c r="AQ950" s="3"/>
      <c r="AR950" s="3"/>
      <c r="AS950" s="3"/>
      <c r="AT950" s="3"/>
      <c r="AU950" s="3"/>
      <c r="AV950" s="3"/>
      <c r="AW950" s="3"/>
      <c r="AX950" s="3"/>
      <c r="AY950" s="3"/>
      <c r="AZ950" s="3"/>
      <c r="BA950" s="3"/>
      <c r="BB950" s="3"/>
      <c r="BC950" s="3"/>
    </row>
    <row r="951" ht="15.75" customHeight="1">
      <c r="A951" s="12"/>
      <c r="B951" s="310"/>
      <c r="C951" s="310"/>
      <c r="D951" s="310"/>
      <c r="E951" s="310"/>
      <c r="F951" s="310"/>
      <c r="G951" s="310"/>
      <c r="H951" s="310"/>
      <c r="I951" s="310"/>
      <c r="J951" s="310"/>
      <c r="K951" s="310"/>
      <c r="L951" s="310"/>
      <c r="M951" s="310"/>
      <c r="N951" s="310"/>
      <c r="O951" s="310"/>
      <c r="P951" s="310"/>
      <c r="Q951" s="310"/>
      <c r="R951" s="310"/>
      <c r="S951" s="310"/>
      <c r="T951" s="310"/>
      <c r="U951" s="310"/>
      <c r="V951" s="310"/>
      <c r="W951" s="310"/>
      <c r="X951" s="310"/>
      <c r="Y951" s="310"/>
      <c r="Z951" s="310"/>
      <c r="AA951" s="310"/>
      <c r="AB951" s="310"/>
      <c r="AC951" s="310"/>
      <c r="AD951" s="310"/>
      <c r="AE951" s="310"/>
      <c r="AF951" s="310"/>
      <c r="AG951" s="310"/>
      <c r="AH951" s="310"/>
      <c r="AI951" s="310"/>
      <c r="AJ951" s="310"/>
      <c r="AK951" s="310"/>
      <c r="AL951" s="310"/>
      <c r="AM951" s="310"/>
      <c r="AN951" s="310"/>
      <c r="AO951" s="310"/>
      <c r="AP951" s="12"/>
      <c r="AQ951" s="3"/>
      <c r="AR951" s="3"/>
      <c r="AS951" s="3"/>
      <c r="AT951" s="3"/>
      <c r="AU951" s="3"/>
      <c r="AV951" s="3"/>
      <c r="AW951" s="3"/>
      <c r="AX951" s="3"/>
      <c r="AY951" s="3"/>
      <c r="AZ951" s="3"/>
      <c r="BA951" s="3"/>
      <c r="BB951" s="3"/>
      <c r="BC951" s="3"/>
    </row>
    <row r="952" ht="15.75" customHeight="1">
      <c r="A952" s="12"/>
      <c r="B952" s="310"/>
      <c r="C952" s="310"/>
      <c r="D952" s="310"/>
      <c r="E952" s="310"/>
      <c r="F952" s="310"/>
      <c r="G952" s="310"/>
      <c r="H952" s="310"/>
      <c r="I952" s="310"/>
      <c r="J952" s="310"/>
      <c r="K952" s="310"/>
      <c r="L952" s="310"/>
      <c r="M952" s="310"/>
      <c r="N952" s="310"/>
      <c r="O952" s="310"/>
      <c r="P952" s="310"/>
      <c r="Q952" s="310"/>
      <c r="R952" s="310"/>
      <c r="S952" s="310"/>
      <c r="T952" s="310"/>
      <c r="U952" s="310"/>
      <c r="V952" s="310"/>
      <c r="W952" s="310"/>
      <c r="X952" s="310"/>
      <c r="Y952" s="310"/>
      <c r="Z952" s="310"/>
      <c r="AA952" s="310"/>
      <c r="AB952" s="310"/>
      <c r="AC952" s="310"/>
      <c r="AD952" s="310"/>
      <c r="AE952" s="310"/>
      <c r="AF952" s="310"/>
      <c r="AG952" s="310"/>
      <c r="AH952" s="310"/>
      <c r="AI952" s="310"/>
      <c r="AJ952" s="310"/>
      <c r="AK952" s="310"/>
      <c r="AL952" s="310"/>
      <c r="AM952" s="310"/>
      <c r="AN952" s="310"/>
      <c r="AO952" s="310"/>
      <c r="AP952" s="12"/>
      <c r="AQ952" s="3"/>
      <c r="AR952" s="3"/>
      <c r="AS952" s="3"/>
      <c r="AT952" s="3"/>
      <c r="AU952" s="3"/>
      <c r="AV952" s="3"/>
      <c r="AW952" s="3"/>
      <c r="AX952" s="3"/>
      <c r="AY952" s="3"/>
      <c r="AZ952" s="3"/>
      <c r="BA952" s="3"/>
      <c r="BB952" s="3"/>
      <c r="BC952" s="3"/>
    </row>
    <row r="953" ht="15.75" customHeight="1">
      <c r="A953" s="12"/>
      <c r="B953" s="310"/>
      <c r="C953" s="310"/>
      <c r="D953" s="310"/>
      <c r="E953" s="310"/>
      <c r="F953" s="310"/>
      <c r="G953" s="310"/>
      <c r="H953" s="310"/>
      <c r="I953" s="310"/>
      <c r="J953" s="310"/>
      <c r="K953" s="310"/>
      <c r="L953" s="310"/>
      <c r="M953" s="310"/>
      <c r="N953" s="310"/>
      <c r="O953" s="310"/>
      <c r="P953" s="310"/>
      <c r="Q953" s="310"/>
      <c r="R953" s="310"/>
      <c r="S953" s="310"/>
      <c r="T953" s="310"/>
      <c r="U953" s="310"/>
      <c r="V953" s="310"/>
      <c r="W953" s="310"/>
      <c r="X953" s="310"/>
      <c r="Y953" s="310"/>
      <c r="Z953" s="310"/>
      <c r="AA953" s="310"/>
      <c r="AB953" s="310"/>
      <c r="AC953" s="310"/>
      <c r="AD953" s="310"/>
      <c r="AE953" s="310"/>
      <c r="AF953" s="310"/>
      <c r="AG953" s="310"/>
      <c r="AH953" s="310"/>
      <c r="AI953" s="310"/>
      <c r="AJ953" s="310"/>
      <c r="AK953" s="310"/>
      <c r="AL953" s="310"/>
      <c r="AM953" s="310"/>
      <c r="AN953" s="310"/>
      <c r="AO953" s="310"/>
      <c r="AP953" s="12"/>
      <c r="AQ953" s="3"/>
      <c r="AR953" s="3"/>
      <c r="AS953" s="3"/>
      <c r="AT953" s="3"/>
      <c r="AU953" s="3"/>
      <c r="AV953" s="3"/>
      <c r="AW953" s="3"/>
      <c r="AX953" s="3"/>
      <c r="AY953" s="3"/>
      <c r="AZ953" s="3"/>
      <c r="BA953" s="3"/>
      <c r="BB953" s="3"/>
      <c r="BC953" s="3"/>
    </row>
    <row r="954" ht="15.75" customHeight="1">
      <c r="A954" s="12"/>
      <c r="B954" s="310"/>
      <c r="C954" s="310"/>
      <c r="D954" s="310"/>
      <c r="E954" s="310"/>
      <c r="F954" s="310"/>
      <c r="G954" s="310"/>
      <c r="H954" s="310"/>
      <c r="I954" s="310"/>
      <c r="J954" s="310"/>
      <c r="K954" s="310"/>
      <c r="L954" s="310"/>
      <c r="M954" s="310"/>
      <c r="N954" s="310"/>
      <c r="O954" s="310"/>
      <c r="P954" s="310"/>
      <c r="Q954" s="310"/>
      <c r="R954" s="310"/>
      <c r="S954" s="310"/>
      <c r="T954" s="310"/>
      <c r="U954" s="310"/>
      <c r="V954" s="310"/>
      <c r="W954" s="310"/>
      <c r="X954" s="310"/>
      <c r="Y954" s="310"/>
      <c r="Z954" s="310"/>
      <c r="AA954" s="310"/>
      <c r="AB954" s="310"/>
      <c r="AC954" s="310"/>
      <c r="AD954" s="310"/>
      <c r="AE954" s="310"/>
      <c r="AF954" s="310"/>
      <c r="AG954" s="310"/>
      <c r="AH954" s="310"/>
      <c r="AI954" s="310"/>
      <c r="AJ954" s="310"/>
      <c r="AK954" s="310"/>
      <c r="AL954" s="310"/>
      <c r="AM954" s="310"/>
      <c r="AN954" s="310"/>
      <c r="AO954" s="310"/>
      <c r="AP954" s="12"/>
      <c r="AQ954" s="3"/>
      <c r="AR954" s="3"/>
      <c r="AS954" s="3"/>
      <c r="AT954" s="3"/>
      <c r="AU954" s="3"/>
      <c r="AV954" s="3"/>
      <c r="AW954" s="3"/>
      <c r="AX954" s="3"/>
      <c r="AY954" s="3"/>
      <c r="AZ954" s="3"/>
      <c r="BA954" s="3"/>
      <c r="BB954" s="3"/>
      <c r="BC954" s="3"/>
    </row>
    <row r="955" ht="15.75" customHeight="1">
      <c r="A955" s="12"/>
      <c r="B955" s="310"/>
      <c r="C955" s="310"/>
      <c r="D955" s="310"/>
      <c r="E955" s="310"/>
      <c r="F955" s="310"/>
      <c r="G955" s="310"/>
      <c r="H955" s="310"/>
      <c r="I955" s="310"/>
      <c r="J955" s="310"/>
      <c r="K955" s="310"/>
      <c r="L955" s="310"/>
      <c r="M955" s="310"/>
      <c r="N955" s="310"/>
      <c r="O955" s="310"/>
      <c r="P955" s="310"/>
      <c r="Q955" s="310"/>
      <c r="R955" s="310"/>
      <c r="S955" s="310"/>
      <c r="T955" s="310"/>
      <c r="U955" s="310"/>
      <c r="V955" s="310"/>
      <c r="W955" s="310"/>
      <c r="X955" s="310"/>
      <c r="Y955" s="310"/>
      <c r="Z955" s="310"/>
      <c r="AA955" s="310"/>
      <c r="AB955" s="310"/>
      <c r="AC955" s="310"/>
      <c r="AD955" s="310"/>
      <c r="AE955" s="310"/>
      <c r="AF955" s="310"/>
      <c r="AG955" s="310"/>
      <c r="AH955" s="310"/>
      <c r="AI955" s="310"/>
      <c r="AJ955" s="310"/>
      <c r="AK955" s="310"/>
      <c r="AL955" s="310"/>
      <c r="AM955" s="310"/>
      <c r="AN955" s="310"/>
      <c r="AO955" s="310"/>
      <c r="AP955" s="12"/>
      <c r="AQ955" s="3"/>
      <c r="AR955" s="3"/>
      <c r="AS955" s="3"/>
      <c r="AT955" s="3"/>
      <c r="AU955" s="3"/>
      <c r="AV955" s="3"/>
      <c r="AW955" s="3"/>
      <c r="AX955" s="3"/>
      <c r="AY955" s="3"/>
      <c r="AZ955" s="3"/>
      <c r="BA955" s="3"/>
      <c r="BB955" s="3"/>
      <c r="BC955" s="3"/>
    </row>
    <row r="956" ht="15.75" customHeight="1">
      <c r="A956" s="12"/>
      <c r="B956" s="310"/>
      <c r="C956" s="310"/>
      <c r="D956" s="310"/>
      <c r="E956" s="310"/>
      <c r="F956" s="310"/>
      <c r="G956" s="310"/>
      <c r="H956" s="310"/>
      <c r="I956" s="310"/>
      <c r="J956" s="310"/>
      <c r="K956" s="310"/>
      <c r="L956" s="310"/>
      <c r="M956" s="310"/>
      <c r="N956" s="310"/>
      <c r="O956" s="310"/>
      <c r="P956" s="310"/>
      <c r="Q956" s="310"/>
      <c r="R956" s="310"/>
      <c r="S956" s="310"/>
      <c r="T956" s="310"/>
      <c r="U956" s="310"/>
      <c r="V956" s="310"/>
      <c r="W956" s="310"/>
      <c r="X956" s="310"/>
      <c r="Y956" s="310"/>
      <c r="Z956" s="310"/>
      <c r="AA956" s="310"/>
      <c r="AB956" s="310"/>
      <c r="AC956" s="310"/>
      <c r="AD956" s="310"/>
      <c r="AE956" s="310"/>
      <c r="AF956" s="310"/>
      <c r="AG956" s="310"/>
      <c r="AH956" s="310"/>
      <c r="AI956" s="310"/>
      <c r="AJ956" s="310"/>
      <c r="AK956" s="310"/>
      <c r="AL956" s="310"/>
      <c r="AM956" s="310"/>
      <c r="AN956" s="310"/>
      <c r="AO956" s="310"/>
      <c r="AP956" s="12"/>
      <c r="AQ956" s="3"/>
      <c r="AR956" s="3"/>
      <c r="AS956" s="3"/>
      <c r="AT956" s="3"/>
      <c r="AU956" s="3"/>
      <c r="AV956" s="3"/>
      <c r="AW956" s="3"/>
      <c r="AX956" s="3"/>
      <c r="AY956" s="3"/>
      <c r="AZ956" s="3"/>
      <c r="BA956" s="3"/>
      <c r="BB956" s="3"/>
      <c r="BC956" s="3"/>
    </row>
    <row r="957" ht="15.75" customHeight="1">
      <c r="A957" s="12"/>
      <c r="B957" s="310"/>
      <c r="C957" s="310"/>
      <c r="D957" s="310"/>
      <c r="E957" s="310"/>
      <c r="F957" s="310"/>
      <c r="G957" s="310"/>
      <c r="H957" s="310"/>
      <c r="I957" s="310"/>
      <c r="J957" s="310"/>
      <c r="K957" s="310"/>
      <c r="L957" s="310"/>
      <c r="M957" s="310"/>
      <c r="N957" s="310"/>
      <c r="O957" s="310"/>
      <c r="P957" s="310"/>
      <c r="Q957" s="310"/>
      <c r="R957" s="310"/>
      <c r="S957" s="310"/>
      <c r="T957" s="310"/>
      <c r="U957" s="310"/>
      <c r="V957" s="310"/>
      <c r="W957" s="310"/>
      <c r="X957" s="310"/>
      <c r="Y957" s="310"/>
      <c r="Z957" s="310"/>
      <c r="AA957" s="310"/>
      <c r="AB957" s="310"/>
      <c r="AC957" s="310"/>
      <c r="AD957" s="310"/>
      <c r="AE957" s="310"/>
      <c r="AF957" s="310"/>
      <c r="AG957" s="310"/>
      <c r="AH957" s="310"/>
      <c r="AI957" s="310"/>
      <c r="AJ957" s="310"/>
      <c r="AK957" s="310"/>
      <c r="AL957" s="310"/>
      <c r="AM957" s="310"/>
      <c r="AN957" s="310"/>
      <c r="AO957" s="310"/>
      <c r="AP957" s="12"/>
      <c r="AQ957" s="3"/>
      <c r="AR957" s="3"/>
      <c r="AS957" s="3"/>
      <c r="AT957" s="3"/>
      <c r="AU957" s="3"/>
      <c r="AV957" s="3"/>
      <c r="AW957" s="3"/>
      <c r="AX957" s="3"/>
      <c r="AY957" s="3"/>
      <c r="AZ957" s="3"/>
      <c r="BA957" s="3"/>
      <c r="BB957" s="3"/>
      <c r="BC957" s="3"/>
    </row>
    <row r="958" ht="15.75" customHeight="1">
      <c r="A958" s="12"/>
      <c r="B958" s="310"/>
      <c r="C958" s="310"/>
      <c r="D958" s="310"/>
      <c r="E958" s="310"/>
      <c r="F958" s="310"/>
      <c r="G958" s="310"/>
      <c r="H958" s="310"/>
      <c r="I958" s="310"/>
      <c r="J958" s="310"/>
      <c r="K958" s="310"/>
      <c r="L958" s="310"/>
      <c r="M958" s="310"/>
      <c r="N958" s="310"/>
      <c r="O958" s="310"/>
      <c r="P958" s="310"/>
      <c r="Q958" s="310"/>
      <c r="R958" s="310"/>
      <c r="S958" s="310"/>
      <c r="T958" s="310"/>
      <c r="U958" s="310"/>
      <c r="V958" s="310"/>
      <c r="W958" s="310"/>
      <c r="X958" s="310"/>
      <c r="Y958" s="310"/>
      <c r="Z958" s="310"/>
      <c r="AA958" s="310"/>
      <c r="AB958" s="310"/>
      <c r="AC958" s="310"/>
      <c r="AD958" s="310"/>
      <c r="AE958" s="310"/>
      <c r="AF958" s="310"/>
      <c r="AG958" s="310"/>
      <c r="AH958" s="310"/>
      <c r="AI958" s="310"/>
      <c r="AJ958" s="310"/>
      <c r="AK958" s="310"/>
      <c r="AL958" s="310"/>
      <c r="AM958" s="310"/>
      <c r="AN958" s="310"/>
      <c r="AO958" s="310"/>
      <c r="AP958" s="12"/>
      <c r="AQ958" s="3"/>
      <c r="AR958" s="3"/>
      <c r="AS958" s="3"/>
      <c r="AT958" s="3"/>
      <c r="AU958" s="3"/>
      <c r="AV958" s="3"/>
      <c r="AW958" s="3"/>
      <c r="AX958" s="3"/>
      <c r="AY958" s="3"/>
      <c r="AZ958" s="3"/>
      <c r="BA958" s="3"/>
      <c r="BB958" s="3"/>
      <c r="BC958" s="3"/>
    </row>
    <row r="959" ht="15.75" customHeight="1">
      <c r="A959" s="12"/>
      <c r="B959" s="310"/>
      <c r="C959" s="310"/>
      <c r="D959" s="310"/>
      <c r="E959" s="310"/>
      <c r="F959" s="310"/>
      <c r="G959" s="310"/>
      <c r="H959" s="310"/>
      <c r="I959" s="310"/>
      <c r="J959" s="310"/>
      <c r="K959" s="310"/>
      <c r="L959" s="310"/>
      <c r="M959" s="310"/>
      <c r="N959" s="310"/>
      <c r="O959" s="310"/>
      <c r="P959" s="310"/>
      <c r="Q959" s="310"/>
      <c r="R959" s="310"/>
      <c r="S959" s="310"/>
      <c r="T959" s="310"/>
      <c r="U959" s="310"/>
      <c r="V959" s="310"/>
      <c r="W959" s="310"/>
      <c r="X959" s="310"/>
      <c r="Y959" s="310"/>
      <c r="Z959" s="310"/>
      <c r="AA959" s="310"/>
      <c r="AB959" s="310"/>
      <c r="AC959" s="310"/>
      <c r="AD959" s="310"/>
      <c r="AE959" s="310"/>
      <c r="AF959" s="310"/>
      <c r="AG959" s="310"/>
      <c r="AH959" s="310"/>
      <c r="AI959" s="310"/>
      <c r="AJ959" s="310"/>
      <c r="AK959" s="310"/>
      <c r="AL959" s="310"/>
      <c r="AM959" s="310"/>
      <c r="AN959" s="310"/>
      <c r="AO959" s="310"/>
      <c r="AP959" s="12"/>
      <c r="AQ959" s="3"/>
      <c r="AR959" s="3"/>
      <c r="AS959" s="3"/>
      <c r="AT959" s="3"/>
      <c r="AU959" s="3"/>
      <c r="AV959" s="3"/>
      <c r="AW959" s="3"/>
      <c r="AX959" s="3"/>
      <c r="AY959" s="3"/>
      <c r="AZ959" s="3"/>
      <c r="BA959" s="3"/>
      <c r="BB959" s="3"/>
      <c r="BC959" s="3"/>
    </row>
    <row r="960" ht="15.75" customHeight="1">
      <c r="A960" s="12"/>
      <c r="B960" s="310"/>
      <c r="C960" s="310"/>
      <c r="D960" s="310"/>
      <c r="E960" s="310"/>
      <c r="F960" s="310"/>
      <c r="G960" s="310"/>
      <c r="H960" s="310"/>
      <c r="I960" s="310"/>
      <c r="J960" s="310"/>
      <c r="K960" s="310"/>
      <c r="L960" s="310"/>
      <c r="M960" s="310"/>
      <c r="N960" s="310"/>
      <c r="O960" s="310"/>
      <c r="P960" s="310"/>
      <c r="Q960" s="310"/>
      <c r="R960" s="310"/>
      <c r="S960" s="310"/>
      <c r="T960" s="310"/>
      <c r="U960" s="310"/>
      <c r="V960" s="310"/>
      <c r="W960" s="310"/>
      <c r="X960" s="310"/>
      <c r="Y960" s="310"/>
      <c r="Z960" s="310"/>
      <c r="AA960" s="310"/>
      <c r="AB960" s="310"/>
      <c r="AC960" s="310"/>
      <c r="AD960" s="310"/>
      <c r="AE960" s="310"/>
      <c r="AF960" s="310"/>
      <c r="AG960" s="310"/>
      <c r="AH960" s="310"/>
      <c r="AI960" s="310"/>
      <c r="AJ960" s="310"/>
      <c r="AK960" s="310"/>
      <c r="AL960" s="310"/>
      <c r="AM960" s="310"/>
      <c r="AN960" s="310"/>
      <c r="AO960" s="310"/>
      <c r="AP960" s="12"/>
      <c r="AQ960" s="3"/>
      <c r="AR960" s="3"/>
      <c r="AS960" s="3"/>
      <c r="AT960" s="3"/>
      <c r="AU960" s="3"/>
      <c r="AV960" s="3"/>
      <c r="AW960" s="3"/>
      <c r="AX960" s="3"/>
      <c r="AY960" s="3"/>
      <c r="AZ960" s="3"/>
      <c r="BA960" s="3"/>
      <c r="BB960" s="3"/>
      <c r="BC960" s="3"/>
    </row>
    <row r="961" ht="15.75" customHeight="1">
      <c r="A961" s="12"/>
      <c r="B961" s="310"/>
      <c r="C961" s="310"/>
      <c r="D961" s="310"/>
      <c r="E961" s="310"/>
      <c r="F961" s="310"/>
      <c r="G961" s="310"/>
      <c r="H961" s="310"/>
      <c r="I961" s="310"/>
      <c r="J961" s="310"/>
      <c r="K961" s="310"/>
      <c r="L961" s="310"/>
      <c r="M961" s="310"/>
      <c r="N961" s="310"/>
      <c r="O961" s="310"/>
      <c r="P961" s="310"/>
      <c r="Q961" s="310"/>
      <c r="R961" s="310"/>
      <c r="S961" s="310"/>
      <c r="T961" s="310"/>
      <c r="U961" s="310"/>
      <c r="V961" s="310"/>
      <c r="W961" s="310"/>
      <c r="X961" s="310"/>
      <c r="Y961" s="310"/>
      <c r="Z961" s="310"/>
      <c r="AA961" s="310"/>
      <c r="AB961" s="310"/>
      <c r="AC961" s="310"/>
      <c r="AD961" s="310"/>
      <c r="AE961" s="310"/>
      <c r="AF961" s="310"/>
      <c r="AG961" s="310"/>
      <c r="AH961" s="310"/>
      <c r="AI961" s="310"/>
      <c r="AJ961" s="310"/>
      <c r="AK961" s="310"/>
      <c r="AL961" s="310"/>
      <c r="AM961" s="310"/>
      <c r="AN961" s="310"/>
      <c r="AO961" s="310"/>
      <c r="AP961" s="12"/>
      <c r="AQ961" s="3"/>
      <c r="AR961" s="3"/>
      <c r="AS961" s="3"/>
      <c r="AT961" s="3"/>
      <c r="AU961" s="3"/>
      <c r="AV961" s="3"/>
      <c r="AW961" s="3"/>
      <c r="AX961" s="3"/>
      <c r="AY961" s="3"/>
      <c r="AZ961" s="3"/>
      <c r="BA961" s="3"/>
      <c r="BB961" s="3"/>
      <c r="BC961" s="3"/>
    </row>
    <row r="962" ht="15.75" customHeight="1">
      <c r="A962" s="12"/>
      <c r="B962" s="310"/>
      <c r="C962" s="310"/>
      <c r="D962" s="310"/>
      <c r="E962" s="310"/>
      <c r="F962" s="310"/>
      <c r="G962" s="310"/>
      <c r="H962" s="310"/>
      <c r="I962" s="310"/>
      <c r="J962" s="310"/>
      <c r="K962" s="310"/>
      <c r="L962" s="310"/>
      <c r="M962" s="310"/>
      <c r="N962" s="310"/>
      <c r="O962" s="310"/>
      <c r="P962" s="310"/>
      <c r="Q962" s="310"/>
      <c r="R962" s="310"/>
      <c r="S962" s="310"/>
      <c r="T962" s="310"/>
      <c r="U962" s="310"/>
      <c r="V962" s="310"/>
      <c r="W962" s="310"/>
      <c r="X962" s="310"/>
      <c r="Y962" s="310"/>
      <c r="Z962" s="310"/>
      <c r="AA962" s="310"/>
      <c r="AB962" s="310"/>
      <c r="AC962" s="310"/>
      <c r="AD962" s="310"/>
      <c r="AE962" s="310"/>
      <c r="AF962" s="310"/>
      <c r="AG962" s="310"/>
      <c r="AH962" s="310"/>
      <c r="AI962" s="310"/>
      <c r="AJ962" s="310"/>
      <c r="AK962" s="310"/>
      <c r="AL962" s="310"/>
      <c r="AM962" s="310"/>
      <c r="AN962" s="310"/>
      <c r="AO962" s="310"/>
      <c r="AP962" s="12"/>
      <c r="AQ962" s="3"/>
      <c r="AR962" s="3"/>
      <c r="AS962" s="3"/>
      <c r="AT962" s="3"/>
      <c r="AU962" s="3"/>
      <c r="AV962" s="3"/>
      <c r="AW962" s="3"/>
      <c r="AX962" s="3"/>
      <c r="AY962" s="3"/>
      <c r="AZ962" s="3"/>
      <c r="BA962" s="3"/>
      <c r="BB962" s="3"/>
      <c r="BC962" s="3"/>
    </row>
    <row r="963" ht="15.75" customHeight="1">
      <c r="A963" s="12"/>
      <c r="B963" s="310"/>
      <c r="C963" s="310"/>
      <c r="D963" s="310"/>
      <c r="E963" s="310"/>
      <c r="F963" s="310"/>
      <c r="G963" s="310"/>
      <c r="H963" s="310"/>
      <c r="I963" s="310"/>
      <c r="J963" s="310"/>
      <c r="K963" s="310"/>
      <c r="L963" s="310"/>
      <c r="M963" s="310"/>
      <c r="N963" s="310"/>
      <c r="O963" s="310"/>
      <c r="P963" s="310"/>
      <c r="Q963" s="310"/>
      <c r="R963" s="310"/>
      <c r="S963" s="310"/>
      <c r="T963" s="310"/>
      <c r="U963" s="310"/>
      <c r="V963" s="310"/>
      <c r="W963" s="310"/>
      <c r="X963" s="310"/>
      <c r="Y963" s="310"/>
      <c r="Z963" s="310"/>
      <c r="AA963" s="310"/>
      <c r="AB963" s="310"/>
      <c r="AC963" s="310"/>
      <c r="AD963" s="310"/>
      <c r="AE963" s="310"/>
      <c r="AF963" s="310"/>
      <c r="AG963" s="310"/>
      <c r="AH963" s="310"/>
      <c r="AI963" s="310"/>
      <c r="AJ963" s="310"/>
      <c r="AK963" s="310"/>
      <c r="AL963" s="310"/>
      <c r="AM963" s="310"/>
      <c r="AN963" s="310"/>
      <c r="AO963" s="310"/>
      <c r="AP963" s="12"/>
      <c r="AQ963" s="3"/>
      <c r="AR963" s="3"/>
      <c r="AS963" s="3"/>
      <c r="AT963" s="3"/>
      <c r="AU963" s="3"/>
      <c r="AV963" s="3"/>
      <c r="AW963" s="3"/>
      <c r="AX963" s="3"/>
      <c r="AY963" s="3"/>
      <c r="AZ963" s="3"/>
      <c r="BA963" s="3"/>
      <c r="BB963" s="3"/>
      <c r="BC963" s="3"/>
    </row>
    <row r="964" ht="15.75" customHeight="1">
      <c r="A964" s="12"/>
      <c r="B964" s="310"/>
      <c r="C964" s="310"/>
      <c r="D964" s="310"/>
      <c r="E964" s="310"/>
      <c r="F964" s="310"/>
      <c r="G964" s="310"/>
      <c r="H964" s="310"/>
      <c r="I964" s="310"/>
      <c r="J964" s="310"/>
      <c r="K964" s="310"/>
      <c r="L964" s="310"/>
      <c r="M964" s="310"/>
      <c r="N964" s="310"/>
      <c r="O964" s="310"/>
      <c r="P964" s="310"/>
      <c r="Q964" s="310"/>
      <c r="R964" s="310"/>
      <c r="S964" s="310"/>
      <c r="T964" s="310"/>
      <c r="U964" s="310"/>
      <c r="V964" s="310"/>
      <c r="W964" s="310"/>
      <c r="X964" s="310"/>
      <c r="Y964" s="310"/>
      <c r="Z964" s="310"/>
      <c r="AA964" s="310"/>
      <c r="AB964" s="310"/>
      <c r="AC964" s="310"/>
      <c r="AD964" s="310"/>
      <c r="AE964" s="310"/>
      <c r="AF964" s="310"/>
      <c r="AG964" s="310"/>
      <c r="AH964" s="310"/>
      <c r="AI964" s="310"/>
      <c r="AJ964" s="310"/>
      <c r="AK964" s="310"/>
      <c r="AL964" s="310"/>
      <c r="AM964" s="310"/>
      <c r="AN964" s="310"/>
      <c r="AO964" s="310"/>
      <c r="AP964" s="12"/>
      <c r="AQ964" s="3"/>
      <c r="AR964" s="3"/>
      <c r="AS964" s="3"/>
      <c r="AT964" s="3"/>
      <c r="AU964" s="3"/>
      <c r="AV964" s="3"/>
      <c r="AW964" s="3"/>
      <c r="AX964" s="3"/>
      <c r="AY964" s="3"/>
      <c r="AZ964" s="3"/>
      <c r="BA964" s="3"/>
      <c r="BB964" s="3"/>
      <c r="BC964" s="3"/>
    </row>
    <row r="965" ht="15.75" customHeight="1">
      <c r="A965" s="12"/>
      <c r="B965" s="310"/>
      <c r="C965" s="310"/>
      <c r="D965" s="310"/>
      <c r="E965" s="310"/>
      <c r="F965" s="310"/>
      <c r="G965" s="310"/>
      <c r="H965" s="310"/>
      <c r="I965" s="310"/>
      <c r="J965" s="310"/>
      <c r="K965" s="310"/>
      <c r="L965" s="310"/>
      <c r="M965" s="310"/>
      <c r="N965" s="310"/>
      <c r="O965" s="310"/>
      <c r="P965" s="310"/>
      <c r="Q965" s="310"/>
      <c r="R965" s="310"/>
      <c r="S965" s="310"/>
      <c r="T965" s="310"/>
      <c r="U965" s="310"/>
      <c r="V965" s="310"/>
      <c r="W965" s="310"/>
      <c r="X965" s="310"/>
      <c r="Y965" s="310"/>
      <c r="Z965" s="310"/>
      <c r="AA965" s="310"/>
      <c r="AB965" s="310"/>
      <c r="AC965" s="310"/>
      <c r="AD965" s="310"/>
      <c r="AE965" s="310"/>
      <c r="AF965" s="310"/>
      <c r="AG965" s="310"/>
      <c r="AH965" s="310"/>
      <c r="AI965" s="310"/>
      <c r="AJ965" s="310"/>
      <c r="AK965" s="310"/>
      <c r="AL965" s="310"/>
      <c r="AM965" s="310"/>
      <c r="AN965" s="310"/>
      <c r="AO965" s="310"/>
      <c r="AP965" s="12"/>
      <c r="AQ965" s="3"/>
      <c r="AR965" s="3"/>
      <c r="AS965" s="3"/>
      <c r="AT965" s="3"/>
      <c r="AU965" s="3"/>
      <c r="AV965" s="3"/>
      <c r="AW965" s="3"/>
      <c r="AX965" s="3"/>
      <c r="AY965" s="3"/>
      <c r="AZ965" s="3"/>
      <c r="BA965" s="3"/>
      <c r="BB965" s="3"/>
      <c r="BC965" s="3"/>
    </row>
    <row r="966" ht="15.75" customHeight="1">
      <c r="A966" s="12"/>
      <c r="B966" s="310"/>
      <c r="C966" s="310"/>
      <c r="D966" s="310"/>
      <c r="E966" s="310"/>
      <c r="F966" s="310"/>
      <c r="G966" s="310"/>
      <c r="H966" s="310"/>
      <c r="I966" s="310"/>
      <c r="J966" s="310"/>
      <c r="K966" s="310"/>
      <c r="L966" s="310"/>
      <c r="M966" s="310"/>
      <c r="N966" s="310"/>
      <c r="O966" s="310"/>
      <c r="P966" s="310"/>
      <c r="Q966" s="310"/>
      <c r="R966" s="310"/>
      <c r="S966" s="310"/>
      <c r="T966" s="310"/>
      <c r="U966" s="310"/>
      <c r="V966" s="310"/>
      <c r="W966" s="310"/>
      <c r="X966" s="310"/>
      <c r="Y966" s="310"/>
      <c r="Z966" s="310"/>
      <c r="AA966" s="310"/>
      <c r="AB966" s="310"/>
      <c r="AC966" s="310"/>
      <c r="AD966" s="310"/>
      <c r="AE966" s="310"/>
      <c r="AF966" s="310"/>
      <c r="AG966" s="310"/>
      <c r="AH966" s="310"/>
      <c r="AI966" s="310"/>
      <c r="AJ966" s="310"/>
      <c r="AK966" s="310"/>
      <c r="AL966" s="310"/>
      <c r="AM966" s="310"/>
      <c r="AN966" s="310"/>
      <c r="AO966" s="310"/>
      <c r="AP966" s="12"/>
      <c r="AQ966" s="3"/>
      <c r="AR966" s="3"/>
      <c r="AS966" s="3"/>
      <c r="AT966" s="3"/>
      <c r="AU966" s="3"/>
      <c r="AV966" s="3"/>
      <c r="AW966" s="3"/>
      <c r="AX966" s="3"/>
      <c r="AY966" s="3"/>
      <c r="AZ966" s="3"/>
      <c r="BA966" s="3"/>
      <c r="BB966" s="3"/>
      <c r="BC966" s="3"/>
    </row>
    <row r="967" ht="15.75" customHeight="1">
      <c r="A967" s="12"/>
      <c r="B967" s="310"/>
      <c r="C967" s="310"/>
      <c r="D967" s="310"/>
      <c r="E967" s="310"/>
      <c r="F967" s="310"/>
      <c r="G967" s="310"/>
      <c r="H967" s="310"/>
      <c r="I967" s="310"/>
      <c r="J967" s="310"/>
      <c r="K967" s="310"/>
      <c r="L967" s="310"/>
      <c r="M967" s="310"/>
      <c r="N967" s="310"/>
      <c r="O967" s="310"/>
      <c r="P967" s="310"/>
      <c r="Q967" s="310"/>
      <c r="R967" s="310"/>
      <c r="S967" s="310"/>
      <c r="T967" s="310"/>
      <c r="U967" s="310"/>
      <c r="V967" s="310"/>
      <c r="W967" s="310"/>
      <c r="X967" s="310"/>
      <c r="Y967" s="310"/>
      <c r="Z967" s="310"/>
      <c r="AA967" s="310"/>
      <c r="AB967" s="310"/>
      <c r="AC967" s="310"/>
      <c r="AD967" s="310"/>
      <c r="AE967" s="310"/>
      <c r="AF967" s="310"/>
      <c r="AG967" s="310"/>
      <c r="AH967" s="310"/>
      <c r="AI967" s="310"/>
      <c r="AJ967" s="310"/>
      <c r="AK967" s="310"/>
      <c r="AL967" s="310"/>
      <c r="AM967" s="310"/>
      <c r="AN967" s="310"/>
      <c r="AO967" s="310"/>
      <c r="AP967" s="12"/>
      <c r="AQ967" s="3"/>
      <c r="AR967" s="3"/>
      <c r="AS967" s="3"/>
      <c r="AT967" s="3"/>
      <c r="AU967" s="3"/>
      <c r="AV967" s="3"/>
      <c r="AW967" s="3"/>
      <c r="AX967" s="3"/>
      <c r="AY967" s="3"/>
      <c r="AZ967" s="3"/>
      <c r="BA967" s="3"/>
      <c r="BB967" s="3"/>
      <c r="BC967" s="3"/>
    </row>
    <row r="968" ht="15.75" customHeight="1">
      <c r="A968" s="12"/>
      <c r="B968" s="310"/>
      <c r="C968" s="310"/>
      <c r="D968" s="310"/>
      <c r="E968" s="310"/>
      <c r="F968" s="310"/>
      <c r="G968" s="310"/>
      <c r="H968" s="310"/>
      <c r="I968" s="310"/>
      <c r="J968" s="310"/>
      <c r="K968" s="310"/>
      <c r="L968" s="310"/>
      <c r="M968" s="310"/>
      <c r="N968" s="310"/>
      <c r="O968" s="310"/>
      <c r="P968" s="310"/>
      <c r="Q968" s="310"/>
      <c r="R968" s="310"/>
      <c r="S968" s="310"/>
      <c r="T968" s="310"/>
      <c r="U968" s="310"/>
      <c r="V968" s="310"/>
      <c r="W968" s="310"/>
      <c r="X968" s="310"/>
      <c r="Y968" s="310"/>
      <c r="Z968" s="310"/>
      <c r="AA968" s="310"/>
      <c r="AB968" s="310"/>
      <c r="AC968" s="310"/>
      <c r="AD968" s="310"/>
      <c r="AE968" s="310"/>
      <c r="AF968" s="310"/>
      <c r="AG968" s="310"/>
      <c r="AH968" s="310"/>
      <c r="AI968" s="310"/>
      <c r="AJ968" s="310"/>
      <c r="AK968" s="310"/>
      <c r="AL968" s="310"/>
      <c r="AM968" s="310"/>
      <c r="AN968" s="310"/>
      <c r="AO968" s="310"/>
      <c r="AP968" s="12"/>
      <c r="AQ968" s="3"/>
      <c r="AR968" s="3"/>
      <c r="AS968" s="3"/>
      <c r="AT968" s="3"/>
      <c r="AU968" s="3"/>
      <c r="AV968" s="3"/>
      <c r="AW968" s="3"/>
      <c r="AX968" s="3"/>
      <c r="AY968" s="3"/>
      <c r="AZ968" s="3"/>
      <c r="BA968" s="3"/>
      <c r="BB968" s="3"/>
      <c r="BC968" s="3"/>
    </row>
    <row r="969" ht="15.75" customHeight="1">
      <c r="A969" s="12"/>
      <c r="B969" s="310"/>
      <c r="C969" s="310"/>
      <c r="D969" s="310"/>
      <c r="E969" s="310"/>
      <c r="F969" s="310"/>
      <c r="G969" s="310"/>
      <c r="H969" s="310"/>
      <c r="I969" s="310"/>
      <c r="J969" s="310"/>
      <c r="K969" s="310"/>
      <c r="L969" s="310"/>
      <c r="M969" s="310"/>
      <c r="N969" s="310"/>
      <c r="O969" s="310"/>
      <c r="P969" s="310"/>
      <c r="Q969" s="310"/>
      <c r="R969" s="310"/>
      <c r="S969" s="310"/>
      <c r="T969" s="310"/>
      <c r="U969" s="310"/>
      <c r="V969" s="310"/>
      <c r="W969" s="310"/>
      <c r="X969" s="310"/>
      <c r="Y969" s="310"/>
      <c r="Z969" s="310"/>
      <c r="AA969" s="310"/>
      <c r="AB969" s="310"/>
      <c r="AC969" s="310"/>
      <c r="AD969" s="310"/>
      <c r="AE969" s="310"/>
      <c r="AF969" s="310"/>
      <c r="AG969" s="310"/>
      <c r="AH969" s="310"/>
      <c r="AI969" s="310"/>
      <c r="AJ969" s="310"/>
      <c r="AK969" s="310"/>
      <c r="AL969" s="310"/>
      <c r="AM969" s="310"/>
      <c r="AN969" s="310"/>
      <c r="AO969" s="310"/>
      <c r="AP969" s="12"/>
      <c r="AQ969" s="3"/>
      <c r="AR969" s="3"/>
      <c r="AS969" s="3"/>
      <c r="AT969" s="3"/>
      <c r="AU969" s="3"/>
      <c r="AV969" s="3"/>
      <c r="AW969" s="3"/>
      <c r="AX969" s="3"/>
      <c r="AY969" s="3"/>
      <c r="AZ969" s="3"/>
      <c r="BA969" s="3"/>
      <c r="BB969" s="3"/>
      <c r="BC969" s="3"/>
    </row>
    <row r="970" ht="15.75" customHeight="1">
      <c r="A970" s="12"/>
      <c r="B970" s="310"/>
      <c r="C970" s="310"/>
      <c r="D970" s="310"/>
      <c r="E970" s="310"/>
      <c r="F970" s="310"/>
      <c r="G970" s="310"/>
      <c r="H970" s="310"/>
      <c r="I970" s="310"/>
      <c r="J970" s="310"/>
      <c r="K970" s="310"/>
      <c r="L970" s="310"/>
      <c r="M970" s="310"/>
      <c r="N970" s="310"/>
      <c r="O970" s="310"/>
      <c r="P970" s="310"/>
      <c r="Q970" s="310"/>
      <c r="R970" s="310"/>
      <c r="S970" s="310"/>
      <c r="T970" s="310"/>
      <c r="U970" s="310"/>
      <c r="V970" s="310"/>
      <c r="W970" s="310"/>
      <c r="X970" s="310"/>
      <c r="Y970" s="310"/>
      <c r="Z970" s="310"/>
      <c r="AA970" s="310"/>
      <c r="AB970" s="310"/>
      <c r="AC970" s="310"/>
      <c r="AD970" s="310"/>
      <c r="AE970" s="310"/>
      <c r="AF970" s="310"/>
      <c r="AG970" s="310"/>
      <c r="AH970" s="310"/>
      <c r="AI970" s="310"/>
      <c r="AJ970" s="310"/>
      <c r="AK970" s="310"/>
      <c r="AL970" s="310"/>
      <c r="AM970" s="310"/>
      <c r="AN970" s="310"/>
      <c r="AO970" s="310"/>
      <c r="AP970" s="12"/>
      <c r="AQ970" s="3"/>
      <c r="AR970" s="3"/>
      <c r="AS970" s="3"/>
      <c r="AT970" s="3"/>
      <c r="AU970" s="3"/>
      <c r="AV970" s="3"/>
      <c r="AW970" s="3"/>
      <c r="AX970" s="3"/>
      <c r="AY970" s="3"/>
      <c r="AZ970" s="3"/>
      <c r="BA970" s="3"/>
      <c r="BB970" s="3"/>
      <c r="BC970" s="3"/>
    </row>
    <row r="971" ht="15.75" customHeight="1">
      <c r="A971" s="12"/>
      <c r="B971" s="310"/>
      <c r="C971" s="310"/>
      <c r="D971" s="310"/>
      <c r="E971" s="310"/>
      <c r="F971" s="310"/>
      <c r="G971" s="310"/>
      <c r="H971" s="310"/>
      <c r="I971" s="310"/>
      <c r="J971" s="310"/>
      <c r="K971" s="310"/>
      <c r="L971" s="310"/>
      <c r="M971" s="310"/>
      <c r="N971" s="310"/>
      <c r="O971" s="310"/>
      <c r="P971" s="310"/>
      <c r="Q971" s="310"/>
      <c r="R971" s="310"/>
      <c r="S971" s="310"/>
      <c r="T971" s="310"/>
      <c r="U971" s="310"/>
      <c r="V971" s="310"/>
      <c r="W971" s="310"/>
      <c r="X971" s="310"/>
      <c r="Y971" s="310"/>
      <c r="Z971" s="310"/>
      <c r="AA971" s="310"/>
      <c r="AB971" s="310"/>
      <c r="AC971" s="310"/>
      <c r="AD971" s="310"/>
      <c r="AE971" s="310"/>
      <c r="AF971" s="310"/>
      <c r="AG971" s="310"/>
      <c r="AH971" s="310"/>
      <c r="AI971" s="310"/>
      <c r="AJ971" s="310"/>
      <c r="AK971" s="310"/>
      <c r="AL971" s="310"/>
      <c r="AM971" s="310"/>
      <c r="AN971" s="310"/>
      <c r="AO971" s="310"/>
      <c r="AP971" s="12"/>
      <c r="AQ971" s="3"/>
      <c r="AR971" s="3"/>
      <c r="AS971" s="3"/>
      <c r="AT971" s="3"/>
      <c r="AU971" s="3"/>
      <c r="AV971" s="3"/>
      <c r="AW971" s="3"/>
      <c r="AX971" s="3"/>
      <c r="AY971" s="3"/>
      <c r="AZ971" s="3"/>
      <c r="BA971" s="3"/>
      <c r="BB971" s="3"/>
      <c r="BC971" s="3"/>
    </row>
    <row r="972" ht="15.75" customHeight="1">
      <c r="A972" s="12"/>
      <c r="B972" s="310"/>
      <c r="C972" s="310"/>
      <c r="D972" s="310"/>
      <c r="E972" s="310"/>
      <c r="F972" s="310"/>
      <c r="G972" s="310"/>
      <c r="H972" s="310"/>
      <c r="I972" s="310"/>
      <c r="J972" s="310"/>
      <c r="K972" s="310"/>
      <c r="L972" s="310"/>
      <c r="M972" s="310"/>
      <c r="N972" s="310"/>
      <c r="O972" s="310"/>
      <c r="P972" s="310"/>
      <c r="Q972" s="310"/>
      <c r="R972" s="310"/>
      <c r="S972" s="310"/>
      <c r="T972" s="310"/>
      <c r="U972" s="310"/>
      <c r="V972" s="310"/>
      <c r="W972" s="310"/>
      <c r="X972" s="310"/>
      <c r="Y972" s="310"/>
      <c r="Z972" s="310"/>
      <c r="AA972" s="310"/>
      <c r="AB972" s="310"/>
      <c r="AC972" s="310"/>
      <c r="AD972" s="310"/>
      <c r="AE972" s="310"/>
      <c r="AF972" s="310"/>
      <c r="AG972" s="310"/>
      <c r="AH972" s="310"/>
      <c r="AI972" s="310"/>
      <c r="AJ972" s="310"/>
      <c r="AK972" s="310"/>
      <c r="AL972" s="310"/>
      <c r="AM972" s="310"/>
      <c r="AN972" s="310"/>
      <c r="AO972" s="310"/>
      <c r="AP972" s="12"/>
      <c r="AQ972" s="3"/>
      <c r="AR972" s="3"/>
      <c r="AS972" s="3"/>
      <c r="AT972" s="3"/>
      <c r="AU972" s="3"/>
      <c r="AV972" s="3"/>
      <c r="AW972" s="3"/>
      <c r="AX972" s="3"/>
      <c r="AY972" s="3"/>
      <c r="AZ972" s="3"/>
      <c r="BA972" s="3"/>
      <c r="BB972" s="3"/>
      <c r="BC972" s="3"/>
    </row>
    <row r="973" ht="15.75" customHeight="1">
      <c r="A973" s="12"/>
      <c r="B973" s="310"/>
      <c r="C973" s="310"/>
      <c r="D973" s="310"/>
      <c r="E973" s="310"/>
      <c r="F973" s="310"/>
      <c r="G973" s="310"/>
      <c r="H973" s="310"/>
      <c r="I973" s="310"/>
      <c r="J973" s="310"/>
      <c r="K973" s="310"/>
      <c r="L973" s="310"/>
      <c r="M973" s="310"/>
      <c r="N973" s="310"/>
      <c r="O973" s="310"/>
      <c r="P973" s="310"/>
      <c r="Q973" s="310"/>
      <c r="R973" s="310"/>
      <c r="S973" s="310"/>
      <c r="T973" s="310"/>
      <c r="U973" s="310"/>
      <c r="V973" s="310"/>
      <c r="W973" s="310"/>
      <c r="X973" s="310"/>
      <c r="Y973" s="310"/>
      <c r="Z973" s="310"/>
      <c r="AA973" s="310"/>
      <c r="AB973" s="310"/>
      <c r="AC973" s="310"/>
      <c r="AD973" s="310"/>
      <c r="AE973" s="310"/>
      <c r="AF973" s="310"/>
      <c r="AG973" s="310"/>
      <c r="AH973" s="310"/>
      <c r="AI973" s="310"/>
      <c r="AJ973" s="310"/>
      <c r="AK973" s="310"/>
      <c r="AL973" s="310"/>
      <c r="AM973" s="310"/>
      <c r="AN973" s="310"/>
      <c r="AO973" s="310"/>
      <c r="AP973" s="12"/>
      <c r="AQ973" s="3"/>
      <c r="AR973" s="3"/>
      <c r="AS973" s="3"/>
      <c r="AT973" s="3"/>
      <c r="AU973" s="3"/>
      <c r="AV973" s="3"/>
      <c r="AW973" s="3"/>
      <c r="AX973" s="3"/>
      <c r="AY973" s="3"/>
      <c r="AZ973" s="3"/>
      <c r="BA973" s="3"/>
      <c r="BB973" s="3"/>
      <c r="BC973" s="3"/>
    </row>
    <row r="974" ht="15.75" customHeight="1">
      <c r="A974" s="12"/>
      <c r="B974" s="310"/>
      <c r="C974" s="310"/>
      <c r="D974" s="310"/>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c r="AA974" s="310"/>
      <c r="AB974" s="310"/>
      <c r="AC974" s="310"/>
      <c r="AD974" s="310"/>
      <c r="AE974" s="310"/>
      <c r="AF974" s="310"/>
      <c r="AG974" s="310"/>
      <c r="AH974" s="310"/>
      <c r="AI974" s="310"/>
      <c r="AJ974" s="310"/>
      <c r="AK974" s="310"/>
      <c r="AL974" s="310"/>
      <c r="AM974" s="310"/>
      <c r="AN974" s="310"/>
      <c r="AO974" s="310"/>
      <c r="AP974" s="12"/>
      <c r="AQ974" s="3"/>
      <c r="AR974" s="3"/>
      <c r="AS974" s="3"/>
      <c r="AT974" s="3"/>
      <c r="AU974" s="3"/>
      <c r="AV974" s="3"/>
      <c r="AW974" s="3"/>
      <c r="AX974" s="3"/>
      <c r="AY974" s="3"/>
      <c r="AZ974" s="3"/>
      <c r="BA974" s="3"/>
      <c r="BB974" s="3"/>
      <c r="BC974" s="3"/>
    </row>
    <row r="975" ht="15.75" customHeight="1">
      <c r="A975" s="12"/>
      <c r="B975" s="310"/>
      <c r="C975" s="310"/>
      <c r="D975" s="310"/>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c r="AA975" s="310"/>
      <c r="AB975" s="310"/>
      <c r="AC975" s="310"/>
      <c r="AD975" s="310"/>
      <c r="AE975" s="310"/>
      <c r="AF975" s="310"/>
      <c r="AG975" s="310"/>
      <c r="AH975" s="310"/>
      <c r="AI975" s="310"/>
      <c r="AJ975" s="310"/>
      <c r="AK975" s="310"/>
      <c r="AL975" s="310"/>
      <c r="AM975" s="310"/>
      <c r="AN975" s="310"/>
      <c r="AO975" s="310"/>
      <c r="AP975" s="12"/>
      <c r="AQ975" s="3"/>
      <c r="AR975" s="3"/>
      <c r="AS975" s="3"/>
      <c r="AT975" s="3"/>
      <c r="AU975" s="3"/>
      <c r="AV975" s="3"/>
      <c r="AW975" s="3"/>
      <c r="AX975" s="3"/>
      <c r="AY975" s="3"/>
      <c r="AZ975" s="3"/>
      <c r="BA975" s="3"/>
      <c r="BB975" s="3"/>
      <c r="BC975" s="3"/>
    </row>
    <row r="976" ht="15.75" customHeight="1">
      <c r="A976" s="12"/>
      <c r="B976" s="310"/>
      <c r="C976" s="310"/>
      <c r="D976" s="310"/>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c r="AA976" s="310"/>
      <c r="AB976" s="310"/>
      <c r="AC976" s="310"/>
      <c r="AD976" s="310"/>
      <c r="AE976" s="310"/>
      <c r="AF976" s="310"/>
      <c r="AG976" s="310"/>
      <c r="AH976" s="310"/>
      <c r="AI976" s="310"/>
      <c r="AJ976" s="310"/>
      <c r="AK976" s="310"/>
      <c r="AL976" s="310"/>
      <c r="AM976" s="310"/>
      <c r="AN976" s="310"/>
      <c r="AO976" s="310"/>
      <c r="AP976" s="12"/>
      <c r="AQ976" s="3"/>
      <c r="AR976" s="3"/>
      <c r="AS976" s="3"/>
      <c r="AT976" s="3"/>
      <c r="AU976" s="3"/>
      <c r="AV976" s="3"/>
      <c r="AW976" s="3"/>
      <c r="AX976" s="3"/>
      <c r="AY976" s="3"/>
      <c r="AZ976" s="3"/>
      <c r="BA976" s="3"/>
      <c r="BB976" s="3"/>
      <c r="BC976" s="3"/>
    </row>
    <row r="977" ht="15.75" customHeight="1">
      <c r="A977" s="12"/>
      <c r="B977" s="310"/>
      <c r="C977" s="310"/>
      <c r="D977" s="310"/>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c r="AA977" s="310"/>
      <c r="AB977" s="310"/>
      <c r="AC977" s="310"/>
      <c r="AD977" s="310"/>
      <c r="AE977" s="310"/>
      <c r="AF977" s="310"/>
      <c r="AG977" s="310"/>
      <c r="AH977" s="310"/>
      <c r="AI977" s="310"/>
      <c r="AJ977" s="310"/>
      <c r="AK977" s="310"/>
      <c r="AL977" s="310"/>
      <c r="AM977" s="310"/>
      <c r="AN977" s="310"/>
      <c r="AO977" s="310"/>
      <c r="AP977" s="12"/>
      <c r="AQ977" s="3"/>
      <c r="AR977" s="3"/>
      <c r="AS977" s="3"/>
      <c r="AT977" s="3"/>
      <c r="AU977" s="3"/>
      <c r="AV977" s="3"/>
      <c r="AW977" s="3"/>
      <c r="AX977" s="3"/>
      <c r="AY977" s="3"/>
      <c r="AZ977" s="3"/>
      <c r="BA977" s="3"/>
      <c r="BB977" s="3"/>
      <c r="BC977" s="3"/>
    </row>
    <row r="978" ht="15.75" customHeight="1">
      <c r="A978" s="12"/>
      <c r="B978" s="310"/>
      <c r="C978" s="310"/>
      <c r="D978" s="310"/>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c r="AA978" s="310"/>
      <c r="AB978" s="310"/>
      <c r="AC978" s="310"/>
      <c r="AD978" s="310"/>
      <c r="AE978" s="310"/>
      <c r="AF978" s="310"/>
      <c r="AG978" s="310"/>
      <c r="AH978" s="310"/>
      <c r="AI978" s="310"/>
      <c r="AJ978" s="310"/>
      <c r="AK978" s="310"/>
      <c r="AL978" s="310"/>
      <c r="AM978" s="310"/>
      <c r="AN978" s="310"/>
      <c r="AO978" s="310"/>
      <c r="AP978" s="12"/>
      <c r="AQ978" s="3"/>
      <c r="AR978" s="3"/>
      <c r="AS978" s="3"/>
      <c r="AT978" s="3"/>
      <c r="AU978" s="3"/>
      <c r="AV978" s="3"/>
      <c r="AW978" s="3"/>
      <c r="AX978" s="3"/>
      <c r="AY978" s="3"/>
      <c r="AZ978" s="3"/>
      <c r="BA978" s="3"/>
      <c r="BB978" s="3"/>
      <c r="BC978" s="3"/>
    </row>
    <row r="979" ht="15.75" customHeight="1">
      <c r="A979" s="12"/>
      <c r="B979" s="310"/>
      <c r="C979" s="310"/>
      <c r="D979" s="310"/>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c r="AA979" s="310"/>
      <c r="AB979" s="310"/>
      <c r="AC979" s="310"/>
      <c r="AD979" s="310"/>
      <c r="AE979" s="310"/>
      <c r="AF979" s="310"/>
      <c r="AG979" s="310"/>
      <c r="AH979" s="310"/>
      <c r="AI979" s="310"/>
      <c r="AJ979" s="310"/>
      <c r="AK979" s="310"/>
      <c r="AL979" s="310"/>
      <c r="AM979" s="310"/>
      <c r="AN979" s="310"/>
      <c r="AO979" s="310"/>
      <c r="AP979" s="12"/>
      <c r="AQ979" s="3"/>
      <c r="AR979" s="3"/>
      <c r="AS979" s="3"/>
      <c r="AT979" s="3"/>
      <c r="AU979" s="3"/>
      <c r="AV979" s="3"/>
      <c r="AW979" s="3"/>
      <c r="AX979" s="3"/>
      <c r="AY979" s="3"/>
      <c r="AZ979" s="3"/>
      <c r="BA979" s="3"/>
      <c r="BB979" s="3"/>
      <c r="BC979" s="3"/>
    </row>
    <row r="980" ht="15.75" customHeight="1">
      <c r="A980" s="12"/>
      <c r="B980" s="310"/>
      <c r="C980" s="310"/>
      <c r="D980" s="310"/>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c r="AA980" s="310"/>
      <c r="AB980" s="310"/>
      <c r="AC980" s="310"/>
      <c r="AD980" s="310"/>
      <c r="AE980" s="310"/>
      <c r="AF980" s="310"/>
      <c r="AG980" s="310"/>
      <c r="AH980" s="310"/>
      <c r="AI980" s="310"/>
      <c r="AJ980" s="310"/>
      <c r="AK980" s="310"/>
      <c r="AL980" s="310"/>
      <c r="AM980" s="310"/>
      <c r="AN980" s="310"/>
      <c r="AO980" s="310"/>
      <c r="AP980" s="12"/>
      <c r="AQ980" s="3"/>
      <c r="AR980" s="3"/>
      <c r="AS980" s="3"/>
      <c r="AT980" s="3"/>
      <c r="AU980" s="3"/>
      <c r="AV980" s="3"/>
      <c r="AW980" s="3"/>
      <c r="AX980" s="3"/>
      <c r="AY980" s="3"/>
      <c r="AZ980" s="3"/>
      <c r="BA980" s="3"/>
      <c r="BB980" s="3"/>
      <c r="BC980" s="3"/>
    </row>
    <row r="981" ht="15.75" customHeight="1">
      <c r="A981" s="12"/>
      <c r="B981" s="310"/>
      <c r="C981" s="310"/>
      <c r="D981" s="310"/>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c r="AA981" s="310"/>
      <c r="AB981" s="310"/>
      <c r="AC981" s="310"/>
      <c r="AD981" s="310"/>
      <c r="AE981" s="310"/>
      <c r="AF981" s="310"/>
      <c r="AG981" s="310"/>
      <c r="AH981" s="310"/>
      <c r="AI981" s="310"/>
      <c r="AJ981" s="310"/>
      <c r="AK981" s="310"/>
      <c r="AL981" s="310"/>
      <c r="AM981" s="310"/>
      <c r="AN981" s="310"/>
      <c r="AO981" s="310"/>
      <c r="AP981" s="12"/>
      <c r="AQ981" s="3"/>
      <c r="AR981" s="3"/>
      <c r="AS981" s="3"/>
      <c r="AT981" s="3"/>
      <c r="AU981" s="3"/>
      <c r="AV981" s="3"/>
      <c r="AW981" s="3"/>
      <c r="AX981" s="3"/>
      <c r="AY981" s="3"/>
      <c r="AZ981" s="3"/>
      <c r="BA981" s="3"/>
      <c r="BB981" s="3"/>
      <c r="BC981" s="3"/>
    </row>
    <row r="982" ht="15.75" customHeight="1">
      <c r="A982" s="12"/>
      <c r="B982" s="310"/>
      <c r="C982" s="310"/>
      <c r="D982" s="310"/>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c r="AA982" s="310"/>
      <c r="AB982" s="310"/>
      <c r="AC982" s="310"/>
      <c r="AD982" s="310"/>
      <c r="AE982" s="310"/>
      <c r="AF982" s="310"/>
      <c r="AG982" s="310"/>
      <c r="AH982" s="310"/>
      <c r="AI982" s="310"/>
      <c r="AJ982" s="310"/>
      <c r="AK982" s="310"/>
      <c r="AL982" s="310"/>
      <c r="AM982" s="310"/>
      <c r="AN982" s="310"/>
      <c r="AO982" s="310"/>
      <c r="AP982" s="12"/>
      <c r="AQ982" s="3"/>
      <c r="AR982" s="3"/>
      <c r="AS982" s="3"/>
      <c r="AT982" s="3"/>
      <c r="AU982" s="3"/>
      <c r="AV982" s="3"/>
      <c r="AW982" s="3"/>
      <c r="AX982" s="3"/>
      <c r="AY982" s="3"/>
      <c r="AZ982" s="3"/>
      <c r="BA982" s="3"/>
      <c r="BB982" s="3"/>
      <c r="BC982" s="3"/>
    </row>
    <row r="983" ht="15.75" customHeight="1">
      <c r="A983" s="12"/>
      <c r="B983" s="310"/>
      <c r="C983" s="310"/>
      <c r="D983" s="310"/>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c r="AA983" s="310"/>
      <c r="AB983" s="310"/>
      <c r="AC983" s="310"/>
      <c r="AD983" s="310"/>
      <c r="AE983" s="310"/>
      <c r="AF983" s="310"/>
      <c r="AG983" s="310"/>
      <c r="AH983" s="310"/>
      <c r="AI983" s="310"/>
      <c r="AJ983" s="310"/>
      <c r="AK983" s="310"/>
      <c r="AL983" s="310"/>
      <c r="AM983" s="310"/>
      <c r="AN983" s="310"/>
      <c r="AO983" s="310"/>
      <c r="AP983" s="12"/>
      <c r="AQ983" s="3"/>
      <c r="AR983" s="3"/>
      <c r="AS983" s="3"/>
      <c r="AT983" s="3"/>
      <c r="AU983" s="3"/>
      <c r="AV983" s="3"/>
      <c r="AW983" s="3"/>
      <c r="AX983" s="3"/>
      <c r="AY983" s="3"/>
      <c r="AZ983" s="3"/>
      <c r="BA983" s="3"/>
      <c r="BB983" s="3"/>
      <c r="BC983" s="3"/>
    </row>
    <row r="984" ht="15.75" customHeight="1">
      <c r="A984" s="12"/>
      <c r="B984" s="310"/>
      <c r="C984" s="310"/>
      <c r="D984" s="310"/>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c r="AA984" s="310"/>
      <c r="AB984" s="310"/>
      <c r="AC984" s="310"/>
      <c r="AD984" s="310"/>
      <c r="AE984" s="310"/>
      <c r="AF984" s="310"/>
      <c r="AG984" s="310"/>
      <c r="AH984" s="310"/>
      <c r="AI984" s="310"/>
      <c r="AJ984" s="310"/>
      <c r="AK984" s="310"/>
      <c r="AL984" s="310"/>
      <c r="AM984" s="310"/>
      <c r="AN984" s="310"/>
      <c r="AO984" s="310"/>
      <c r="AP984" s="12"/>
      <c r="AQ984" s="3"/>
      <c r="AR984" s="3"/>
      <c r="AS984" s="3"/>
      <c r="AT984" s="3"/>
      <c r="AU984" s="3"/>
      <c r="AV984" s="3"/>
      <c r="AW984" s="3"/>
      <c r="AX984" s="3"/>
      <c r="AY984" s="3"/>
      <c r="AZ984" s="3"/>
      <c r="BA984" s="3"/>
      <c r="BB984" s="3"/>
      <c r="BC984" s="3"/>
    </row>
    <row r="985" ht="15.75" customHeight="1">
      <c r="A985" s="12"/>
      <c r="B985" s="310"/>
      <c r="C985" s="310"/>
      <c r="D985" s="310"/>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c r="AA985" s="310"/>
      <c r="AB985" s="310"/>
      <c r="AC985" s="310"/>
      <c r="AD985" s="310"/>
      <c r="AE985" s="310"/>
      <c r="AF985" s="310"/>
      <c r="AG985" s="310"/>
      <c r="AH985" s="310"/>
      <c r="AI985" s="310"/>
      <c r="AJ985" s="310"/>
      <c r="AK985" s="310"/>
      <c r="AL985" s="310"/>
      <c r="AM985" s="310"/>
      <c r="AN985" s="310"/>
      <c r="AO985" s="310"/>
      <c r="AP985" s="12"/>
      <c r="AQ985" s="3"/>
      <c r="AR985" s="3"/>
      <c r="AS985" s="3"/>
      <c r="AT985" s="3"/>
      <c r="AU985" s="3"/>
      <c r="AV985" s="3"/>
      <c r="AW985" s="3"/>
      <c r="AX985" s="3"/>
      <c r="AY985" s="3"/>
      <c r="AZ985" s="3"/>
      <c r="BA985" s="3"/>
      <c r="BB985" s="3"/>
      <c r="BC985" s="3"/>
    </row>
    <row r="986" ht="15.75" customHeight="1">
      <c r="A986" s="12"/>
      <c r="B986" s="310"/>
      <c r="C986" s="310"/>
      <c r="D986" s="310"/>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c r="AA986" s="310"/>
      <c r="AB986" s="310"/>
      <c r="AC986" s="310"/>
      <c r="AD986" s="310"/>
      <c r="AE986" s="310"/>
      <c r="AF986" s="310"/>
      <c r="AG986" s="310"/>
      <c r="AH986" s="310"/>
      <c r="AI986" s="310"/>
      <c r="AJ986" s="310"/>
      <c r="AK986" s="310"/>
      <c r="AL986" s="310"/>
      <c r="AM986" s="310"/>
      <c r="AN986" s="310"/>
      <c r="AO986" s="310"/>
      <c r="AP986" s="12"/>
      <c r="AQ986" s="3"/>
      <c r="AR986" s="3"/>
      <c r="AS986" s="3"/>
      <c r="AT986" s="3"/>
      <c r="AU986" s="3"/>
      <c r="AV986" s="3"/>
      <c r="AW986" s="3"/>
      <c r="AX986" s="3"/>
      <c r="AY986" s="3"/>
      <c r="AZ986" s="3"/>
      <c r="BA986" s="3"/>
      <c r="BB986" s="3"/>
      <c r="BC986" s="3"/>
    </row>
    <row r="987" ht="15.75" customHeight="1">
      <c r="A987" s="12"/>
      <c r="B987" s="310"/>
      <c r="C987" s="310"/>
      <c r="D987" s="310"/>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c r="AA987" s="310"/>
      <c r="AB987" s="310"/>
      <c r="AC987" s="310"/>
      <c r="AD987" s="310"/>
      <c r="AE987" s="310"/>
      <c r="AF987" s="310"/>
      <c r="AG987" s="310"/>
      <c r="AH987" s="310"/>
      <c r="AI987" s="310"/>
      <c r="AJ987" s="310"/>
      <c r="AK987" s="310"/>
      <c r="AL987" s="310"/>
      <c r="AM987" s="310"/>
      <c r="AN987" s="310"/>
      <c r="AO987" s="310"/>
      <c r="AP987" s="12"/>
      <c r="AQ987" s="3"/>
      <c r="AR987" s="3"/>
      <c r="AS987" s="3"/>
      <c r="AT987" s="3"/>
      <c r="AU987" s="3"/>
      <c r="AV987" s="3"/>
      <c r="AW987" s="3"/>
      <c r="AX987" s="3"/>
      <c r="AY987" s="3"/>
      <c r="AZ987" s="3"/>
      <c r="BA987" s="3"/>
      <c r="BB987" s="3"/>
      <c r="BC987" s="3"/>
    </row>
    <row r="988" ht="15.75" customHeight="1">
      <c r="A988" s="12"/>
      <c r="B988" s="310"/>
      <c r="C988" s="310"/>
      <c r="D988" s="310"/>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c r="AA988" s="310"/>
      <c r="AB988" s="310"/>
      <c r="AC988" s="310"/>
      <c r="AD988" s="310"/>
      <c r="AE988" s="310"/>
      <c r="AF988" s="310"/>
      <c r="AG988" s="310"/>
      <c r="AH988" s="310"/>
      <c r="AI988" s="310"/>
      <c r="AJ988" s="310"/>
      <c r="AK988" s="310"/>
      <c r="AL988" s="310"/>
      <c r="AM988" s="310"/>
      <c r="AN988" s="310"/>
      <c r="AO988" s="310"/>
      <c r="AP988" s="12"/>
      <c r="AQ988" s="3"/>
      <c r="AR988" s="3"/>
      <c r="AS988" s="3"/>
      <c r="AT988" s="3"/>
      <c r="AU988" s="3"/>
      <c r="AV988" s="3"/>
      <c r="AW988" s="3"/>
      <c r="AX988" s="3"/>
      <c r="AY988" s="3"/>
      <c r="AZ988" s="3"/>
      <c r="BA988" s="3"/>
      <c r="BB988" s="3"/>
      <c r="BC988" s="3"/>
    </row>
    <row r="989" ht="15.75" customHeight="1">
      <c r="A989" s="12"/>
      <c r="B989" s="310"/>
      <c r="C989" s="310"/>
      <c r="D989" s="310"/>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c r="AA989" s="310"/>
      <c r="AB989" s="310"/>
      <c r="AC989" s="310"/>
      <c r="AD989" s="310"/>
      <c r="AE989" s="310"/>
      <c r="AF989" s="310"/>
      <c r="AG989" s="310"/>
      <c r="AH989" s="310"/>
      <c r="AI989" s="310"/>
      <c r="AJ989" s="310"/>
      <c r="AK989" s="310"/>
      <c r="AL989" s="310"/>
      <c r="AM989" s="310"/>
      <c r="AN989" s="310"/>
      <c r="AO989" s="310"/>
      <c r="AP989" s="12"/>
      <c r="AQ989" s="3"/>
      <c r="AR989" s="3"/>
      <c r="AS989" s="3"/>
      <c r="AT989" s="3"/>
      <c r="AU989" s="3"/>
      <c r="AV989" s="3"/>
      <c r="AW989" s="3"/>
      <c r="AX989" s="3"/>
      <c r="AY989" s="3"/>
      <c r="AZ989" s="3"/>
      <c r="BA989" s="3"/>
      <c r="BB989" s="3"/>
      <c r="BC989" s="3"/>
    </row>
    <row r="990" ht="15.75" customHeight="1">
      <c r="A990" s="12"/>
      <c r="B990" s="310"/>
      <c r="C990" s="310"/>
      <c r="D990" s="310"/>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c r="AA990" s="310"/>
      <c r="AB990" s="310"/>
      <c r="AC990" s="310"/>
      <c r="AD990" s="310"/>
      <c r="AE990" s="310"/>
      <c r="AF990" s="310"/>
      <c r="AG990" s="310"/>
      <c r="AH990" s="310"/>
      <c r="AI990" s="310"/>
      <c r="AJ990" s="310"/>
      <c r="AK990" s="310"/>
      <c r="AL990" s="310"/>
      <c r="AM990" s="310"/>
      <c r="AN990" s="310"/>
      <c r="AO990" s="310"/>
      <c r="AP990" s="12"/>
      <c r="AQ990" s="3"/>
      <c r="AR990" s="3"/>
      <c r="AS990" s="3"/>
      <c r="AT990" s="3"/>
      <c r="AU990" s="3"/>
      <c r="AV990" s="3"/>
      <c r="AW990" s="3"/>
      <c r="AX990" s="3"/>
      <c r="AY990" s="3"/>
      <c r="AZ990" s="3"/>
      <c r="BA990" s="3"/>
      <c r="BB990" s="3"/>
      <c r="BC990" s="3"/>
    </row>
    <row r="991" ht="15.75" customHeight="1">
      <c r="A991" s="12"/>
      <c r="B991" s="310"/>
      <c r="C991" s="310"/>
      <c r="D991" s="310"/>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c r="AA991" s="310"/>
      <c r="AB991" s="310"/>
      <c r="AC991" s="310"/>
      <c r="AD991" s="310"/>
      <c r="AE991" s="310"/>
      <c r="AF991" s="310"/>
      <c r="AG991" s="310"/>
      <c r="AH991" s="310"/>
      <c r="AI991" s="310"/>
      <c r="AJ991" s="310"/>
      <c r="AK991" s="310"/>
      <c r="AL991" s="310"/>
      <c r="AM991" s="310"/>
      <c r="AN991" s="310"/>
      <c r="AO991" s="310"/>
      <c r="AP991" s="12"/>
      <c r="AQ991" s="3"/>
      <c r="AR991" s="3"/>
      <c r="AS991" s="3"/>
      <c r="AT991" s="3"/>
      <c r="AU991" s="3"/>
      <c r="AV991" s="3"/>
      <c r="AW991" s="3"/>
      <c r="AX991" s="3"/>
      <c r="AY991" s="3"/>
      <c r="AZ991" s="3"/>
      <c r="BA991" s="3"/>
      <c r="BB991" s="3"/>
      <c r="BC991" s="3"/>
    </row>
    <row r="992" ht="15.75" customHeight="1">
      <c r="A992" s="12"/>
      <c r="B992" s="310"/>
      <c r="C992" s="310"/>
      <c r="D992" s="310"/>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c r="AA992" s="310"/>
      <c r="AB992" s="310"/>
      <c r="AC992" s="310"/>
      <c r="AD992" s="310"/>
      <c r="AE992" s="310"/>
      <c r="AF992" s="310"/>
      <c r="AG992" s="310"/>
      <c r="AH992" s="310"/>
      <c r="AI992" s="310"/>
      <c r="AJ992" s="310"/>
      <c r="AK992" s="310"/>
      <c r="AL992" s="310"/>
      <c r="AM992" s="310"/>
      <c r="AN992" s="310"/>
      <c r="AO992" s="310"/>
      <c r="AP992" s="12"/>
      <c r="AQ992" s="3"/>
      <c r="AR992" s="3"/>
      <c r="AS992" s="3"/>
      <c r="AT992" s="3"/>
      <c r="AU992" s="3"/>
      <c r="AV992" s="3"/>
      <c r="AW992" s="3"/>
      <c r="AX992" s="3"/>
      <c r="AY992" s="3"/>
      <c r="AZ992" s="3"/>
      <c r="BA992" s="3"/>
      <c r="BB992" s="3"/>
      <c r="BC992" s="3"/>
    </row>
    <row r="993" ht="15.75" customHeight="1">
      <c r="A993" s="12"/>
      <c r="B993" s="310"/>
      <c r="C993" s="310"/>
      <c r="D993" s="310"/>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c r="AA993" s="310"/>
      <c r="AB993" s="310"/>
      <c r="AC993" s="310"/>
      <c r="AD993" s="310"/>
      <c r="AE993" s="310"/>
      <c r="AF993" s="310"/>
      <c r="AG993" s="310"/>
      <c r="AH993" s="310"/>
      <c r="AI993" s="310"/>
      <c r="AJ993" s="310"/>
      <c r="AK993" s="310"/>
      <c r="AL993" s="310"/>
      <c r="AM993" s="310"/>
      <c r="AN993" s="310"/>
      <c r="AO993" s="310"/>
      <c r="AP993" s="12"/>
      <c r="AQ993" s="3"/>
      <c r="AR993" s="3"/>
      <c r="AS993" s="3"/>
      <c r="AT993" s="3"/>
      <c r="AU993" s="3"/>
      <c r="AV993" s="3"/>
      <c r="AW993" s="3"/>
      <c r="AX993" s="3"/>
      <c r="AY993" s="3"/>
      <c r="AZ993" s="3"/>
      <c r="BA993" s="3"/>
      <c r="BB993" s="3"/>
      <c r="BC993" s="3"/>
    </row>
    <row r="994" ht="15.75" customHeight="1">
      <c r="A994" s="12"/>
      <c r="B994" s="310"/>
      <c r="C994" s="310"/>
      <c r="D994" s="310"/>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c r="AA994" s="310"/>
      <c r="AB994" s="310"/>
      <c r="AC994" s="310"/>
      <c r="AD994" s="310"/>
      <c r="AE994" s="310"/>
      <c r="AF994" s="310"/>
      <c r="AG994" s="310"/>
      <c r="AH994" s="310"/>
      <c r="AI994" s="310"/>
      <c r="AJ994" s="310"/>
      <c r="AK994" s="310"/>
      <c r="AL994" s="310"/>
      <c r="AM994" s="310"/>
      <c r="AN994" s="310"/>
      <c r="AO994" s="310"/>
      <c r="AP994" s="12"/>
      <c r="AQ994" s="3"/>
      <c r="AR994" s="3"/>
      <c r="AS994" s="3"/>
      <c r="AT994" s="3"/>
      <c r="AU994" s="3"/>
      <c r="AV994" s="3"/>
      <c r="AW994" s="3"/>
      <c r="AX994" s="3"/>
      <c r="AY994" s="3"/>
      <c r="AZ994" s="3"/>
      <c r="BA994" s="3"/>
      <c r="BB994" s="3"/>
      <c r="BC994" s="3"/>
    </row>
    <row r="995" ht="15.75" customHeight="1">
      <c r="A995" s="12"/>
      <c r="B995" s="310"/>
      <c r="C995" s="310"/>
      <c r="D995" s="310"/>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c r="AA995" s="310"/>
      <c r="AB995" s="310"/>
      <c r="AC995" s="310"/>
      <c r="AD995" s="310"/>
      <c r="AE995" s="310"/>
      <c r="AF995" s="310"/>
      <c r="AG995" s="310"/>
      <c r="AH995" s="310"/>
      <c r="AI995" s="310"/>
      <c r="AJ995" s="310"/>
      <c r="AK995" s="310"/>
      <c r="AL995" s="310"/>
      <c r="AM995" s="310"/>
      <c r="AN995" s="310"/>
      <c r="AO995" s="310"/>
      <c r="AP995" s="12"/>
      <c r="AQ995" s="3"/>
      <c r="AR995" s="3"/>
      <c r="AS995" s="3"/>
      <c r="AT995" s="3"/>
      <c r="AU995" s="3"/>
      <c r="AV995" s="3"/>
      <c r="AW995" s="3"/>
      <c r="AX995" s="3"/>
      <c r="AY995" s="3"/>
      <c r="AZ995" s="3"/>
      <c r="BA995" s="3"/>
      <c r="BB995" s="3"/>
      <c r="BC995" s="3"/>
    </row>
    <row r="996" ht="15.75" customHeight="1">
      <c r="A996" s="12"/>
      <c r="B996" s="310"/>
      <c r="C996" s="310"/>
      <c r="D996" s="310"/>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c r="AA996" s="310"/>
      <c r="AB996" s="310"/>
      <c r="AC996" s="310"/>
      <c r="AD996" s="310"/>
      <c r="AE996" s="310"/>
      <c r="AF996" s="310"/>
      <c r="AG996" s="310"/>
      <c r="AH996" s="310"/>
      <c r="AI996" s="310"/>
      <c r="AJ996" s="310"/>
      <c r="AK996" s="310"/>
      <c r="AL996" s="310"/>
      <c r="AM996" s="310"/>
      <c r="AN996" s="310"/>
      <c r="AO996" s="310"/>
      <c r="AP996" s="12"/>
      <c r="AQ996" s="3"/>
      <c r="AR996" s="3"/>
      <c r="AS996" s="3"/>
      <c r="AT996" s="3"/>
      <c r="AU996" s="3"/>
      <c r="AV996" s="3"/>
      <c r="AW996" s="3"/>
      <c r="AX996" s="3"/>
      <c r="AY996" s="3"/>
      <c r="AZ996" s="3"/>
      <c r="BA996" s="3"/>
      <c r="BB996" s="3"/>
      <c r="BC996" s="3"/>
    </row>
    <row r="997" ht="15.75" customHeight="1">
      <c r="A997" s="12"/>
      <c r="B997" s="310"/>
      <c r="C997" s="310"/>
      <c r="D997" s="310"/>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c r="AA997" s="310"/>
      <c r="AB997" s="310"/>
      <c r="AC997" s="310"/>
      <c r="AD997" s="310"/>
      <c r="AE997" s="310"/>
      <c r="AF997" s="310"/>
      <c r="AG997" s="310"/>
      <c r="AH997" s="310"/>
      <c r="AI997" s="310"/>
      <c r="AJ997" s="310"/>
      <c r="AK997" s="310"/>
      <c r="AL997" s="310"/>
      <c r="AM997" s="310"/>
      <c r="AN997" s="310"/>
      <c r="AO997" s="310"/>
      <c r="AP997" s="12"/>
      <c r="AQ997" s="3"/>
      <c r="AR997" s="3"/>
      <c r="AS997" s="3"/>
      <c r="AT997" s="3"/>
      <c r="AU997" s="3"/>
      <c r="AV997" s="3"/>
      <c r="AW997" s="3"/>
      <c r="AX997" s="3"/>
      <c r="AY997" s="3"/>
      <c r="AZ997" s="3"/>
      <c r="BA997" s="3"/>
      <c r="BB997" s="3"/>
      <c r="BC997" s="3"/>
    </row>
    <row r="998" ht="15.75" customHeight="1">
      <c r="A998" s="12"/>
      <c r="B998" s="310"/>
      <c r="C998" s="310"/>
      <c r="D998" s="310"/>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c r="AA998" s="310"/>
      <c r="AB998" s="310"/>
      <c r="AC998" s="310"/>
      <c r="AD998" s="310"/>
      <c r="AE998" s="310"/>
      <c r="AF998" s="310"/>
      <c r="AG998" s="310"/>
      <c r="AH998" s="310"/>
      <c r="AI998" s="310"/>
      <c r="AJ998" s="310"/>
      <c r="AK998" s="310"/>
      <c r="AL998" s="310"/>
      <c r="AM998" s="310"/>
      <c r="AN998" s="310"/>
      <c r="AO998" s="310"/>
      <c r="AP998" s="12"/>
      <c r="AQ998" s="3"/>
      <c r="AR998" s="3"/>
      <c r="AS998" s="3"/>
      <c r="AT998" s="3"/>
      <c r="AU998" s="3"/>
      <c r="AV998" s="3"/>
      <c r="AW998" s="3"/>
      <c r="AX998" s="3"/>
      <c r="AY998" s="3"/>
      <c r="AZ998" s="3"/>
      <c r="BA998" s="3"/>
      <c r="BB998" s="3"/>
      <c r="BC998" s="3"/>
    </row>
    <row r="999" ht="15.75" customHeight="1">
      <c r="A999" s="12"/>
      <c r="B999" s="310"/>
      <c r="C999" s="310"/>
      <c r="D999" s="310"/>
      <c r="E999" s="310"/>
      <c r="F999" s="310"/>
      <c r="G999" s="310"/>
      <c r="H999" s="310"/>
      <c r="I999" s="310"/>
      <c r="J999" s="310"/>
      <c r="K999" s="310"/>
      <c r="L999" s="310"/>
      <c r="M999" s="310"/>
      <c r="N999" s="310"/>
      <c r="O999" s="310"/>
      <c r="P999" s="310"/>
      <c r="Q999" s="310"/>
      <c r="R999" s="310"/>
      <c r="S999" s="310"/>
      <c r="T999" s="310"/>
      <c r="U999" s="310"/>
      <c r="V999" s="310"/>
      <c r="W999" s="310"/>
      <c r="X999" s="310"/>
      <c r="Y999" s="310"/>
      <c r="Z999" s="310"/>
      <c r="AA999" s="310"/>
      <c r="AB999" s="310"/>
      <c r="AC999" s="310"/>
      <c r="AD999" s="310"/>
      <c r="AE999" s="310"/>
      <c r="AF999" s="310"/>
      <c r="AG999" s="310"/>
      <c r="AH999" s="310"/>
      <c r="AI999" s="310"/>
      <c r="AJ999" s="310"/>
      <c r="AK999" s="310"/>
      <c r="AL999" s="310"/>
      <c r="AM999" s="310"/>
      <c r="AN999" s="310"/>
      <c r="AO999" s="310"/>
      <c r="AP999" s="12"/>
      <c r="AQ999" s="3"/>
      <c r="AR999" s="3"/>
      <c r="AS999" s="3"/>
      <c r="AT999" s="3"/>
      <c r="AU999" s="3"/>
      <c r="AV999" s="3"/>
      <c r="AW999" s="3"/>
      <c r="AX999" s="3"/>
      <c r="AY999" s="3"/>
      <c r="AZ999" s="3"/>
      <c r="BA999" s="3"/>
      <c r="BB999" s="3"/>
      <c r="BC999" s="3"/>
    </row>
    <row r="1000" ht="15.75" customHeight="1">
      <c r="A1000" s="12"/>
      <c r="B1000" s="310"/>
      <c r="C1000" s="310"/>
      <c r="D1000" s="310"/>
      <c r="E1000" s="310"/>
      <c r="F1000" s="310"/>
      <c r="G1000" s="310"/>
      <c r="H1000" s="310"/>
      <c r="I1000" s="310"/>
      <c r="J1000" s="310"/>
      <c r="K1000" s="310"/>
      <c r="L1000" s="310"/>
      <c r="M1000" s="310"/>
      <c r="N1000" s="310"/>
      <c r="O1000" s="310"/>
      <c r="P1000" s="310"/>
      <c r="Q1000" s="310"/>
      <c r="R1000" s="310"/>
      <c r="S1000" s="310"/>
      <c r="T1000" s="310"/>
      <c r="U1000" s="310"/>
      <c r="V1000" s="310"/>
      <c r="W1000" s="310"/>
      <c r="X1000" s="310"/>
      <c r="Y1000" s="310"/>
      <c r="Z1000" s="310"/>
      <c r="AA1000" s="310"/>
      <c r="AB1000" s="310"/>
      <c r="AC1000" s="310"/>
      <c r="AD1000" s="310"/>
      <c r="AE1000" s="310"/>
      <c r="AF1000" s="310"/>
      <c r="AG1000" s="310"/>
      <c r="AH1000" s="310"/>
      <c r="AI1000" s="310"/>
      <c r="AJ1000" s="310"/>
      <c r="AK1000" s="310"/>
      <c r="AL1000" s="310"/>
      <c r="AM1000" s="310"/>
      <c r="AN1000" s="310"/>
      <c r="AO1000" s="310"/>
      <c r="AP1000" s="12"/>
      <c r="AQ1000" s="3"/>
      <c r="AR1000" s="3"/>
      <c r="AS1000" s="3"/>
      <c r="AT1000" s="3"/>
      <c r="AU1000" s="3"/>
      <c r="AV1000" s="3"/>
      <c r="AW1000" s="3"/>
      <c r="AX1000" s="3"/>
      <c r="AY1000" s="3"/>
      <c r="AZ1000" s="3"/>
      <c r="BA1000" s="3"/>
      <c r="BB1000" s="3"/>
      <c r="BC1000" s="3"/>
    </row>
    <row r="1001" ht="15.75" customHeight="1">
      <c r="A1001" s="12"/>
      <c r="B1001" s="310"/>
      <c r="C1001" s="310"/>
      <c r="D1001" s="310"/>
      <c r="E1001" s="310"/>
      <c r="F1001" s="310"/>
      <c r="G1001" s="310"/>
      <c r="H1001" s="310"/>
      <c r="I1001" s="310"/>
      <c r="J1001" s="310"/>
      <c r="K1001" s="310"/>
      <c r="L1001" s="310"/>
      <c r="M1001" s="310"/>
      <c r="N1001" s="310"/>
      <c r="O1001" s="310"/>
      <c r="P1001" s="310"/>
      <c r="Q1001" s="310"/>
      <c r="R1001" s="310"/>
      <c r="S1001" s="310"/>
      <c r="T1001" s="310"/>
      <c r="U1001" s="310"/>
      <c r="V1001" s="310"/>
      <c r="W1001" s="310"/>
      <c r="X1001" s="310"/>
      <c r="Y1001" s="310"/>
      <c r="Z1001" s="310"/>
      <c r="AA1001" s="310"/>
      <c r="AB1001" s="310"/>
      <c r="AC1001" s="310"/>
      <c r="AD1001" s="310"/>
      <c r="AE1001" s="310"/>
      <c r="AF1001" s="310"/>
      <c r="AG1001" s="310"/>
      <c r="AH1001" s="310"/>
      <c r="AI1001" s="310"/>
      <c r="AJ1001" s="310"/>
      <c r="AK1001" s="310"/>
      <c r="AL1001" s="310"/>
      <c r="AM1001" s="310"/>
      <c r="AN1001" s="310"/>
      <c r="AO1001" s="310"/>
      <c r="AP1001" s="12"/>
      <c r="AQ1001" s="3"/>
      <c r="AR1001" s="3"/>
      <c r="AS1001" s="3"/>
      <c r="AT1001" s="3"/>
      <c r="AU1001" s="3"/>
      <c r="AV1001" s="3"/>
      <c r="AW1001" s="3"/>
      <c r="AX1001" s="3"/>
      <c r="AY1001" s="3"/>
      <c r="AZ1001" s="3"/>
      <c r="BA1001" s="3"/>
      <c r="BB1001" s="3"/>
      <c r="BC1001" s="3"/>
    </row>
    <row r="1002" ht="15.75" customHeight="1">
      <c r="A1002" s="12"/>
      <c r="B1002" s="310"/>
      <c r="C1002" s="310"/>
      <c r="D1002" s="310"/>
      <c r="E1002" s="310"/>
      <c r="F1002" s="310"/>
      <c r="G1002" s="310"/>
      <c r="H1002" s="310"/>
      <c r="I1002" s="310"/>
      <c r="J1002" s="310"/>
      <c r="K1002" s="310"/>
      <c r="L1002" s="310"/>
      <c r="M1002" s="310"/>
      <c r="N1002" s="310"/>
      <c r="O1002" s="310"/>
      <c r="P1002" s="310"/>
      <c r="Q1002" s="310"/>
      <c r="R1002" s="310"/>
      <c r="S1002" s="310"/>
      <c r="T1002" s="310"/>
      <c r="U1002" s="310"/>
      <c r="V1002" s="310"/>
      <c r="W1002" s="310"/>
      <c r="X1002" s="310"/>
      <c r="Y1002" s="310"/>
      <c r="Z1002" s="310"/>
      <c r="AA1002" s="310"/>
      <c r="AB1002" s="310"/>
      <c r="AC1002" s="310"/>
      <c r="AD1002" s="310"/>
      <c r="AE1002" s="310"/>
      <c r="AF1002" s="310"/>
      <c r="AG1002" s="310"/>
      <c r="AH1002" s="310"/>
      <c r="AI1002" s="310"/>
      <c r="AJ1002" s="310"/>
      <c r="AK1002" s="310"/>
      <c r="AL1002" s="310"/>
      <c r="AM1002" s="310"/>
      <c r="AN1002" s="310"/>
      <c r="AO1002" s="310"/>
      <c r="AP1002" s="12"/>
      <c r="AQ1002" s="3"/>
      <c r="AR1002" s="3"/>
      <c r="AS1002" s="3"/>
      <c r="AT1002" s="3"/>
      <c r="AU1002" s="3"/>
      <c r="AV1002" s="3"/>
      <c r="AW1002" s="3"/>
      <c r="AX1002" s="3"/>
      <c r="AY1002" s="3"/>
      <c r="AZ1002" s="3"/>
      <c r="BA1002" s="3"/>
      <c r="BB1002" s="3"/>
      <c r="BC1002" s="3"/>
    </row>
    <row r="1003" ht="15.75" customHeight="1">
      <c r="A1003" s="12"/>
      <c r="B1003" s="310"/>
      <c r="C1003" s="310"/>
      <c r="D1003" s="310"/>
      <c r="E1003" s="310"/>
      <c r="F1003" s="310"/>
      <c r="G1003" s="310"/>
      <c r="H1003" s="310"/>
      <c r="I1003" s="310"/>
      <c r="J1003" s="310"/>
      <c r="K1003" s="310"/>
      <c r="L1003" s="310"/>
      <c r="M1003" s="310"/>
      <c r="N1003" s="310"/>
      <c r="O1003" s="310"/>
      <c r="P1003" s="310"/>
      <c r="Q1003" s="310"/>
      <c r="R1003" s="310"/>
      <c r="S1003" s="310"/>
      <c r="T1003" s="310"/>
      <c r="U1003" s="310"/>
      <c r="V1003" s="310"/>
      <c r="W1003" s="310"/>
      <c r="X1003" s="310"/>
      <c r="Y1003" s="310"/>
      <c r="Z1003" s="310"/>
      <c r="AA1003" s="310"/>
      <c r="AB1003" s="310"/>
      <c r="AC1003" s="310"/>
      <c r="AD1003" s="310"/>
      <c r="AE1003" s="310"/>
      <c r="AF1003" s="310"/>
      <c r="AG1003" s="310"/>
      <c r="AH1003" s="310"/>
      <c r="AI1003" s="310"/>
      <c r="AJ1003" s="310"/>
      <c r="AK1003" s="310"/>
      <c r="AL1003" s="310"/>
      <c r="AM1003" s="310"/>
      <c r="AN1003" s="310"/>
      <c r="AO1003" s="310"/>
      <c r="AP1003" s="12"/>
      <c r="AQ1003" s="3"/>
      <c r="AR1003" s="3"/>
      <c r="AS1003" s="3"/>
      <c r="AT1003" s="3"/>
      <c r="AU1003" s="3"/>
      <c r="AV1003" s="3"/>
      <c r="AW1003" s="3"/>
      <c r="AX1003" s="3"/>
      <c r="AY1003" s="3"/>
      <c r="AZ1003" s="3"/>
      <c r="BA1003" s="3"/>
      <c r="BB1003" s="3"/>
      <c r="BC1003" s="3"/>
    </row>
    <row r="1004" ht="15.75" customHeight="1">
      <c r="A1004" s="12"/>
      <c r="B1004" s="310"/>
      <c r="C1004" s="310"/>
      <c r="D1004" s="310"/>
      <c r="E1004" s="310"/>
      <c r="F1004" s="310"/>
      <c r="G1004" s="310"/>
      <c r="H1004" s="310"/>
      <c r="I1004" s="310"/>
      <c r="J1004" s="310"/>
      <c r="K1004" s="310"/>
      <c r="L1004" s="310"/>
      <c r="M1004" s="310"/>
      <c r="N1004" s="310"/>
      <c r="O1004" s="310"/>
      <c r="P1004" s="310"/>
      <c r="Q1004" s="310"/>
      <c r="R1004" s="310"/>
      <c r="S1004" s="310"/>
      <c r="T1004" s="310"/>
      <c r="U1004" s="310"/>
      <c r="V1004" s="310"/>
      <c r="W1004" s="310"/>
      <c r="X1004" s="310"/>
      <c r="Y1004" s="310"/>
      <c r="Z1004" s="310"/>
      <c r="AA1004" s="310"/>
      <c r="AB1004" s="310"/>
      <c r="AC1004" s="310"/>
      <c r="AD1004" s="310"/>
      <c r="AE1004" s="310"/>
      <c r="AF1004" s="310"/>
      <c r="AG1004" s="310"/>
      <c r="AH1004" s="310"/>
      <c r="AI1004" s="310"/>
      <c r="AJ1004" s="310"/>
      <c r="AK1004" s="310"/>
      <c r="AL1004" s="310"/>
      <c r="AM1004" s="310"/>
      <c r="AN1004" s="310"/>
      <c r="AO1004" s="310"/>
      <c r="AP1004" s="12"/>
      <c r="AQ1004" s="3"/>
      <c r="AR1004" s="3"/>
      <c r="AS1004" s="3"/>
      <c r="AT1004" s="3"/>
      <c r="AU1004" s="3"/>
      <c r="AV1004" s="3"/>
      <c r="AW1004" s="3"/>
      <c r="AX1004" s="3"/>
      <c r="AY1004" s="3"/>
      <c r="AZ1004" s="3"/>
      <c r="BA1004" s="3"/>
      <c r="BB1004" s="3"/>
      <c r="BC1004" s="3"/>
    </row>
    <row r="1005" ht="15.75" customHeight="1">
      <c r="A1005" s="12"/>
      <c r="B1005" s="310"/>
      <c r="C1005" s="310"/>
      <c r="D1005" s="310"/>
      <c r="E1005" s="310"/>
      <c r="F1005" s="310"/>
      <c r="G1005" s="310"/>
      <c r="H1005" s="310"/>
      <c r="I1005" s="310"/>
      <c r="J1005" s="310"/>
      <c r="K1005" s="310"/>
      <c r="L1005" s="310"/>
      <c r="M1005" s="310"/>
      <c r="N1005" s="310"/>
      <c r="O1005" s="310"/>
      <c r="P1005" s="310"/>
      <c r="Q1005" s="310"/>
      <c r="R1005" s="310"/>
      <c r="S1005" s="310"/>
      <c r="T1005" s="310"/>
      <c r="U1005" s="310"/>
      <c r="V1005" s="310"/>
      <c r="W1005" s="310"/>
      <c r="X1005" s="310"/>
      <c r="Y1005" s="310"/>
      <c r="Z1005" s="310"/>
      <c r="AA1005" s="310"/>
      <c r="AB1005" s="310"/>
      <c r="AC1005" s="310"/>
      <c r="AD1005" s="310"/>
      <c r="AE1005" s="310"/>
      <c r="AF1005" s="310"/>
      <c r="AG1005" s="310"/>
      <c r="AH1005" s="310"/>
      <c r="AI1005" s="310"/>
      <c r="AJ1005" s="310"/>
      <c r="AK1005" s="310"/>
      <c r="AL1005" s="310"/>
      <c r="AM1005" s="310"/>
      <c r="AN1005" s="310"/>
      <c r="AO1005" s="310"/>
      <c r="AP1005" s="12"/>
      <c r="AQ1005" s="3"/>
      <c r="AR1005" s="3"/>
      <c r="AS1005" s="3"/>
      <c r="AT1005" s="3"/>
      <c r="AU1005" s="3"/>
      <c r="AV1005" s="3"/>
      <c r="AW1005" s="3"/>
      <c r="AX1005" s="3"/>
      <c r="AY1005" s="3"/>
      <c r="AZ1005" s="3"/>
      <c r="BA1005" s="3"/>
      <c r="BB1005" s="3"/>
      <c r="BC1005" s="3"/>
    </row>
    <row r="1006" ht="15.75" customHeight="1">
      <c r="A1006" s="12"/>
      <c r="B1006" s="310"/>
      <c r="C1006" s="310"/>
      <c r="D1006" s="310"/>
      <c r="E1006" s="310"/>
      <c r="F1006" s="310"/>
      <c r="G1006" s="310"/>
      <c r="H1006" s="310"/>
      <c r="I1006" s="310"/>
      <c r="J1006" s="310"/>
      <c r="K1006" s="310"/>
      <c r="L1006" s="310"/>
      <c r="M1006" s="310"/>
      <c r="N1006" s="310"/>
      <c r="O1006" s="310"/>
      <c r="P1006" s="310"/>
      <c r="Q1006" s="310"/>
      <c r="R1006" s="310"/>
      <c r="S1006" s="310"/>
      <c r="T1006" s="310"/>
      <c r="U1006" s="310"/>
      <c r="V1006" s="310"/>
      <c r="W1006" s="310"/>
      <c r="X1006" s="310"/>
      <c r="Y1006" s="310"/>
      <c r="Z1006" s="310"/>
      <c r="AA1006" s="310"/>
      <c r="AB1006" s="310"/>
      <c r="AC1006" s="310"/>
      <c r="AD1006" s="310"/>
      <c r="AE1006" s="310"/>
      <c r="AF1006" s="310"/>
      <c r="AG1006" s="310"/>
      <c r="AH1006" s="310"/>
      <c r="AI1006" s="310"/>
      <c r="AJ1006" s="310"/>
      <c r="AK1006" s="310"/>
      <c r="AL1006" s="310"/>
      <c r="AM1006" s="310"/>
      <c r="AN1006" s="310"/>
      <c r="AO1006" s="310"/>
      <c r="AP1006" s="12"/>
      <c r="AQ1006" s="3"/>
      <c r="AR1006" s="3"/>
      <c r="AS1006" s="3"/>
      <c r="AT1006" s="3"/>
      <c r="AU1006" s="3"/>
      <c r="AV1006" s="3"/>
      <c r="AW1006" s="3"/>
      <c r="AX1006" s="3"/>
      <c r="AY1006" s="3"/>
      <c r="AZ1006" s="3"/>
      <c r="BA1006" s="3"/>
      <c r="BB1006" s="3"/>
      <c r="BC1006" s="3"/>
    </row>
    <row r="1007" ht="15.75" customHeight="1">
      <c r="A1007" s="12"/>
      <c r="B1007" s="310"/>
      <c r="C1007" s="310"/>
      <c r="D1007" s="310"/>
      <c r="E1007" s="310"/>
      <c r="F1007" s="310"/>
      <c r="G1007" s="310"/>
      <c r="H1007" s="310"/>
      <c r="I1007" s="310"/>
      <c r="J1007" s="310"/>
      <c r="K1007" s="310"/>
      <c r="L1007" s="310"/>
      <c r="M1007" s="310"/>
      <c r="N1007" s="310"/>
      <c r="O1007" s="310"/>
      <c r="P1007" s="310"/>
      <c r="Q1007" s="310"/>
      <c r="R1007" s="310"/>
      <c r="S1007" s="310"/>
      <c r="T1007" s="310"/>
      <c r="U1007" s="310"/>
      <c r="V1007" s="310"/>
      <c r="W1007" s="310"/>
      <c r="X1007" s="310"/>
      <c r="Y1007" s="310"/>
      <c r="Z1007" s="310"/>
      <c r="AA1007" s="310"/>
      <c r="AB1007" s="310"/>
      <c r="AC1007" s="310"/>
      <c r="AD1007" s="310"/>
      <c r="AE1007" s="310"/>
      <c r="AF1007" s="310"/>
      <c r="AG1007" s="310"/>
      <c r="AH1007" s="310"/>
      <c r="AI1007" s="310"/>
      <c r="AJ1007" s="310"/>
      <c r="AK1007" s="310"/>
      <c r="AL1007" s="310"/>
      <c r="AM1007" s="310"/>
      <c r="AN1007" s="310"/>
      <c r="AO1007" s="310"/>
      <c r="AP1007" s="12"/>
      <c r="AQ1007" s="3"/>
      <c r="AR1007" s="3"/>
      <c r="AS1007" s="3"/>
      <c r="AT1007" s="3"/>
      <c r="AU1007" s="3"/>
      <c r="AV1007" s="3"/>
      <c r="AW1007" s="3"/>
      <c r="AX1007" s="3"/>
      <c r="AY1007" s="3"/>
      <c r="AZ1007" s="3"/>
      <c r="BA1007" s="3"/>
      <c r="BB1007" s="3"/>
      <c r="BC1007" s="3"/>
    </row>
    <row r="1008" ht="15.75" customHeight="1">
      <c r="A1008" s="12"/>
      <c r="B1008" s="310"/>
      <c r="C1008" s="310"/>
      <c r="D1008" s="310"/>
      <c r="E1008" s="310"/>
      <c r="F1008" s="310"/>
      <c r="G1008" s="310"/>
      <c r="H1008" s="310"/>
      <c r="I1008" s="310"/>
      <c r="J1008" s="310"/>
      <c r="K1008" s="310"/>
      <c r="L1008" s="310"/>
      <c r="M1008" s="310"/>
      <c r="N1008" s="310"/>
      <c r="O1008" s="310"/>
      <c r="P1008" s="310"/>
      <c r="Q1008" s="310"/>
      <c r="R1008" s="310"/>
      <c r="S1008" s="310"/>
      <c r="T1008" s="310"/>
      <c r="U1008" s="310"/>
      <c r="V1008" s="310"/>
      <c r="W1008" s="310"/>
      <c r="X1008" s="310"/>
      <c r="Y1008" s="310"/>
      <c r="Z1008" s="310"/>
      <c r="AA1008" s="310"/>
      <c r="AB1008" s="310"/>
      <c r="AC1008" s="310"/>
      <c r="AD1008" s="310"/>
      <c r="AE1008" s="310"/>
      <c r="AF1008" s="310"/>
      <c r="AG1008" s="310"/>
      <c r="AH1008" s="310"/>
      <c r="AI1008" s="310"/>
      <c r="AJ1008" s="310"/>
      <c r="AK1008" s="310"/>
      <c r="AL1008" s="310"/>
      <c r="AM1008" s="310"/>
      <c r="AN1008" s="310"/>
      <c r="AO1008" s="310"/>
      <c r="AP1008" s="12"/>
      <c r="AQ1008" s="3"/>
      <c r="AR1008" s="3"/>
      <c r="AS1008" s="3"/>
      <c r="AT1008" s="3"/>
      <c r="AU1008" s="3"/>
      <c r="AV1008" s="3"/>
      <c r="AW1008" s="3"/>
      <c r="AX1008" s="3"/>
      <c r="AY1008" s="3"/>
      <c r="AZ1008" s="3"/>
      <c r="BA1008" s="3"/>
      <c r="BB1008" s="3"/>
      <c r="BC1008" s="3"/>
    </row>
    <row r="1009" ht="15.75" customHeight="1">
      <c r="A1009" s="12"/>
      <c r="B1009" s="310"/>
      <c r="C1009" s="310"/>
      <c r="D1009" s="310"/>
      <c r="E1009" s="310"/>
      <c r="F1009" s="310"/>
      <c r="G1009" s="310"/>
      <c r="H1009" s="310"/>
      <c r="I1009" s="310"/>
      <c r="J1009" s="310"/>
      <c r="K1009" s="310"/>
      <c r="L1009" s="310"/>
      <c r="M1009" s="310"/>
      <c r="N1009" s="310"/>
      <c r="O1009" s="310"/>
      <c r="P1009" s="310"/>
      <c r="Q1009" s="310"/>
      <c r="R1009" s="310"/>
      <c r="S1009" s="310"/>
      <c r="T1009" s="310"/>
      <c r="U1009" s="310"/>
      <c r="V1009" s="310"/>
      <c r="W1009" s="310"/>
      <c r="X1009" s="310"/>
      <c r="Y1009" s="310"/>
      <c r="Z1009" s="310"/>
      <c r="AA1009" s="310"/>
      <c r="AB1009" s="310"/>
      <c r="AC1009" s="310"/>
      <c r="AD1009" s="310"/>
      <c r="AE1009" s="310"/>
      <c r="AF1009" s="310"/>
      <c r="AG1009" s="310"/>
      <c r="AH1009" s="310"/>
      <c r="AI1009" s="310"/>
      <c r="AJ1009" s="310"/>
      <c r="AK1009" s="310"/>
      <c r="AL1009" s="310"/>
      <c r="AM1009" s="310"/>
      <c r="AN1009" s="310"/>
      <c r="AO1009" s="310"/>
      <c r="AP1009" s="12"/>
      <c r="AQ1009" s="3"/>
      <c r="AR1009" s="3"/>
      <c r="AS1009" s="3"/>
      <c r="AT1009" s="3"/>
      <c r="AU1009" s="3"/>
      <c r="AV1009" s="3"/>
      <c r="AW1009" s="3"/>
      <c r="AX1009" s="3"/>
      <c r="AY1009" s="3"/>
      <c r="AZ1009" s="3"/>
      <c r="BA1009" s="3"/>
      <c r="BB1009" s="3"/>
      <c r="BC1009" s="3"/>
    </row>
    <row r="1010" ht="15.75" customHeight="1">
      <c r="A1010" s="12"/>
      <c r="B1010" s="310"/>
      <c r="C1010" s="310"/>
      <c r="D1010" s="310"/>
      <c r="E1010" s="310"/>
      <c r="F1010" s="310"/>
      <c r="G1010" s="310"/>
      <c r="H1010" s="310"/>
      <c r="I1010" s="310"/>
      <c r="J1010" s="310"/>
      <c r="K1010" s="310"/>
      <c r="L1010" s="310"/>
      <c r="M1010" s="310"/>
      <c r="N1010" s="310"/>
      <c r="O1010" s="310"/>
      <c r="P1010" s="310"/>
      <c r="Q1010" s="310"/>
      <c r="R1010" s="310"/>
      <c r="S1010" s="310"/>
      <c r="T1010" s="310"/>
      <c r="U1010" s="310"/>
      <c r="V1010" s="310"/>
      <c r="W1010" s="310"/>
      <c r="X1010" s="310"/>
      <c r="Y1010" s="310"/>
      <c r="Z1010" s="310"/>
      <c r="AA1010" s="310"/>
      <c r="AB1010" s="310"/>
      <c r="AC1010" s="310"/>
      <c r="AD1010" s="310"/>
      <c r="AE1010" s="310"/>
      <c r="AF1010" s="310"/>
      <c r="AG1010" s="310"/>
      <c r="AH1010" s="310"/>
      <c r="AI1010" s="310"/>
      <c r="AJ1010" s="310"/>
      <c r="AK1010" s="310"/>
      <c r="AL1010" s="310"/>
      <c r="AM1010" s="310"/>
      <c r="AN1010" s="310"/>
      <c r="AO1010" s="310"/>
      <c r="AP1010" s="12"/>
      <c r="AQ1010" s="3"/>
      <c r="AR1010" s="3"/>
      <c r="AS1010" s="3"/>
      <c r="AT1010" s="3"/>
      <c r="AU1010" s="3"/>
      <c r="AV1010" s="3"/>
      <c r="AW1010" s="3"/>
      <c r="AX1010" s="3"/>
      <c r="AY1010" s="3"/>
      <c r="AZ1010" s="3"/>
      <c r="BA1010" s="3"/>
      <c r="BB1010" s="3"/>
      <c r="BC1010" s="3"/>
    </row>
    <row r="1011" ht="15.75" customHeight="1">
      <c r="A1011" s="12"/>
      <c r="B1011" s="310"/>
      <c r="C1011" s="310"/>
      <c r="D1011" s="310"/>
      <c r="E1011" s="310"/>
      <c r="F1011" s="310"/>
      <c r="G1011" s="310"/>
      <c r="H1011" s="310"/>
      <c r="I1011" s="310"/>
      <c r="J1011" s="310"/>
      <c r="K1011" s="310"/>
      <c r="L1011" s="310"/>
      <c r="M1011" s="310"/>
      <c r="N1011" s="310"/>
      <c r="O1011" s="310"/>
      <c r="P1011" s="310"/>
      <c r="Q1011" s="310"/>
      <c r="R1011" s="310"/>
      <c r="S1011" s="310"/>
      <c r="T1011" s="310"/>
      <c r="U1011" s="310"/>
      <c r="V1011" s="310"/>
      <c r="W1011" s="310"/>
      <c r="X1011" s="310"/>
      <c r="Y1011" s="310"/>
      <c r="Z1011" s="310"/>
      <c r="AA1011" s="310"/>
      <c r="AB1011" s="310"/>
      <c r="AC1011" s="310"/>
      <c r="AD1011" s="310"/>
      <c r="AE1011" s="310"/>
      <c r="AF1011" s="310"/>
      <c r="AG1011" s="310"/>
      <c r="AH1011" s="310"/>
      <c r="AI1011" s="310"/>
      <c r="AJ1011" s="310"/>
      <c r="AK1011" s="310"/>
      <c r="AL1011" s="310"/>
      <c r="AM1011" s="310"/>
      <c r="AN1011" s="310"/>
      <c r="AO1011" s="310"/>
      <c r="AP1011" s="12"/>
      <c r="AQ1011" s="3"/>
      <c r="AR1011" s="3"/>
      <c r="AS1011" s="3"/>
      <c r="AT1011" s="3"/>
      <c r="AU1011" s="3"/>
      <c r="AV1011" s="3"/>
      <c r="AW1011" s="3"/>
      <c r="AX1011" s="3"/>
      <c r="AY1011" s="3"/>
      <c r="AZ1011" s="3"/>
      <c r="BA1011" s="3"/>
      <c r="BB1011" s="3"/>
      <c r="BC1011" s="3"/>
    </row>
    <row r="1012" ht="15.75" customHeight="1">
      <c r="A1012" s="12"/>
      <c r="B1012" s="310"/>
      <c r="C1012" s="310"/>
      <c r="D1012" s="310"/>
      <c r="E1012" s="310"/>
      <c r="F1012" s="310"/>
      <c r="G1012" s="310"/>
      <c r="H1012" s="310"/>
      <c r="I1012" s="310"/>
      <c r="J1012" s="310"/>
      <c r="K1012" s="310"/>
      <c r="L1012" s="310"/>
      <c r="M1012" s="310"/>
      <c r="N1012" s="310"/>
      <c r="O1012" s="310"/>
      <c r="P1012" s="310"/>
      <c r="Q1012" s="310"/>
      <c r="R1012" s="310"/>
      <c r="S1012" s="310"/>
      <c r="T1012" s="310"/>
      <c r="U1012" s="310"/>
      <c r="V1012" s="310"/>
      <c r="W1012" s="310"/>
      <c r="X1012" s="310"/>
      <c r="Y1012" s="310"/>
      <c r="Z1012" s="310"/>
      <c r="AA1012" s="310"/>
      <c r="AB1012" s="310"/>
      <c r="AC1012" s="310"/>
      <c r="AD1012" s="310"/>
      <c r="AE1012" s="310"/>
      <c r="AF1012" s="310"/>
      <c r="AG1012" s="310"/>
      <c r="AH1012" s="310"/>
      <c r="AI1012" s="310"/>
      <c r="AJ1012" s="310"/>
      <c r="AK1012" s="310"/>
      <c r="AL1012" s="310"/>
      <c r="AM1012" s="310"/>
      <c r="AN1012" s="310"/>
      <c r="AO1012" s="310"/>
      <c r="AP1012" s="12"/>
      <c r="AQ1012" s="3"/>
      <c r="AR1012" s="3"/>
      <c r="AS1012" s="3"/>
      <c r="AT1012" s="3"/>
      <c r="AU1012" s="3"/>
      <c r="AV1012" s="3"/>
      <c r="AW1012" s="3"/>
      <c r="AX1012" s="3"/>
      <c r="AY1012" s="3"/>
      <c r="AZ1012" s="3"/>
      <c r="BA1012" s="3"/>
      <c r="BB1012" s="3"/>
      <c r="BC1012" s="3"/>
    </row>
    <row r="1013" ht="15.75" customHeight="1">
      <c r="A1013" s="12"/>
      <c r="B1013" s="310"/>
      <c r="C1013" s="310"/>
      <c r="D1013" s="310"/>
      <c r="E1013" s="310"/>
      <c r="F1013" s="310"/>
      <c r="G1013" s="310"/>
      <c r="H1013" s="310"/>
      <c r="I1013" s="310"/>
      <c r="J1013" s="310"/>
      <c r="K1013" s="310"/>
      <c r="L1013" s="310"/>
      <c r="M1013" s="310"/>
      <c r="N1013" s="310"/>
      <c r="O1013" s="310"/>
      <c r="P1013" s="310"/>
      <c r="Q1013" s="310"/>
      <c r="R1013" s="310"/>
      <c r="S1013" s="310"/>
      <c r="T1013" s="310"/>
      <c r="U1013" s="310"/>
      <c r="V1013" s="310"/>
      <c r="W1013" s="310"/>
      <c r="X1013" s="310"/>
      <c r="Y1013" s="310"/>
      <c r="Z1013" s="310"/>
      <c r="AA1013" s="310"/>
      <c r="AB1013" s="310"/>
      <c r="AC1013" s="310"/>
      <c r="AD1013" s="310"/>
      <c r="AE1013" s="310"/>
      <c r="AF1013" s="310"/>
      <c r="AG1013" s="310"/>
      <c r="AH1013" s="310"/>
      <c r="AI1013" s="310"/>
      <c r="AJ1013" s="310"/>
      <c r="AK1013" s="310"/>
      <c r="AL1013" s="310"/>
      <c r="AM1013" s="310"/>
      <c r="AN1013" s="310"/>
      <c r="AO1013" s="310"/>
      <c r="AP1013" s="12"/>
      <c r="AQ1013" s="3"/>
      <c r="AR1013" s="3"/>
      <c r="AS1013" s="3"/>
      <c r="AT1013" s="3"/>
      <c r="AU1013" s="3"/>
      <c r="AV1013" s="3"/>
      <c r="AW1013" s="3"/>
      <c r="AX1013" s="3"/>
      <c r="AY1013" s="3"/>
      <c r="AZ1013" s="3"/>
      <c r="BA1013" s="3"/>
      <c r="BB1013" s="3"/>
      <c r="BC1013" s="3"/>
    </row>
    <row r="1014" ht="15.75" customHeight="1">
      <c r="A1014" s="12"/>
      <c r="B1014" s="310"/>
      <c r="C1014" s="310"/>
      <c r="D1014" s="310"/>
      <c r="E1014" s="310"/>
      <c r="F1014" s="310"/>
      <c r="G1014" s="310"/>
      <c r="H1014" s="310"/>
      <c r="I1014" s="310"/>
      <c r="J1014" s="310"/>
      <c r="K1014" s="310"/>
      <c r="L1014" s="310"/>
      <c r="M1014" s="310"/>
      <c r="N1014" s="310"/>
      <c r="O1014" s="310"/>
      <c r="P1014" s="310"/>
      <c r="Q1014" s="310"/>
      <c r="R1014" s="310"/>
      <c r="S1014" s="310"/>
      <c r="T1014" s="310"/>
      <c r="U1014" s="310"/>
      <c r="V1014" s="310"/>
      <c r="W1014" s="310"/>
      <c r="X1014" s="310"/>
      <c r="Y1014" s="310"/>
      <c r="Z1014" s="310"/>
      <c r="AA1014" s="310"/>
      <c r="AB1014" s="310"/>
      <c r="AC1014" s="310"/>
      <c r="AD1014" s="310"/>
      <c r="AE1014" s="310"/>
      <c r="AF1014" s="310"/>
      <c r="AG1014" s="310"/>
      <c r="AH1014" s="310"/>
      <c r="AI1014" s="310"/>
      <c r="AJ1014" s="310"/>
      <c r="AK1014" s="310"/>
      <c r="AL1014" s="310"/>
      <c r="AM1014" s="310"/>
      <c r="AN1014" s="310"/>
      <c r="AO1014" s="310"/>
      <c r="AP1014" s="12"/>
      <c r="AQ1014" s="3"/>
      <c r="AR1014" s="3"/>
      <c r="AS1014" s="3"/>
      <c r="AT1014" s="3"/>
      <c r="AU1014" s="3"/>
      <c r="AV1014" s="3"/>
      <c r="AW1014" s="3"/>
      <c r="AX1014" s="3"/>
      <c r="AY1014" s="3"/>
      <c r="AZ1014" s="3"/>
      <c r="BA1014" s="3"/>
      <c r="BB1014" s="3"/>
      <c r="BC1014" s="3"/>
    </row>
    <row r="1015" ht="15.75" customHeight="1">
      <c r="A1015" s="12"/>
      <c r="B1015" s="310"/>
      <c r="C1015" s="310"/>
      <c r="D1015" s="310"/>
      <c r="E1015" s="310"/>
      <c r="F1015" s="310"/>
      <c r="G1015" s="310"/>
      <c r="H1015" s="310"/>
      <c r="I1015" s="310"/>
      <c r="J1015" s="310"/>
      <c r="K1015" s="310"/>
      <c r="L1015" s="310"/>
      <c r="M1015" s="310"/>
      <c r="N1015" s="310"/>
      <c r="O1015" s="310"/>
      <c r="P1015" s="310"/>
      <c r="Q1015" s="310"/>
      <c r="R1015" s="310"/>
      <c r="S1015" s="310"/>
      <c r="T1015" s="310"/>
      <c r="U1015" s="310"/>
      <c r="V1015" s="310"/>
      <c r="W1015" s="310"/>
      <c r="X1015" s="310"/>
      <c r="Y1015" s="310"/>
      <c r="Z1015" s="310"/>
      <c r="AA1015" s="310"/>
      <c r="AB1015" s="310"/>
      <c r="AC1015" s="310"/>
      <c r="AD1015" s="310"/>
      <c r="AE1015" s="310"/>
      <c r="AF1015" s="310"/>
      <c r="AG1015" s="310"/>
      <c r="AH1015" s="310"/>
      <c r="AI1015" s="310"/>
      <c r="AJ1015" s="310"/>
      <c r="AK1015" s="310"/>
      <c r="AL1015" s="310"/>
      <c r="AM1015" s="310"/>
      <c r="AN1015" s="310"/>
      <c r="AO1015" s="310"/>
      <c r="AP1015" s="12"/>
      <c r="AQ1015" s="3"/>
      <c r="AR1015" s="3"/>
      <c r="AS1015" s="3"/>
      <c r="AT1015" s="3"/>
      <c r="AU1015" s="3"/>
      <c r="AV1015" s="3"/>
      <c r="AW1015" s="3"/>
      <c r="AX1015" s="3"/>
      <c r="AY1015" s="3"/>
      <c r="AZ1015" s="3"/>
      <c r="BA1015" s="3"/>
      <c r="BB1015" s="3"/>
      <c r="BC1015" s="3"/>
    </row>
    <row r="1016" ht="15.75" customHeight="1">
      <c r="A1016" s="12"/>
      <c r="B1016" s="310"/>
      <c r="C1016" s="310"/>
      <c r="D1016" s="310"/>
      <c r="E1016" s="310"/>
      <c r="F1016" s="310"/>
      <c r="G1016" s="310"/>
      <c r="H1016" s="310"/>
      <c r="I1016" s="310"/>
      <c r="J1016" s="310"/>
      <c r="K1016" s="310"/>
      <c r="L1016" s="310"/>
      <c r="M1016" s="310"/>
      <c r="N1016" s="310"/>
      <c r="O1016" s="310"/>
      <c r="P1016" s="310"/>
      <c r="Q1016" s="310"/>
      <c r="R1016" s="310"/>
      <c r="S1016" s="310"/>
      <c r="T1016" s="310"/>
      <c r="U1016" s="310"/>
      <c r="V1016" s="310"/>
      <c r="W1016" s="310"/>
      <c r="X1016" s="310"/>
      <c r="Y1016" s="310"/>
      <c r="Z1016" s="310"/>
      <c r="AA1016" s="310"/>
      <c r="AB1016" s="310"/>
      <c r="AC1016" s="310"/>
      <c r="AD1016" s="310"/>
      <c r="AE1016" s="310"/>
      <c r="AF1016" s="310"/>
      <c r="AG1016" s="310"/>
      <c r="AH1016" s="310"/>
      <c r="AI1016" s="310"/>
      <c r="AJ1016" s="310"/>
      <c r="AK1016" s="310"/>
      <c r="AL1016" s="310"/>
      <c r="AM1016" s="310"/>
      <c r="AN1016" s="310"/>
      <c r="AO1016" s="310"/>
      <c r="AP1016" s="12"/>
      <c r="AQ1016" s="3"/>
      <c r="AR1016" s="3"/>
      <c r="AS1016" s="3"/>
      <c r="AT1016" s="3"/>
      <c r="AU1016" s="3"/>
      <c r="AV1016" s="3"/>
      <c r="AW1016" s="3"/>
      <c r="AX1016" s="3"/>
      <c r="AY1016" s="3"/>
      <c r="AZ1016" s="3"/>
      <c r="BA1016" s="3"/>
      <c r="BB1016" s="3"/>
      <c r="BC1016" s="3"/>
    </row>
    <row r="1017" ht="15.75" customHeight="1">
      <c r="A1017" s="12"/>
      <c r="B1017" s="310"/>
      <c r="C1017" s="310"/>
      <c r="D1017" s="310"/>
      <c r="E1017" s="310"/>
      <c r="F1017" s="310"/>
      <c r="G1017" s="310"/>
      <c r="H1017" s="310"/>
      <c r="I1017" s="310"/>
      <c r="J1017" s="310"/>
      <c r="K1017" s="310"/>
      <c r="L1017" s="310"/>
      <c r="M1017" s="310"/>
      <c r="N1017" s="310"/>
      <c r="O1017" s="310"/>
      <c r="P1017" s="310"/>
      <c r="Q1017" s="310"/>
      <c r="R1017" s="310"/>
      <c r="S1017" s="310"/>
      <c r="T1017" s="310"/>
      <c r="U1017" s="310"/>
      <c r="V1017" s="310"/>
      <c r="W1017" s="310"/>
      <c r="X1017" s="310"/>
      <c r="Y1017" s="310"/>
      <c r="Z1017" s="310"/>
      <c r="AA1017" s="310"/>
      <c r="AB1017" s="310"/>
      <c r="AC1017" s="310"/>
      <c r="AD1017" s="310"/>
      <c r="AE1017" s="310"/>
      <c r="AF1017" s="310"/>
      <c r="AG1017" s="310"/>
      <c r="AH1017" s="310"/>
      <c r="AI1017" s="310"/>
      <c r="AJ1017" s="310"/>
      <c r="AK1017" s="310"/>
      <c r="AL1017" s="310"/>
      <c r="AM1017" s="310"/>
      <c r="AN1017" s="310"/>
      <c r="AO1017" s="310"/>
      <c r="AP1017" s="12"/>
      <c r="AQ1017" s="3"/>
      <c r="AR1017" s="3"/>
      <c r="AS1017" s="3"/>
      <c r="AT1017" s="3"/>
      <c r="AU1017" s="3"/>
      <c r="AV1017" s="3"/>
      <c r="AW1017" s="3"/>
      <c r="AX1017" s="3"/>
      <c r="AY1017" s="3"/>
      <c r="AZ1017" s="3"/>
      <c r="BA1017" s="3"/>
      <c r="BB1017" s="3"/>
      <c r="BC1017" s="3"/>
    </row>
    <row r="1018" ht="15.75" customHeight="1">
      <c r="A1018" s="12"/>
      <c r="B1018" s="310"/>
      <c r="C1018" s="310"/>
      <c r="D1018" s="310"/>
      <c r="E1018" s="310"/>
      <c r="F1018" s="310"/>
      <c r="G1018" s="310"/>
      <c r="H1018" s="310"/>
      <c r="I1018" s="310"/>
      <c r="J1018" s="310"/>
      <c r="K1018" s="310"/>
      <c r="L1018" s="310"/>
      <c r="M1018" s="310"/>
      <c r="N1018" s="310"/>
      <c r="O1018" s="310"/>
      <c r="P1018" s="310"/>
      <c r="Q1018" s="310"/>
      <c r="R1018" s="310"/>
      <c r="S1018" s="310"/>
      <c r="T1018" s="310"/>
      <c r="U1018" s="310"/>
      <c r="V1018" s="310"/>
      <c r="W1018" s="310"/>
      <c r="X1018" s="310"/>
      <c r="Y1018" s="310"/>
      <c r="Z1018" s="310"/>
      <c r="AA1018" s="310"/>
      <c r="AB1018" s="310"/>
      <c r="AC1018" s="310"/>
      <c r="AD1018" s="310"/>
      <c r="AE1018" s="310"/>
      <c r="AF1018" s="310"/>
      <c r="AG1018" s="310"/>
      <c r="AH1018" s="310"/>
      <c r="AI1018" s="310"/>
      <c r="AJ1018" s="310"/>
      <c r="AK1018" s="310"/>
      <c r="AL1018" s="310"/>
      <c r="AM1018" s="310"/>
      <c r="AN1018" s="310"/>
      <c r="AO1018" s="310"/>
      <c r="AP1018" s="12"/>
      <c r="AQ1018" s="3"/>
      <c r="AR1018" s="3"/>
      <c r="AS1018" s="3"/>
      <c r="AT1018" s="3"/>
      <c r="AU1018" s="3"/>
      <c r="AV1018" s="3"/>
      <c r="AW1018" s="3"/>
      <c r="AX1018" s="3"/>
      <c r="AY1018" s="3"/>
      <c r="AZ1018" s="3"/>
      <c r="BA1018" s="3"/>
      <c r="BB1018" s="3"/>
      <c r="BC1018" s="3"/>
    </row>
    <row r="1019" ht="15.75" customHeight="1">
      <c r="A1019" s="12"/>
      <c r="B1019" s="310"/>
      <c r="C1019" s="310"/>
      <c r="D1019" s="310"/>
      <c r="E1019" s="310"/>
      <c r="F1019" s="310"/>
      <c r="G1019" s="310"/>
      <c r="H1019" s="310"/>
      <c r="I1019" s="310"/>
      <c r="J1019" s="310"/>
      <c r="K1019" s="310"/>
      <c r="L1019" s="310"/>
      <c r="M1019" s="310"/>
      <c r="N1019" s="310"/>
      <c r="O1019" s="310"/>
      <c r="P1019" s="310"/>
      <c r="Q1019" s="310"/>
      <c r="R1019" s="310"/>
      <c r="S1019" s="310"/>
      <c r="T1019" s="310"/>
      <c r="U1019" s="310"/>
      <c r="V1019" s="310"/>
      <c r="W1019" s="310"/>
      <c r="X1019" s="310"/>
      <c r="Y1019" s="310"/>
      <c r="Z1019" s="310"/>
      <c r="AA1019" s="310"/>
      <c r="AB1019" s="310"/>
      <c r="AC1019" s="310"/>
      <c r="AD1019" s="310"/>
      <c r="AE1019" s="310"/>
      <c r="AF1019" s="310"/>
      <c r="AG1019" s="310"/>
      <c r="AH1019" s="310"/>
      <c r="AI1019" s="310"/>
      <c r="AJ1019" s="310"/>
      <c r="AK1019" s="310"/>
      <c r="AL1019" s="310"/>
      <c r="AM1019" s="310"/>
      <c r="AN1019" s="310"/>
      <c r="AO1019" s="310"/>
      <c r="AP1019" s="12"/>
      <c r="AQ1019" s="3"/>
      <c r="AR1019" s="3"/>
      <c r="AS1019" s="3"/>
      <c r="AT1019" s="3"/>
      <c r="AU1019" s="3"/>
      <c r="AV1019" s="3"/>
      <c r="AW1019" s="3"/>
      <c r="AX1019" s="3"/>
      <c r="AY1019" s="3"/>
      <c r="AZ1019" s="3"/>
      <c r="BA1019" s="3"/>
      <c r="BB1019" s="3"/>
      <c r="BC1019" s="3"/>
    </row>
    <row r="1020" ht="15.75" customHeight="1">
      <c r="A1020" s="12"/>
      <c r="B1020" s="310"/>
      <c r="C1020" s="310"/>
      <c r="D1020" s="310"/>
      <c r="E1020" s="310"/>
      <c r="F1020" s="310"/>
      <c r="G1020" s="310"/>
      <c r="H1020" s="310"/>
      <c r="I1020" s="310"/>
      <c r="J1020" s="310"/>
      <c r="K1020" s="310"/>
      <c r="L1020" s="310"/>
      <c r="M1020" s="310"/>
      <c r="N1020" s="310"/>
      <c r="O1020" s="310"/>
      <c r="P1020" s="310"/>
      <c r="Q1020" s="310"/>
      <c r="R1020" s="310"/>
      <c r="S1020" s="310"/>
      <c r="T1020" s="310"/>
      <c r="U1020" s="310"/>
      <c r="V1020" s="310"/>
      <c r="W1020" s="310"/>
      <c r="X1020" s="310"/>
      <c r="Y1020" s="310"/>
      <c r="Z1020" s="310"/>
      <c r="AA1020" s="310"/>
      <c r="AB1020" s="310"/>
      <c r="AC1020" s="310"/>
      <c r="AD1020" s="310"/>
      <c r="AE1020" s="310"/>
      <c r="AF1020" s="310"/>
      <c r="AG1020" s="310"/>
      <c r="AH1020" s="310"/>
      <c r="AI1020" s="310"/>
      <c r="AJ1020" s="310"/>
      <c r="AK1020" s="310"/>
      <c r="AL1020" s="310"/>
      <c r="AM1020" s="310"/>
      <c r="AN1020" s="310"/>
      <c r="AO1020" s="310"/>
      <c r="AP1020" s="12"/>
      <c r="AQ1020" s="3"/>
      <c r="AR1020" s="3"/>
      <c r="AS1020" s="3"/>
      <c r="AT1020" s="3"/>
      <c r="AU1020" s="3"/>
      <c r="AV1020" s="3"/>
      <c r="AW1020" s="3"/>
      <c r="AX1020" s="3"/>
      <c r="AY1020" s="3"/>
      <c r="AZ1020" s="3"/>
      <c r="BA1020" s="3"/>
      <c r="BB1020" s="3"/>
      <c r="BC1020" s="3"/>
    </row>
    <row r="1021" ht="15.75" customHeight="1">
      <c r="A1021" s="12"/>
      <c r="B1021" s="310"/>
      <c r="C1021" s="310"/>
      <c r="D1021" s="310"/>
      <c r="E1021" s="310"/>
      <c r="F1021" s="310"/>
      <c r="G1021" s="310"/>
      <c r="H1021" s="310"/>
      <c r="I1021" s="310"/>
      <c r="J1021" s="310"/>
      <c r="K1021" s="310"/>
      <c r="L1021" s="310"/>
      <c r="M1021" s="310"/>
      <c r="N1021" s="310"/>
      <c r="O1021" s="310"/>
      <c r="P1021" s="310"/>
      <c r="Q1021" s="310"/>
      <c r="R1021" s="310"/>
      <c r="S1021" s="310"/>
      <c r="T1021" s="310"/>
      <c r="U1021" s="310"/>
      <c r="V1021" s="310"/>
      <c r="W1021" s="310"/>
      <c r="X1021" s="310"/>
      <c r="Y1021" s="310"/>
      <c r="Z1021" s="310"/>
      <c r="AA1021" s="310"/>
      <c r="AB1021" s="310"/>
      <c r="AC1021" s="310"/>
      <c r="AD1021" s="310"/>
      <c r="AE1021" s="310"/>
      <c r="AF1021" s="310"/>
      <c r="AG1021" s="310"/>
      <c r="AH1021" s="310"/>
      <c r="AI1021" s="310"/>
      <c r="AJ1021" s="310"/>
      <c r="AK1021" s="310"/>
      <c r="AL1021" s="310"/>
      <c r="AM1021" s="310"/>
      <c r="AN1021" s="310"/>
      <c r="AO1021" s="310"/>
      <c r="AP1021" s="12"/>
      <c r="AQ1021" s="3"/>
      <c r="AR1021" s="3"/>
      <c r="AS1021" s="3"/>
      <c r="AT1021" s="3"/>
      <c r="AU1021" s="3"/>
      <c r="AV1021" s="3"/>
      <c r="AW1021" s="3"/>
      <c r="AX1021" s="3"/>
      <c r="AY1021" s="3"/>
      <c r="AZ1021" s="3"/>
      <c r="BA1021" s="3"/>
      <c r="BB1021" s="3"/>
      <c r="BC1021" s="3"/>
    </row>
    <row r="1022" ht="15.75" customHeight="1">
      <c r="A1022" s="12"/>
      <c r="B1022" s="310"/>
      <c r="C1022" s="310"/>
      <c r="D1022" s="310"/>
      <c r="E1022" s="310"/>
      <c r="F1022" s="310"/>
      <c r="G1022" s="310"/>
      <c r="H1022" s="310"/>
      <c r="I1022" s="310"/>
      <c r="J1022" s="310"/>
      <c r="K1022" s="310"/>
      <c r="L1022" s="310"/>
      <c r="M1022" s="310"/>
      <c r="N1022" s="310"/>
      <c r="O1022" s="310"/>
      <c r="P1022" s="310"/>
      <c r="Q1022" s="310"/>
      <c r="R1022" s="310"/>
      <c r="S1022" s="310"/>
      <c r="T1022" s="310"/>
      <c r="U1022" s="310"/>
      <c r="V1022" s="310"/>
      <c r="W1022" s="310"/>
      <c r="X1022" s="310"/>
      <c r="Y1022" s="310"/>
      <c r="Z1022" s="310"/>
      <c r="AA1022" s="310"/>
      <c r="AB1022" s="310"/>
      <c r="AC1022" s="310"/>
      <c r="AD1022" s="310"/>
      <c r="AE1022" s="310"/>
      <c r="AF1022" s="310"/>
      <c r="AG1022" s="310"/>
      <c r="AH1022" s="310"/>
      <c r="AI1022" s="310"/>
      <c r="AJ1022" s="310"/>
      <c r="AK1022" s="310"/>
      <c r="AL1022" s="310"/>
      <c r="AM1022" s="310"/>
      <c r="AN1022" s="310"/>
      <c r="AO1022" s="310"/>
      <c r="AP1022" s="12"/>
      <c r="AQ1022" s="3"/>
      <c r="AR1022" s="3"/>
      <c r="AS1022" s="3"/>
      <c r="AT1022" s="3"/>
      <c r="AU1022" s="3"/>
      <c r="AV1022" s="3"/>
      <c r="AW1022" s="3"/>
      <c r="AX1022" s="3"/>
      <c r="AY1022" s="3"/>
      <c r="AZ1022" s="3"/>
      <c r="BA1022" s="3"/>
      <c r="BB1022" s="3"/>
      <c r="BC1022" s="3"/>
    </row>
    <row r="1023" ht="15.75" customHeight="1">
      <c r="A1023" s="12"/>
      <c r="B1023" s="310"/>
      <c r="C1023" s="310"/>
      <c r="D1023" s="310"/>
      <c r="E1023" s="310"/>
      <c r="F1023" s="310"/>
      <c r="G1023" s="310"/>
      <c r="H1023" s="310"/>
      <c r="I1023" s="310"/>
      <c r="J1023" s="310"/>
      <c r="K1023" s="310"/>
      <c r="L1023" s="310"/>
      <c r="M1023" s="310"/>
      <c r="N1023" s="310"/>
      <c r="O1023" s="310"/>
      <c r="P1023" s="310"/>
      <c r="Q1023" s="310"/>
      <c r="R1023" s="310"/>
      <c r="S1023" s="310"/>
      <c r="T1023" s="310"/>
      <c r="U1023" s="310"/>
      <c r="V1023" s="310"/>
      <c r="W1023" s="310"/>
      <c r="X1023" s="310"/>
      <c r="Y1023" s="310"/>
      <c r="Z1023" s="310"/>
      <c r="AA1023" s="310"/>
      <c r="AB1023" s="310"/>
      <c r="AC1023" s="310"/>
      <c r="AD1023" s="310"/>
      <c r="AE1023" s="310"/>
      <c r="AF1023" s="310"/>
      <c r="AG1023" s="310"/>
      <c r="AH1023" s="310"/>
      <c r="AI1023" s="310"/>
      <c r="AJ1023" s="310"/>
      <c r="AK1023" s="310"/>
      <c r="AL1023" s="310"/>
      <c r="AM1023" s="310"/>
      <c r="AN1023" s="310"/>
      <c r="AO1023" s="310"/>
      <c r="AP1023" s="12"/>
      <c r="AQ1023" s="3"/>
      <c r="AR1023" s="3"/>
      <c r="AS1023" s="3"/>
      <c r="AT1023" s="3"/>
      <c r="AU1023" s="3"/>
      <c r="AV1023" s="3"/>
      <c r="AW1023" s="3"/>
      <c r="AX1023" s="3"/>
      <c r="AY1023" s="3"/>
      <c r="AZ1023" s="3"/>
      <c r="BA1023" s="3"/>
      <c r="BB1023" s="3"/>
      <c r="BC1023" s="3"/>
    </row>
    <row r="1024" ht="15.75" customHeight="1">
      <c r="A1024" s="12"/>
      <c r="B1024" s="310"/>
      <c r="C1024" s="310"/>
      <c r="D1024" s="310"/>
      <c r="E1024" s="310"/>
      <c r="F1024" s="310"/>
      <c r="G1024" s="310"/>
      <c r="H1024" s="310"/>
      <c r="I1024" s="310"/>
      <c r="J1024" s="310"/>
      <c r="K1024" s="310"/>
      <c r="L1024" s="310"/>
      <c r="M1024" s="310"/>
      <c r="N1024" s="310"/>
      <c r="O1024" s="310"/>
      <c r="P1024" s="310"/>
      <c r="Q1024" s="310"/>
      <c r="R1024" s="310"/>
      <c r="S1024" s="310"/>
      <c r="T1024" s="310"/>
      <c r="U1024" s="310"/>
      <c r="V1024" s="310"/>
      <c r="W1024" s="310"/>
      <c r="X1024" s="310"/>
      <c r="Y1024" s="310"/>
      <c r="Z1024" s="310"/>
      <c r="AA1024" s="310"/>
      <c r="AB1024" s="310"/>
      <c r="AC1024" s="310"/>
      <c r="AD1024" s="310"/>
      <c r="AE1024" s="310"/>
      <c r="AF1024" s="310"/>
      <c r="AG1024" s="310"/>
      <c r="AH1024" s="310"/>
      <c r="AI1024" s="310"/>
      <c r="AJ1024" s="310"/>
      <c r="AK1024" s="310"/>
      <c r="AL1024" s="310"/>
      <c r="AM1024" s="310"/>
      <c r="AN1024" s="310"/>
      <c r="AO1024" s="310"/>
      <c r="AP1024" s="12"/>
      <c r="AQ1024" s="3"/>
      <c r="AR1024" s="3"/>
      <c r="AS1024" s="3"/>
      <c r="AT1024" s="3"/>
      <c r="AU1024" s="3"/>
      <c r="AV1024" s="3"/>
      <c r="AW1024" s="3"/>
      <c r="AX1024" s="3"/>
      <c r="AY1024" s="3"/>
      <c r="AZ1024" s="3"/>
      <c r="BA1024" s="3"/>
      <c r="BB1024" s="3"/>
      <c r="BC1024" s="3"/>
    </row>
    <row r="1025" ht="15.75" customHeight="1">
      <c r="A1025" s="12"/>
      <c r="B1025" s="310"/>
      <c r="C1025" s="310"/>
      <c r="D1025" s="310"/>
      <c r="E1025" s="310"/>
      <c r="F1025" s="310"/>
      <c r="G1025" s="310"/>
      <c r="H1025" s="310"/>
      <c r="I1025" s="310"/>
      <c r="J1025" s="310"/>
      <c r="K1025" s="310"/>
      <c r="L1025" s="310"/>
      <c r="M1025" s="310"/>
      <c r="N1025" s="310"/>
      <c r="O1025" s="310"/>
      <c r="P1025" s="310"/>
      <c r="Q1025" s="310"/>
      <c r="R1025" s="310"/>
      <c r="S1025" s="310"/>
      <c r="T1025" s="310"/>
      <c r="U1025" s="310"/>
      <c r="V1025" s="310"/>
      <c r="W1025" s="310"/>
      <c r="X1025" s="310"/>
      <c r="Y1025" s="310"/>
      <c r="Z1025" s="310"/>
      <c r="AA1025" s="310"/>
      <c r="AB1025" s="310"/>
      <c r="AC1025" s="310"/>
      <c r="AD1025" s="310"/>
      <c r="AE1025" s="310"/>
      <c r="AF1025" s="310"/>
      <c r="AG1025" s="310"/>
      <c r="AH1025" s="310"/>
      <c r="AI1025" s="310"/>
      <c r="AJ1025" s="310"/>
      <c r="AK1025" s="310"/>
      <c r="AL1025" s="310"/>
      <c r="AM1025" s="310"/>
      <c r="AN1025" s="310"/>
      <c r="AO1025" s="310"/>
      <c r="AP1025" s="12"/>
      <c r="AQ1025" s="3"/>
      <c r="AR1025" s="3"/>
      <c r="AS1025" s="3"/>
      <c r="AT1025" s="3"/>
      <c r="AU1025" s="3"/>
      <c r="AV1025" s="3"/>
      <c r="AW1025" s="3"/>
      <c r="AX1025" s="3"/>
      <c r="AY1025" s="3"/>
      <c r="AZ1025" s="3"/>
      <c r="BA1025" s="3"/>
      <c r="BB1025" s="3"/>
      <c r="BC1025" s="3"/>
    </row>
    <row r="1026" ht="15.75" customHeight="1">
      <c r="A1026" s="12"/>
      <c r="B1026" s="310"/>
      <c r="C1026" s="310"/>
      <c r="D1026" s="310"/>
      <c r="E1026" s="310"/>
      <c r="F1026" s="310"/>
      <c r="G1026" s="310"/>
      <c r="H1026" s="310"/>
      <c r="I1026" s="310"/>
      <c r="J1026" s="310"/>
      <c r="K1026" s="310"/>
      <c r="L1026" s="310"/>
      <c r="M1026" s="310"/>
      <c r="N1026" s="310"/>
      <c r="O1026" s="310"/>
      <c r="P1026" s="310"/>
      <c r="Q1026" s="310"/>
      <c r="R1026" s="310"/>
      <c r="S1026" s="310"/>
      <c r="T1026" s="310"/>
      <c r="U1026" s="310"/>
      <c r="V1026" s="310"/>
      <c r="W1026" s="310"/>
      <c r="X1026" s="310"/>
      <c r="Y1026" s="310"/>
      <c r="Z1026" s="310"/>
      <c r="AA1026" s="310"/>
      <c r="AB1026" s="310"/>
      <c r="AC1026" s="310"/>
      <c r="AD1026" s="310"/>
      <c r="AE1026" s="310"/>
      <c r="AF1026" s="310"/>
      <c r="AG1026" s="310"/>
      <c r="AH1026" s="310"/>
      <c r="AI1026" s="310"/>
      <c r="AJ1026" s="310"/>
      <c r="AK1026" s="310"/>
      <c r="AL1026" s="310"/>
      <c r="AM1026" s="310"/>
      <c r="AN1026" s="310"/>
      <c r="AO1026" s="310"/>
      <c r="AP1026" s="12"/>
      <c r="AQ1026" s="3"/>
      <c r="AR1026" s="3"/>
      <c r="AS1026" s="3"/>
      <c r="AT1026" s="3"/>
      <c r="AU1026" s="3"/>
      <c r="AV1026" s="3"/>
      <c r="AW1026" s="3"/>
      <c r="AX1026" s="3"/>
      <c r="AY1026" s="3"/>
      <c r="AZ1026" s="3"/>
      <c r="BA1026" s="3"/>
      <c r="BB1026" s="3"/>
      <c r="BC1026" s="3"/>
    </row>
    <row r="1027" ht="15.75" customHeight="1">
      <c r="A1027" s="12"/>
      <c r="B1027" s="310"/>
      <c r="C1027" s="310"/>
      <c r="D1027" s="310"/>
      <c r="E1027" s="310"/>
      <c r="F1027" s="310"/>
      <c r="G1027" s="310"/>
      <c r="H1027" s="310"/>
      <c r="I1027" s="310"/>
      <c r="J1027" s="310"/>
      <c r="K1027" s="310"/>
      <c r="L1027" s="310"/>
      <c r="M1027" s="310"/>
      <c r="N1027" s="310"/>
      <c r="O1027" s="310"/>
      <c r="P1027" s="310"/>
      <c r="Q1027" s="310"/>
      <c r="R1027" s="310"/>
      <c r="S1027" s="310"/>
      <c r="T1027" s="310"/>
      <c r="U1027" s="310"/>
      <c r="V1027" s="310"/>
      <c r="W1027" s="310"/>
      <c r="X1027" s="310"/>
      <c r="Y1027" s="310"/>
      <c r="Z1027" s="310"/>
      <c r="AA1027" s="310"/>
      <c r="AB1027" s="310"/>
      <c r="AC1027" s="310"/>
      <c r="AD1027" s="310"/>
      <c r="AE1027" s="310"/>
      <c r="AF1027" s="310"/>
      <c r="AG1027" s="310"/>
      <c r="AH1027" s="310"/>
      <c r="AI1027" s="310"/>
      <c r="AJ1027" s="310"/>
      <c r="AK1027" s="310"/>
      <c r="AL1027" s="310"/>
      <c r="AM1027" s="310"/>
      <c r="AN1027" s="310"/>
      <c r="AO1027" s="310"/>
      <c r="AP1027" s="12"/>
      <c r="AQ1027" s="3"/>
      <c r="AR1027" s="3"/>
      <c r="AS1027" s="3"/>
      <c r="AT1027" s="3"/>
      <c r="AU1027" s="3"/>
      <c r="AV1027" s="3"/>
      <c r="AW1027" s="3"/>
      <c r="AX1027" s="3"/>
      <c r="AY1027" s="3"/>
      <c r="AZ1027" s="3"/>
      <c r="BA1027" s="3"/>
      <c r="BB1027" s="3"/>
      <c r="BC1027" s="3"/>
    </row>
    <row r="1028" ht="15.75" customHeight="1">
      <c r="A1028" s="12"/>
      <c r="B1028" s="310"/>
      <c r="C1028" s="310"/>
      <c r="D1028" s="310"/>
      <c r="E1028" s="310"/>
      <c r="F1028" s="310"/>
      <c r="G1028" s="310"/>
      <c r="H1028" s="310"/>
      <c r="I1028" s="310"/>
      <c r="J1028" s="310"/>
      <c r="K1028" s="310"/>
      <c r="L1028" s="310"/>
      <c r="M1028" s="310"/>
      <c r="N1028" s="310"/>
      <c r="O1028" s="310"/>
      <c r="P1028" s="310"/>
      <c r="Q1028" s="310"/>
      <c r="R1028" s="310"/>
      <c r="S1028" s="310"/>
      <c r="T1028" s="310"/>
      <c r="U1028" s="310"/>
      <c r="V1028" s="310"/>
      <c r="W1028" s="310"/>
      <c r="X1028" s="310"/>
      <c r="Y1028" s="310"/>
      <c r="Z1028" s="310"/>
      <c r="AA1028" s="310"/>
      <c r="AB1028" s="310"/>
      <c r="AC1028" s="310"/>
      <c r="AD1028" s="310"/>
      <c r="AE1028" s="310"/>
      <c r="AF1028" s="310"/>
      <c r="AG1028" s="310"/>
      <c r="AH1028" s="310"/>
      <c r="AI1028" s="310"/>
      <c r="AJ1028" s="310"/>
      <c r="AK1028" s="310"/>
      <c r="AL1028" s="310"/>
      <c r="AM1028" s="310"/>
      <c r="AN1028" s="310"/>
      <c r="AO1028" s="310"/>
      <c r="AP1028" s="12"/>
      <c r="AQ1028" s="3"/>
      <c r="AR1028" s="3"/>
      <c r="AS1028" s="3"/>
      <c r="AT1028" s="3"/>
      <c r="AU1028" s="3"/>
      <c r="AV1028" s="3"/>
      <c r="AW1028" s="3"/>
      <c r="AX1028" s="3"/>
      <c r="AY1028" s="3"/>
      <c r="AZ1028" s="3"/>
      <c r="BA1028" s="3"/>
      <c r="BB1028" s="3"/>
      <c r="BC1028" s="3"/>
    </row>
    <row r="1029" ht="15.75" customHeight="1">
      <c r="A1029" s="12"/>
      <c r="B1029" s="310"/>
      <c r="C1029" s="310"/>
      <c r="D1029" s="310"/>
      <c r="E1029" s="310"/>
      <c r="F1029" s="310"/>
      <c r="G1029" s="310"/>
      <c r="H1029" s="310"/>
      <c r="I1029" s="310"/>
      <c r="J1029" s="310"/>
      <c r="K1029" s="310"/>
      <c r="L1029" s="310"/>
      <c r="M1029" s="310"/>
      <c r="N1029" s="310"/>
      <c r="O1029" s="310"/>
      <c r="P1029" s="310"/>
      <c r="Q1029" s="310"/>
      <c r="R1029" s="310"/>
      <c r="S1029" s="310"/>
      <c r="T1029" s="310"/>
      <c r="U1029" s="310"/>
      <c r="V1029" s="310"/>
      <c r="W1029" s="310"/>
      <c r="X1029" s="310"/>
      <c r="Y1029" s="310"/>
      <c r="Z1029" s="310"/>
      <c r="AA1029" s="310"/>
      <c r="AB1029" s="310"/>
      <c r="AC1029" s="310"/>
      <c r="AD1029" s="310"/>
      <c r="AE1029" s="310"/>
      <c r="AF1029" s="310"/>
      <c r="AG1029" s="310"/>
      <c r="AH1029" s="310"/>
      <c r="AI1029" s="310"/>
      <c r="AJ1029" s="310"/>
      <c r="AK1029" s="310"/>
      <c r="AL1029" s="310"/>
      <c r="AM1029" s="310"/>
      <c r="AN1029" s="310"/>
      <c r="AO1029" s="310"/>
      <c r="AP1029" s="12"/>
      <c r="AQ1029" s="3"/>
      <c r="AR1029" s="3"/>
      <c r="AS1029" s="3"/>
      <c r="AT1029" s="3"/>
      <c r="AU1029" s="3"/>
      <c r="AV1029" s="3"/>
      <c r="AW1029" s="3"/>
      <c r="AX1029" s="3"/>
      <c r="AY1029" s="3"/>
      <c r="AZ1029" s="3"/>
      <c r="BA1029" s="3"/>
      <c r="BB1029" s="3"/>
      <c r="BC1029" s="3"/>
    </row>
    <row r="1030" ht="15.75" customHeight="1">
      <c r="A1030" s="12"/>
      <c r="B1030" s="310"/>
      <c r="C1030" s="310"/>
      <c r="D1030" s="310"/>
      <c r="E1030" s="310"/>
      <c r="F1030" s="310"/>
      <c r="G1030" s="310"/>
      <c r="H1030" s="310"/>
      <c r="I1030" s="310"/>
      <c r="J1030" s="310"/>
      <c r="K1030" s="310"/>
      <c r="L1030" s="310"/>
      <c r="M1030" s="310"/>
      <c r="N1030" s="310"/>
      <c r="O1030" s="310"/>
      <c r="P1030" s="310"/>
      <c r="Q1030" s="310"/>
      <c r="R1030" s="310"/>
      <c r="S1030" s="310"/>
      <c r="T1030" s="310"/>
      <c r="U1030" s="310"/>
      <c r="V1030" s="310"/>
      <c r="W1030" s="310"/>
      <c r="X1030" s="310"/>
      <c r="Y1030" s="310"/>
      <c r="Z1030" s="310"/>
      <c r="AA1030" s="310"/>
      <c r="AB1030" s="310"/>
      <c r="AC1030" s="310"/>
      <c r="AD1030" s="310"/>
      <c r="AE1030" s="310"/>
      <c r="AF1030" s="310"/>
      <c r="AG1030" s="310"/>
      <c r="AH1030" s="310"/>
      <c r="AI1030" s="310"/>
      <c r="AJ1030" s="310"/>
      <c r="AK1030" s="310"/>
      <c r="AL1030" s="310"/>
      <c r="AM1030" s="310"/>
      <c r="AN1030" s="310"/>
      <c r="AO1030" s="310"/>
      <c r="AP1030" s="12"/>
      <c r="AQ1030" s="3"/>
      <c r="AR1030" s="3"/>
      <c r="AS1030" s="3"/>
      <c r="AT1030" s="3"/>
      <c r="AU1030" s="3"/>
      <c r="AV1030" s="3"/>
      <c r="AW1030" s="3"/>
      <c r="AX1030" s="3"/>
      <c r="AY1030" s="3"/>
      <c r="AZ1030" s="3"/>
      <c r="BA1030" s="3"/>
      <c r="BB1030" s="3"/>
      <c r="BC1030" s="3"/>
    </row>
    <row r="1031" ht="15.75" customHeight="1">
      <c r="A1031" s="12"/>
      <c r="B1031" s="310"/>
      <c r="C1031" s="310"/>
      <c r="D1031" s="310"/>
      <c r="E1031" s="310"/>
      <c r="F1031" s="310"/>
      <c r="G1031" s="310"/>
      <c r="H1031" s="310"/>
      <c r="I1031" s="310"/>
      <c r="J1031" s="310"/>
      <c r="K1031" s="310"/>
      <c r="L1031" s="310"/>
      <c r="M1031" s="310"/>
      <c r="N1031" s="310"/>
      <c r="O1031" s="310"/>
      <c r="P1031" s="310"/>
      <c r="Q1031" s="310"/>
      <c r="R1031" s="310"/>
      <c r="S1031" s="310"/>
      <c r="T1031" s="310"/>
      <c r="U1031" s="310"/>
      <c r="V1031" s="310"/>
      <c r="W1031" s="310"/>
      <c r="X1031" s="310"/>
      <c r="Y1031" s="310"/>
      <c r="Z1031" s="310"/>
      <c r="AA1031" s="310"/>
      <c r="AB1031" s="310"/>
      <c r="AC1031" s="310"/>
      <c r="AD1031" s="310"/>
      <c r="AE1031" s="310"/>
      <c r="AF1031" s="310"/>
      <c r="AG1031" s="310"/>
      <c r="AH1031" s="310"/>
      <c r="AI1031" s="310"/>
      <c r="AJ1031" s="310"/>
      <c r="AK1031" s="310"/>
      <c r="AL1031" s="310"/>
      <c r="AM1031" s="310"/>
      <c r="AN1031" s="310"/>
      <c r="AO1031" s="310"/>
      <c r="AP1031" s="12"/>
      <c r="AQ1031" s="3"/>
      <c r="AR1031" s="3"/>
      <c r="AS1031" s="3"/>
      <c r="AT1031" s="3"/>
      <c r="AU1031" s="3"/>
      <c r="AV1031" s="3"/>
      <c r="AW1031" s="3"/>
      <c r="AX1031" s="3"/>
      <c r="AY1031" s="3"/>
      <c r="AZ1031" s="3"/>
      <c r="BA1031" s="3"/>
      <c r="BB1031" s="3"/>
      <c r="BC1031" s="3"/>
    </row>
    <row r="1032" ht="15.75" customHeight="1">
      <c r="A1032" s="12"/>
      <c r="B1032" s="310"/>
      <c r="C1032" s="310"/>
      <c r="D1032" s="310"/>
      <c r="E1032" s="310"/>
      <c r="F1032" s="310"/>
      <c r="G1032" s="310"/>
      <c r="H1032" s="310"/>
      <c r="I1032" s="310"/>
      <c r="J1032" s="310"/>
      <c r="K1032" s="310"/>
      <c r="L1032" s="310"/>
      <c r="M1032" s="310"/>
      <c r="N1032" s="310"/>
      <c r="O1032" s="310"/>
      <c r="P1032" s="310"/>
      <c r="Q1032" s="310"/>
      <c r="R1032" s="310"/>
      <c r="S1032" s="310"/>
      <c r="T1032" s="310"/>
      <c r="U1032" s="310"/>
      <c r="V1032" s="310"/>
      <c r="W1032" s="310"/>
      <c r="X1032" s="310"/>
      <c r="Y1032" s="310"/>
      <c r="Z1032" s="310"/>
      <c r="AA1032" s="310"/>
      <c r="AB1032" s="310"/>
      <c r="AC1032" s="310"/>
      <c r="AD1032" s="310"/>
      <c r="AE1032" s="310"/>
      <c r="AF1032" s="310"/>
      <c r="AG1032" s="310"/>
      <c r="AH1032" s="310"/>
      <c r="AI1032" s="310"/>
      <c r="AJ1032" s="310"/>
      <c r="AK1032" s="310"/>
      <c r="AL1032" s="310"/>
      <c r="AM1032" s="310"/>
      <c r="AN1032" s="310"/>
      <c r="AO1032" s="310"/>
      <c r="AP1032" s="12"/>
      <c r="AQ1032" s="3"/>
      <c r="AR1032" s="3"/>
      <c r="AS1032" s="3"/>
      <c r="AT1032" s="3"/>
      <c r="AU1032" s="3"/>
      <c r="AV1032" s="3"/>
      <c r="AW1032" s="3"/>
      <c r="AX1032" s="3"/>
      <c r="AY1032" s="3"/>
      <c r="AZ1032" s="3"/>
      <c r="BA1032" s="3"/>
      <c r="BB1032" s="3"/>
      <c r="BC1032" s="3"/>
    </row>
    <row r="1033" ht="15.75" customHeight="1">
      <c r="A1033" s="12"/>
      <c r="B1033" s="310"/>
      <c r="C1033" s="310"/>
      <c r="D1033" s="310"/>
      <c r="E1033" s="310"/>
      <c r="F1033" s="310"/>
      <c r="G1033" s="310"/>
      <c r="H1033" s="310"/>
      <c r="I1033" s="310"/>
      <c r="J1033" s="310"/>
      <c r="K1033" s="310"/>
      <c r="L1033" s="310"/>
      <c r="M1033" s="310"/>
      <c r="N1033" s="310"/>
      <c r="O1033" s="310"/>
      <c r="P1033" s="310"/>
      <c r="Q1033" s="310"/>
      <c r="R1033" s="310"/>
      <c r="S1033" s="310"/>
      <c r="T1033" s="310"/>
      <c r="U1033" s="310"/>
      <c r="V1033" s="310"/>
      <c r="W1033" s="310"/>
      <c r="X1033" s="310"/>
      <c r="Y1033" s="310"/>
      <c r="Z1033" s="310"/>
      <c r="AA1033" s="310"/>
      <c r="AB1033" s="310"/>
      <c r="AC1033" s="310"/>
      <c r="AD1033" s="310"/>
      <c r="AE1033" s="310"/>
      <c r="AF1033" s="310"/>
      <c r="AG1033" s="310"/>
      <c r="AH1033" s="310"/>
      <c r="AI1033" s="310"/>
      <c r="AJ1033" s="310"/>
      <c r="AK1033" s="310"/>
      <c r="AL1033" s="310"/>
      <c r="AM1033" s="310"/>
      <c r="AN1033" s="310"/>
      <c r="AO1033" s="310"/>
      <c r="AP1033" s="12"/>
      <c r="AQ1033" s="3"/>
      <c r="AR1033" s="3"/>
      <c r="AS1033" s="3"/>
      <c r="AT1033" s="3"/>
      <c r="AU1033" s="3"/>
      <c r="AV1033" s="3"/>
      <c r="AW1033" s="3"/>
      <c r="AX1033" s="3"/>
      <c r="AY1033" s="3"/>
      <c r="AZ1033" s="3"/>
      <c r="BA1033" s="3"/>
      <c r="BB1033" s="3"/>
      <c r="BC1033" s="3"/>
    </row>
    <row r="1034" ht="15.75" customHeight="1">
      <c r="A1034" s="12"/>
      <c r="B1034" s="310"/>
      <c r="C1034" s="310"/>
      <c r="D1034" s="310"/>
      <c r="E1034" s="310"/>
      <c r="F1034" s="310"/>
      <c r="G1034" s="310"/>
      <c r="H1034" s="310"/>
      <c r="I1034" s="310"/>
      <c r="J1034" s="310"/>
      <c r="K1034" s="310"/>
      <c r="L1034" s="310"/>
      <c r="M1034" s="310"/>
      <c r="N1034" s="310"/>
      <c r="O1034" s="310"/>
      <c r="P1034" s="310"/>
      <c r="Q1034" s="310"/>
      <c r="R1034" s="310"/>
      <c r="S1034" s="310"/>
      <c r="T1034" s="310"/>
      <c r="U1034" s="310"/>
      <c r="V1034" s="310"/>
      <c r="W1034" s="310"/>
      <c r="X1034" s="310"/>
      <c r="Y1034" s="310"/>
      <c r="Z1034" s="310"/>
      <c r="AA1034" s="310"/>
      <c r="AB1034" s="310"/>
      <c r="AC1034" s="310"/>
      <c r="AD1034" s="310"/>
      <c r="AE1034" s="310"/>
      <c r="AF1034" s="310"/>
      <c r="AG1034" s="310"/>
      <c r="AH1034" s="310"/>
      <c r="AI1034" s="310"/>
      <c r="AJ1034" s="310"/>
      <c r="AK1034" s="310"/>
      <c r="AL1034" s="310"/>
      <c r="AM1034" s="310"/>
      <c r="AN1034" s="310"/>
      <c r="AO1034" s="310"/>
      <c r="AP1034" s="12"/>
      <c r="AQ1034" s="3"/>
      <c r="AR1034" s="3"/>
      <c r="AS1034" s="3"/>
      <c r="AT1034" s="3"/>
      <c r="AU1034" s="3"/>
      <c r="AV1034" s="3"/>
      <c r="AW1034" s="3"/>
      <c r="AX1034" s="3"/>
      <c r="AY1034" s="3"/>
      <c r="AZ1034" s="3"/>
      <c r="BA1034" s="3"/>
      <c r="BB1034" s="3"/>
      <c r="BC1034" s="3"/>
    </row>
    <row r="1035" ht="15.75" customHeight="1">
      <c r="A1035" s="12"/>
      <c r="B1035" s="310"/>
      <c r="C1035" s="310"/>
      <c r="D1035" s="310"/>
      <c r="E1035" s="310"/>
      <c r="F1035" s="310"/>
      <c r="G1035" s="310"/>
      <c r="H1035" s="310"/>
      <c r="I1035" s="310"/>
      <c r="J1035" s="310"/>
      <c r="K1035" s="310"/>
      <c r="L1035" s="310"/>
      <c r="M1035" s="310"/>
      <c r="N1035" s="310"/>
      <c r="O1035" s="310"/>
      <c r="P1035" s="310"/>
      <c r="Q1035" s="310"/>
      <c r="R1035" s="310"/>
      <c r="S1035" s="310"/>
      <c r="T1035" s="310"/>
      <c r="U1035" s="310"/>
      <c r="V1035" s="310"/>
      <c r="W1035" s="310"/>
      <c r="X1035" s="310"/>
      <c r="Y1035" s="310"/>
      <c r="Z1035" s="310"/>
      <c r="AA1035" s="310"/>
      <c r="AB1035" s="310"/>
      <c r="AC1035" s="310"/>
      <c r="AD1035" s="310"/>
      <c r="AE1035" s="310"/>
      <c r="AF1035" s="310"/>
      <c r="AG1035" s="310"/>
      <c r="AH1035" s="310"/>
      <c r="AI1035" s="310"/>
      <c r="AJ1035" s="310"/>
      <c r="AK1035" s="310"/>
      <c r="AL1035" s="310"/>
      <c r="AM1035" s="310"/>
      <c r="AN1035" s="310"/>
      <c r="AO1035" s="310"/>
      <c r="AP1035" s="12"/>
      <c r="AQ1035" s="3"/>
      <c r="AR1035" s="3"/>
      <c r="AS1035" s="3"/>
      <c r="AT1035" s="3"/>
      <c r="AU1035" s="3"/>
      <c r="AV1035" s="3"/>
      <c r="AW1035" s="3"/>
      <c r="AX1035" s="3"/>
      <c r="AY1035" s="3"/>
      <c r="AZ1035" s="3"/>
      <c r="BA1035" s="3"/>
      <c r="BB1035" s="3"/>
      <c r="BC1035" s="3"/>
    </row>
    <row r="1036" ht="15.75" customHeight="1">
      <c r="A1036" s="12"/>
      <c r="B1036" s="310"/>
      <c r="C1036" s="310"/>
      <c r="D1036" s="310"/>
      <c r="E1036" s="310"/>
      <c r="F1036" s="310"/>
      <c r="G1036" s="310"/>
      <c r="H1036" s="310"/>
      <c r="I1036" s="310"/>
      <c r="J1036" s="310"/>
      <c r="K1036" s="310"/>
      <c r="L1036" s="310"/>
      <c r="M1036" s="310"/>
      <c r="N1036" s="310"/>
      <c r="O1036" s="310"/>
      <c r="P1036" s="310"/>
      <c r="Q1036" s="310"/>
      <c r="R1036" s="310"/>
      <c r="S1036" s="310"/>
      <c r="T1036" s="310"/>
      <c r="U1036" s="310"/>
      <c r="V1036" s="310"/>
      <c r="W1036" s="310"/>
      <c r="X1036" s="310"/>
      <c r="Y1036" s="310"/>
      <c r="Z1036" s="310"/>
      <c r="AA1036" s="310"/>
      <c r="AB1036" s="310"/>
      <c r="AC1036" s="310"/>
      <c r="AD1036" s="310"/>
      <c r="AE1036" s="310"/>
      <c r="AF1036" s="310"/>
      <c r="AG1036" s="310"/>
      <c r="AH1036" s="310"/>
      <c r="AI1036" s="310"/>
      <c r="AJ1036" s="310"/>
      <c r="AK1036" s="310"/>
      <c r="AL1036" s="310"/>
      <c r="AM1036" s="310"/>
      <c r="AN1036" s="310"/>
      <c r="AO1036" s="310"/>
      <c r="AP1036" s="12"/>
      <c r="AQ1036" s="3"/>
      <c r="AR1036" s="3"/>
      <c r="AS1036" s="3"/>
      <c r="AT1036" s="3"/>
      <c r="AU1036" s="3"/>
      <c r="AV1036" s="3"/>
      <c r="AW1036" s="3"/>
      <c r="AX1036" s="3"/>
      <c r="AY1036" s="3"/>
      <c r="AZ1036" s="3"/>
      <c r="BA1036" s="3"/>
      <c r="BB1036" s="3"/>
      <c r="BC1036" s="3"/>
    </row>
    <row r="1037" ht="15.75" customHeight="1">
      <c r="A1037" s="12"/>
      <c r="B1037" s="310"/>
      <c r="C1037" s="310"/>
      <c r="D1037" s="310"/>
      <c r="E1037" s="310"/>
      <c r="F1037" s="310"/>
      <c r="G1037" s="310"/>
      <c r="H1037" s="310"/>
      <c r="I1037" s="310"/>
      <c r="J1037" s="310"/>
      <c r="K1037" s="310"/>
      <c r="L1037" s="310"/>
      <c r="M1037" s="310"/>
      <c r="N1037" s="310"/>
      <c r="O1037" s="310"/>
      <c r="P1037" s="310"/>
      <c r="Q1037" s="310"/>
      <c r="R1037" s="310"/>
      <c r="S1037" s="310"/>
      <c r="T1037" s="310"/>
      <c r="U1037" s="310"/>
      <c r="V1037" s="310"/>
      <c r="W1037" s="310"/>
      <c r="X1037" s="310"/>
      <c r="Y1037" s="310"/>
      <c r="Z1037" s="310"/>
      <c r="AA1037" s="310"/>
      <c r="AB1037" s="310"/>
      <c r="AC1037" s="310"/>
      <c r="AD1037" s="310"/>
      <c r="AE1037" s="310"/>
      <c r="AF1037" s="310"/>
      <c r="AG1037" s="310"/>
      <c r="AH1037" s="310"/>
      <c r="AI1037" s="310"/>
      <c r="AJ1037" s="310"/>
      <c r="AK1037" s="310"/>
      <c r="AL1037" s="310"/>
      <c r="AM1037" s="310"/>
      <c r="AN1037" s="310"/>
      <c r="AO1037" s="310"/>
      <c r="AP1037" s="12"/>
      <c r="AQ1037" s="3"/>
      <c r="AR1037" s="3"/>
      <c r="AS1037" s="3"/>
      <c r="AT1037" s="3"/>
      <c r="AU1037" s="3"/>
      <c r="AV1037" s="3"/>
      <c r="AW1037" s="3"/>
      <c r="AX1037" s="3"/>
      <c r="AY1037" s="3"/>
      <c r="AZ1037" s="3"/>
      <c r="BA1037" s="3"/>
      <c r="BB1037" s="3"/>
      <c r="BC1037" s="3"/>
    </row>
    <row r="1038" ht="15.75" customHeight="1">
      <c r="A1038" s="12"/>
      <c r="B1038" s="310"/>
      <c r="C1038" s="310"/>
      <c r="D1038" s="310"/>
      <c r="E1038" s="310"/>
      <c r="F1038" s="310"/>
      <c r="G1038" s="310"/>
      <c r="H1038" s="310"/>
      <c r="I1038" s="310"/>
      <c r="J1038" s="310"/>
      <c r="K1038" s="310"/>
      <c r="L1038" s="310"/>
      <c r="M1038" s="310"/>
      <c r="N1038" s="310"/>
      <c r="O1038" s="310"/>
      <c r="P1038" s="310"/>
      <c r="Q1038" s="310"/>
      <c r="R1038" s="310"/>
      <c r="S1038" s="310"/>
      <c r="T1038" s="310"/>
      <c r="U1038" s="310"/>
      <c r="V1038" s="310"/>
      <c r="W1038" s="310"/>
      <c r="X1038" s="310"/>
      <c r="Y1038" s="310"/>
      <c r="Z1038" s="310"/>
      <c r="AA1038" s="310"/>
      <c r="AB1038" s="310"/>
      <c r="AC1038" s="310"/>
      <c r="AD1038" s="310"/>
      <c r="AE1038" s="310"/>
      <c r="AF1038" s="310"/>
      <c r="AG1038" s="310"/>
      <c r="AH1038" s="310"/>
      <c r="AI1038" s="310"/>
      <c r="AJ1038" s="310"/>
      <c r="AK1038" s="310"/>
      <c r="AL1038" s="310"/>
      <c r="AM1038" s="310"/>
      <c r="AN1038" s="310"/>
      <c r="AO1038" s="310"/>
      <c r="AP1038" s="12"/>
      <c r="AQ1038" s="3"/>
      <c r="AR1038" s="3"/>
      <c r="AS1038" s="3"/>
      <c r="AT1038" s="3"/>
      <c r="AU1038" s="3"/>
      <c r="AV1038" s="3"/>
      <c r="AW1038" s="3"/>
      <c r="AX1038" s="3"/>
      <c r="AY1038" s="3"/>
      <c r="AZ1038" s="3"/>
      <c r="BA1038" s="3"/>
      <c r="BB1038" s="3"/>
      <c r="BC1038" s="3"/>
    </row>
    <row r="1039" ht="15.75" customHeight="1">
      <c r="A1039" s="12"/>
      <c r="B1039" s="310"/>
      <c r="C1039" s="310"/>
      <c r="D1039" s="310"/>
      <c r="E1039" s="310"/>
      <c r="F1039" s="310"/>
      <c r="G1039" s="310"/>
      <c r="H1039" s="310"/>
      <c r="I1039" s="310"/>
      <c r="J1039" s="310"/>
      <c r="K1039" s="310"/>
      <c r="L1039" s="310"/>
      <c r="M1039" s="310"/>
      <c r="N1039" s="310"/>
      <c r="O1039" s="310"/>
      <c r="P1039" s="310"/>
      <c r="Q1039" s="310"/>
      <c r="R1039" s="310"/>
      <c r="S1039" s="310"/>
      <c r="T1039" s="310"/>
      <c r="U1039" s="310"/>
      <c r="V1039" s="310"/>
      <c r="W1039" s="310"/>
      <c r="X1039" s="310"/>
      <c r="Y1039" s="310"/>
      <c r="Z1039" s="310"/>
      <c r="AA1039" s="310"/>
      <c r="AB1039" s="310"/>
      <c r="AC1039" s="310"/>
      <c r="AD1039" s="310"/>
      <c r="AE1039" s="310"/>
      <c r="AF1039" s="310"/>
      <c r="AG1039" s="310"/>
      <c r="AH1039" s="310"/>
      <c r="AI1039" s="310"/>
      <c r="AJ1039" s="310"/>
      <c r="AK1039" s="310"/>
      <c r="AL1039" s="310"/>
      <c r="AM1039" s="310"/>
      <c r="AN1039" s="310"/>
      <c r="AO1039" s="310"/>
      <c r="AP1039" s="12"/>
      <c r="AQ1039" s="3"/>
      <c r="AR1039" s="3"/>
      <c r="AS1039" s="3"/>
      <c r="AT1039" s="3"/>
      <c r="AU1039" s="3"/>
      <c r="AV1039" s="3"/>
      <c r="AW1039" s="3"/>
      <c r="AX1039" s="3"/>
      <c r="AY1039" s="3"/>
      <c r="AZ1039" s="3"/>
      <c r="BA1039" s="3"/>
      <c r="BB1039" s="3"/>
      <c r="BC1039" s="3"/>
    </row>
    <row r="1040" ht="15.75" customHeight="1">
      <c r="A1040" s="12"/>
      <c r="B1040" s="310"/>
      <c r="C1040" s="310"/>
      <c r="D1040" s="310"/>
      <c r="E1040" s="310"/>
      <c r="F1040" s="310"/>
      <c r="G1040" s="310"/>
      <c r="H1040" s="310"/>
      <c r="I1040" s="310"/>
      <c r="J1040" s="310"/>
      <c r="K1040" s="310"/>
      <c r="L1040" s="310"/>
      <c r="M1040" s="310"/>
      <c r="N1040" s="310"/>
      <c r="O1040" s="310"/>
      <c r="P1040" s="310"/>
      <c r="Q1040" s="310"/>
      <c r="R1040" s="310"/>
      <c r="S1040" s="310"/>
      <c r="T1040" s="310"/>
      <c r="U1040" s="310"/>
      <c r="V1040" s="310"/>
      <c r="W1040" s="310"/>
      <c r="X1040" s="310"/>
      <c r="Y1040" s="310"/>
      <c r="Z1040" s="310"/>
      <c r="AA1040" s="310"/>
      <c r="AB1040" s="310"/>
      <c r="AC1040" s="310"/>
      <c r="AD1040" s="310"/>
      <c r="AE1040" s="310"/>
      <c r="AF1040" s="310"/>
      <c r="AG1040" s="310"/>
      <c r="AH1040" s="310"/>
      <c r="AI1040" s="310"/>
      <c r="AJ1040" s="310"/>
      <c r="AK1040" s="310"/>
      <c r="AL1040" s="310"/>
      <c r="AM1040" s="310"/>
      <c r="AN1040" s="310"/>
      <c r="AO1040" s="310"/>
      <c r="AP1040" s="12"/>
      <c r="AQ1040" s="3"/>
      <c r="AR1040" s="3"/>
      <c r="AS1040" s="3"/>
      <c r="AT1040" s="3"/>
      <c r="AU1040" s="3"/>
      <c r="AV1040" s="3"/>
      <c r="AW1040" s="3"/>
      <c r="AX1040" s="3"/>
      <c r="AY1040" s="3"/>
      <c r="AZ1040" s="3"/>
      <c r="BA1040" s="3"/>
      <c r="BB1040" s="3"/>
      <c r="BC1040" s="3"/>
    </row>
    <row r="1041" ht="15.75" customHeight="1">
      <c r="A1041" s="12"/>
      <c r="B1041" s="310"/>
      <c r="C1041" s="310"/>
      <c r="D1041" s="310"/>
      <c r="E1041" s="310"/>
      <c r="F1041" s="310"/>
      <c r="G1041" s="310"/>
      <c r="H1041" s="310"/>
      <c r="I1041" s="310"/>
      <c r="J1041" s="310"/>
      <c r="K1041" s="310"/>
      <c r="L1041" s="310"/>
      <c r="M1041" s="310"/>
      <c r="N1041" s="310"/>
      <c r="O1041" s="310"/>
      <c r="P1041" s="310"/>
      <c r="Q1041" s="310"/>
      <c r="R1041" s="310"/>
      <c r="S1041" s="310"/>
      <c r="T1041" s="310"/>
      <c r="U1041" s="310"/>
      <c r="V1041" s="310"/>
      <c r="W1041" s="310"/>
      <c r="X1041" s="310"/>
      <c r="Y1041" s="310"/>
      <c r="Z1041" s="310"/>
      <c r="AA1041" s="310"/>
      <c r="AB1041" s="310"/>
      <c r="AC1041" s="310"/>
      <c r="AD1041" s="310"/>
      <c r="AE1041" s="310"/>
      <c r="AF1041" s="310"/>
      <c r="AG1041" s="310"/>
      <c r="AH1041" s="310"/>
      <c r="AI1041" s="310"/>
      <c r="AJ1041" s="310"/>
      <c r="AK1041" s="310"/>
      <c r="AL1041" s="310"/>
      <c r="AM1041" s="310"/>
      <c r="AN1041" s="310"/>
      <c r="AO1041" s="310"/>
      <c r="AP1041" s="12"/>
      <c r="AQ1041" s="3"/>
      <c r="AR1041" s="3"/>
      <c r="AS1041" s="3"/>
      <c r="AT1041" s="3"/>
      <c r="AU1041" s="3"/>
      <c r="AV1041" s="3"/>
      <c r="AW1041" s="3"/>
      <c r="AX1041" s="3"/>
      <c r="AY1041" s="3"/>
      <c r="AZ1041" s="3"/>
      <c r="BA1041" s="3"/>
      <c r="BB1041" s="3"/>
      <c r="BC1041" s="3"/>
    </row>
    <row r="1042" ht="15.75" customHeight="1">
      <c r="A1042" s="12"/>
      <c r="B1042" s="310"/>
      <c r="C1042" s="310"/>
      <c r="D1042" s="310"/>
      <c r="E1042" s="310"/>
      <c r="F1042" s="310"/>
      <c r="G1042" s="310"/>
      <c r="H1042" s="310"/>
      <c r="I1042" s="310"/>
      <c r="J1042" s="310"/>
      <c r="K1042" s="310"/>
      <c r="L1042" s="310"/>
      <c r="M1042" s="310"/>
      <c r="N1042" s="310"/>
      <c r="O1042" s="310"/>
      <c r="P1042" s="310"/>
      <c r="Q1042" s="310"/>
      <c r="R1042" s="310"/>
      <c r="S1042" s="310"/>
      <c r="T1042" s="310"/>
      <c r="U1042" s="310"/>
      <c r="V1042" s="310"/>
      <c r="W1042" s="310"/>
      <c r="X1042" s="310"/>
      <c r="Y1042" s="310"/>
      <c r="Z1042" s="310"/>
      <c r="AA1042" s="310"/>
      <c r="AB1042" s="310"/>
      <c r="AC1042" s="310"/>
      <c r="AD1042" s="310"/>
      <c r="AE1042" s="310"/>
      <c r="AF1042" s="310"/>
      <c r="AG1042" s="310"/>
      <c r="AH1042" s="310"/>
      <c r="AI1042" s="310"/>
      <c r="AJ1042" s="310"/>
      <c r="AK1042" s="310"/>
      <c r="AL1042" s="310"/>
      <c r="AM1042" s="310"/>
      <c r="AN1042" s="310"/>
      <c r="AO1042" s="310"/>
      <c r="AP1042" s="12"/>
      <c r="AQ1042" s="3"/>
      <c r="AR1042" s="3"/>
      <c r="AS1042" s="3"/>
      <c r="AT1042" s="3"/>
      <c r="AU1042" s="3"/>
      <c r="AV1042" s="3"/>
      <c r="AW1042" s="3"/>
      <c r="AX1042" s="3"/>
      <c r="AY1042" s="3"/>
      <c r="AZ1042" s="3"/>
      <c r="BA1042" s="3"/>
      <c r="BB1042" s="3"/>
      <c r="BC1042" s="3"/>
    </row>
    <row r="1043" ht="15.75" customHeight="1">
      <c r="A1043" s="12"/>
      <c r="B1043" s="310"/>
      <c r="C1043" s="310"/>
      <c r="D1043" s="310"/>
      <c r="E1043" s="310"/>
      <c r="F1043" s="310"/>
      <c r="G1043" s="310"/>
      <c r="H1043" s="310"/>
      <c r="I1043" s="310"/>
      <c r="J1043" s="310"/>
      <c r="K1043" s="310"/>
      <c r="L1043" s="310"/>
      <c r="M1043" s="310"/>
      <c r="N1043" s="310"/>
      <c r="O1043" s="310"/>
      <c r="P1043" s="310"/>
      <c r="Q1043" s="310"/>
      <c r="R1043" s="310"/>
      <c r="S1043" s="310"/>
      <c r="T1043" s="310"/>
      <c r="U1043" s="310"/>
      <c r="V1043" s="310"/>
      <c r="W1043" s="310"/>
      <c r="X1043" s="310"/>
      <c r="Y1043" s="310"/>
      <c r="Z1043" s="310"/>
      <c r="AA1043" s="310"/>
      <c r="AB1043" s="310"/>
      <c r="AC1043" s="310"/>
      <c r="AD1043" s="310"/>
      <c r="AE1043" s="310"/>
      <c r="AF1043" s="310"/>
      <c r="AG1043" s="310"/>
      <c r="AH1043" s="310"/>
      <c r="AI1043" s="310"/>
      <c r="AJ1043" s="310"/>
      <c r="AK1043" s="310"/>
      <c r="AL1043" s="310"/>
      <c r="AM1043" s="310"/>
      <c r="AN1043" s="310"/>
      <c r="AO1043" s="310"/>
      <c r="AP1043" s="12"/>
      <c r="AQ1043" s="3"/>
      <c r="AR1043" s="3"/>
      <c r="AS1043" s="3"/>
      <c r="AT1043" s="3"/>
      <c r="AU1043" s="3"/>
      <c r="AV1043" s="3"/>
      <c r="AW1043" s="3"/>
      <c r="AX1043" s="3"/>
      <c r="AY1043" s="3"/>
      <c r="AZ1043" s="3"/>
      <c r="BA1043" s="3"/>
      <c r="BB1043" s="3"/>
      <c r="BC1043" s="3"/>
    </row>
    <row r="1044" ht="15.75" customHeight="1">
      <c r="A1044" s="12"/>
      <c r="B1044" s="310"/>
      <c r="C1044" s="310"/>
      <c r="D1044" s="310"/>
      <c r="E1044" s="310"/>
      <c r="F1044" s="310"/>
      <c r="G1044" s="310"/>
      <c r="H1044" s="310"/>
      <c r="I1044" s="310"/>
      <c r="J1044" s="310"/>
      <c r="K1044" s="310"/>
      <c r="L1044" s="310"/>
      <c r="M1044" s="310"/>
      <c r="N1044" s="310"/>
      <c r="O1044" s="310"/>
      <c r="P1044" s="310"/>
      <c r="Q1044" s="310"/>
      <c r="R1044" s="310"/>
      <c r="S1044" s="310"/>
      <c r="T1044" s="310"/>
      <c r="U1044" s="310"/>
      <c r="V1044" s="310"/>
      <c r="W1044" s="310"/>
      <c r="X1044" s="310"/>
      <c r="Y1044" s="310"/>
      <c r="Z1044" s="310"/>
      <c r="AA1044" s="310"/>
      <c r="AB1044" s="310"/>
      <c r="AC1044" s="310"/>
      <c r="AD1044" s="310"/>
      <c r="AE1044" s="310"/>
      <c r="AF1044" s="310"/>
      <c r="AG1044" s="310"/>
      <c r="AH1044" s="310"/>
      <c r="AI1044" s="310"/>
      <c r="AJ1044" s="310"/>
      <c r="AK1044" s="310"/>
      <c r="AL1044" s="310"/>
      <c r="AM1044" s="310"/>
      <c r="AN1044" s="310"/>
      <c r="AO1044" s="310"/>
      <c r="AP1044" s="12"/>
      <c r="AQ1044" s="3"/>
      <c r="AR1044" s="3"/>
      <c r="AS1044" s="3"/>
      <c r="AT1044" s="3"/>
      <c r="AU1044" s="3"/>
      <c r="AV1044" s="3"/>
      <c r="AW1044" s="3"/>
      <c r="AX1044" s="3"/>
      <c r="AY1044" s="3"/>
      <c r="AZ1044" s="3"/>
      <c r="BA1044" s="3"/>
      <c r="BB1044" s="3"/>
      <c r="BC1044" s="3"/>
    </row>
    <row r="1045" ht="15.75" customHeight="1">
      <c r="A1045" s="12"/>
      <c r="B1045" s="310"/>
      <c r="C1045" s="310"/>
      <c r="D1045" s="310"/>
      <c r="E1045" s="310"/>
      <c r="F1045" s="310"/>
      <c r="G1045" s="310"/>
      <c r="H1045" s="310"/>
      <c r="I1045" s="310"/>
      <c r="J1045" s="310"/>
      <c r="K1045" s="310"/>
      <c r="L1045" s="310"/>
      <c r="M1045" s="310"/>
      <c r="N1045" s="310"/>
      <c r="O1045" s="310"/>
      <c r="P1045" s="310"/>
      <c r="Q1045" s="310"/>
      <c r="R1045" s="310"/>
      <c r="S1045" s="310"/>
      <c r="T1045" s="310"/>
      <c r="U1045" s="310"/>
      <c r="V1045" s="310"/>
      <c r="W1045" s="310"/>
      <c r="X1045" s="310"/>
      <c r="Y1045" s="310"/>
      <c r="Z1045" s="310"/>
      <c r="AA1045" s="310"/>
      <c r="AB1045" s="310"/>
      <c r="AC1045" s="310"/>
      <c r="AD1045" s="310"/>
      <c r="AE1045" s="310"/>
      <c r="AF1045" s="310"/>
      <c r="AG1045" s="310"/>
      <c r="AH1045" s="310"/>
      <c r="AI1045" s="310"/>
      <c r="AJ1045" s="310"/>
      <c r="AK1045" s="310"/>
      <c r="AL1045" s="310"/>
      <c r="AM1045" s="310"/>
      <c r="AN1045" s="310"/>
      <c r="AO1045" s="310"/>
      <c r="AP1045" s="12"/>
      <c r="AQ1045" s="3"/>
      <c r="AR1045" s="3"/>
      <c r="AS1045" s="3"/>
      <c r="AT1045" s="3"/>
      <c r="AU1045" s="3"/>
      <c r="AV1045" s="3"/>
      <c r="AW1045" s="3"/>
      <c r="AX1045" s="3"/>
      <c r="AY1045" s="3"/>
      <c r="AZ1045" s="3"/>
      <c r="BA1045" s="3"/>
      <c r="BB1045" s="3"/>
      <c r="BC1045" s="3"/>
    </row>
    <row r="1046" ht="15.75" customHeight="1">
      <c r="A1046" s="12"/>
      <c r="B1046" s="310"/>
      <c r="C1046" s="310"/>
      <c r="D1046" s="310"/>
      <c r="E1046" s="310"/>
      <c r="F1046" s="310"/>
      <c r="G1046" s="310"/>
      <c r="H1046" s="310"/>
      <c r="I1046" s="310"/>
      <c r="J1046" s="310"/>
      <c r="K1046" s="310"/>
      <c r="L1046" s="310"/>
      <c r="M1046" s="310"/>
      <c r="N1046" s="310"/>
      <c r="O1046" s="310"/>
      <c r="P1046" s="310"/>
      <c r="Q1046" s="310"/>
      <c r="R1046" s="310"/>
      <c r="S1046" s="310"/>
      <c r="T1046" s="310"/>
      <c r="U1046" s="310"/>
      <c r="V1046" s="310"/>
      <c r="W1046" s="310"/>
      <c r="X1046" s="310"/>
      <c r="Y1046" s="310"/>
      <c r="Z1046" s="310"/>
      <c r="AA1046" s="310"/>
      <c r="AB1046" s="310"/>
      <c r="AC1046" s="310"/>
      <c r="AD1046" s="310"/>
      <c r="AE1046" s="310"/>
      <c r="AF1046" s="310"/>
      <c r="AG1046" s="310"/>
      <c r="AH1046" s="310"/>
      <c r="AI1046" s="310"/>
      <c r="AJ1046" s="310"/>
      <c r="AK1046" s="310"/>
      <c r="AL1046" s="310"/>
      <c r="AM1046" s="310"/>
      <c r="AN1046" s="310"/>
      <c r="AO1046" s="310"/>
      <c r="AP1046" s="12"/>
      <c r="AQ1046" s="3"/>
      <c r="AR1046" s="3"/>
      <c r="AS1046" s="3"/>
      <c r="AT1046" s="3"/>
      <c r="AU1046" s="3"/>
      <c r="AV1046" s="3"/>
      <c r="AW1046" s="3"/>
      <c r="AX1046" s="3"/>
      <c r="AY1046" s="3"/>
      <c r="AZ1046" s="3"/>
      <c r="BA1046" s="3"/>
      <c r="BB1046" s="3"/>
      <c r="BC1046" s="3"/>
    </row>
    <row r="1047" ht="15.75" customHeight="1">
      <c r="A1047" s="12"/>
      <c r="B1047" s="310"/>
      <c r="C1047" s="310"/>
      <c r="D1047" s="310"/>
      <c r="E1047" s="310"/>
      <c r="F1047" s="310"/>
      <c r="G1047" s="310"/>
      <c r="H1047" s="310"/>
      <c r="I1047" s="310"/>
      <c r="J1047" s="310"/>
      <c r="K1047" s="310"/>
      <c r="L1047" s="310"/>
      <c r="M1047" s="310"/>
      <c r="N1047" s="310"/>
      <c r="O1047" s="310"/>
      <c r="P1047" s="310"/>
      <c r="Q1047" s="310"/>
      <c r="R1047" s="310"/>
      <c r="S1047" s="310"/>
      <c r="T1047" s="310"/>
      <c r="U1047" s="310"/>
      <c r="V1047" s="310"/>
      <c r="W1047" s="310"/>
      <c r="X1047" s="310"/>
      <c r="Y1047" s="310"/>
      <c r="Z1047" s="310"/>
      <c r="AA1047" s="310"/>
      <c r="AB1047" s="310"/>
      <c r="AC1047" s="310"/>
      <c r="AD1047" s="310"/>
      <c r="AE1047" s="310"/>
      <c r="AF1047" s="310"/>
      <c r="AG1047" s="310"/>
      <c r="AH1047" s="310"/>
      <c r="AI1047" s="310"/>
      <c r="AJ1047" s="310"/>
      <c r="AK1047" s="310"/>
      <c r="AL1047" s="310"/>
      <c r="AM1047" s="310"/>
      <c r="AN1047" s="310"/>
      <c r="AO1047" s="310"/>
      <c r="AP1047" s="12"/>
      <c r="AQ1047" s="3"/>
      <c r="AR1047" s="3"/>
      <c r="AS1047" s="3"/>
      <c r="AT1047" s="3"/>
      <c r="AU1047" s="3"/>
      <c r="AV1047" s="3"/>
      <c r="AW1047" s="3"/>
      <c r="AX1047" s="3"/>
      <c r="AY1047" s="3"/>
      <c r="AZ1047" s="3"/>
      <c r="BA1047" s="3"/>
      <c r="BB1047" s="3"/>
      <c r="BC1047" s="3"/>
    </row>
    <row r="1048" ht="15.75" customHeight="1">
      <c r="A1048" s="12"/>
      <c r="B1048" s="310"/>
      <c r="C1048" s="310"/>
      <c r="D1048" s="310"/>
      <c r="E1048" s="310"/>
      <c r="F1048" s="310"/>
      <c r="G1048" s="310"/>
      <c r="H1048" s="310"/>
      <c r="I1048" s="310"/>
      <c r="J1048" s="310"/>
      <c r="K1048" s="310"/>
      <c r="L1048" s="310"/>
      <c r="M1048" s="310"/>
      <c r="N1048" s="310"/>
      <c r="O1048" s="310"/>
      <c r="P1048" s="310"/>
      <c r="Q1048" s="310"/>
      <c r="R1048" s="310"/>
      <c r="S1048" s="310"/>
      <c r="T1048" s="310"/>
      <c r="U1048" s="310"/>
      <c r="V1048" s="310"/>
      <c r="W1048" s="310"/>
      <c r="X1048" s="310"/>
      <c r="Y1048" s="310"/>
      <c r="Z1048" s="310"/>
      <c r="AA1048" s="310"/>
      <c r="AB1048" s="310"/>
      <c r="AC1048" s="310"/>
      <c r="AD1048" s="310"/>
      <c r="AE1048" s="310"/>
      <c r="AF1048" s="310"/>
      <c r="AG1048" s="310"/>
      <c r="AH1048" s="310"/>
      <c r="AI1048" s="310"/>
      <c r="AJ1048" s="310"/>
      <c r="AK1048" s="310"/>
      <c r="AL1048" s="310"/>
      <c r="AM1048" s="310"/>
      <c r="AN1048" s="310"/>
      <c r="AO1048" s="310"/>
      <c r="AP1048" s="12"/>
      <c r="AQ1048" s="3"/>
      <c r="AR1048" s="3"/>
      <c r="AS1048" s="3"/>
      <c r="AT1048" s="3"/>
      <c r="AU1048" s="3"/>
      <c r="AV1048" s="3"/>
      <c r="AW1048" s="3"/>
      <c r="AX1048" s="3"/>
      <c r="AY1048" s="3"/>
      <c r="AZ1048" s="3"/>
      <c r="BA1048" s="3"/>
      <c r="BB1048" s="3"/>
      <c r="BC1048" s="3"/>
    </row>
    <row r="1049" ht="15.75" customHeight="1">
      <c r="A1049" s="12"/>
      <c r="B1049" s="310"/>
      <c r="C1049" s="310"/>
      <c r="D1049" s="310"/>
      <c r="E1049" s="310"/>
      <c r="F1049" s="310"/>
      <c r="G1049" s="310"/>
      <c r="H1049" s="310"/>
      <c r="I1049" s="310"/>
      <c r="J1049" s="310"/>
      <c r="K1049" s="310"/>
      <c r="L1049" s="310"/>
      <c r="M1049" s="310"/>
      <c r="N1049" s="310"/>
      <c r="O1049" s="310"/>
      <c r="P1049" s="310"/>
      <c r="Q1049" s="310"/>
      <c r="R1049" s="310"/>
      <c r="S1049" s="310"/>
      <c r="T1049" s="310"/>
      <c r="U1049" s="310"/>
      <c r="V1049" s="310"/>
      <c r="W1049" s="310"/>
      <c r="X1049" s="310"/>
      <c r="Y1049" s="310"/>
      <c r="Z1049" s="310"/>
      <c r="AA1049" s="310"/>
      <c r="AB1049" s="310"/>
      <c r="AC1049" s="310"/>
      <c r="AD1049" s="310"/>
      <c r="AE1049" s="310"/>
      <c r="AF1049" s="310"/>
      <c r="AG1049" s="310"/>
      <c r="AH1049" s="310"/>
      <c r="AI1049" s="310"/>
      <c r="AJ1049" s="310"/>
      <c r="AK1049" s="310"/>
      <c r="AL1049" s="310"/>
      <c r="AM1049" s="310"/>
      <c r="AN1049" s="310"/>
      <c r="AO1049" s="310"/>
      <c r="AP1049" s="12"/>
      <c r="AQ1049" s="3"/>
      <c r="AR1049" s="3"/>
      <c r="AS1049" s="3"/>
      <c r="AT1049" s="3"/>
      <c r="AU1049" s="3"/>
      <c r="AV1049" s="3"/>
      <c r="AW1049" s="3"/>
      <c r="AX1049" s="3"/>
      <c r="AY1049" s="3"/>
      <c r="AZ1049" s="3"/>
      <c r="BA1049" s="3"/>
      <c r="BB1049" s="3"/>
      <c r="BC1049" s="3"/>
    </row>
    <row r="1050" ht="15.75" customHeight="1">
      <c r="A1050" s="12"/>
      <c r="B1050" s="310"/>
      <c r="C1050" s="310"/>
      <c r="D1050" s="310"/>
      <c r="E1050" s="310"/>
      <c r="F1050" s="310"/>
      <c r="G1050" s="310"/>
      <c r="H1050" s="310"/>
      <c r="I1050" s="310"/>
      <c r="J1050" s="310"/>
      <c r="K1050" s="310"/>
      <c r="L1050" s="310"/>
      <c r="M1050" s="310"/>
      <c r="N1050" s="310"/>
      <c r="O1050" s="310"/>
      <c r="P1050" s="310"/>
      <c r="Q1050" s="310"/>
      <c r="R1050" s="310"/>
      <c r="S1050" s="310"/>
      <c r="T1050" s="310"/>
      <c r="U1050" s="310"/>
      <c r="V1050" s="310"/>
      <c r="W1050" s="310"/>
      <c r="X1050" s="310"/>
      <c r="Y1050" s="310"/>
      <c r="Z1050" s="310"/>
      <c r="AA1050" s="310"/>
      <c r="AB1050" s="310"/>
      <c r="AC1050" s="310"/>
      <c r="AD1050" s="310"/>
      <c r="AE1050" s="310"/>
      <c r="AF1050" s="310"/>
      <c r="AG1050" s="310"/>
      <c r="AH1050" s="310"/>
      <c r="AI1050" s="310"/>
      <c r="AJ1050" s="310"/>
      <c r="AK1050" s="310"/>
      <c r="AL1050" s="310"/>
      <c r="AM1050" s="310"/>
      <c r="AN1050" s="310"/>
      <c r="AO1050" s="310"/>
      <c r="AP1050" s="12"/>
      <c r="AQ1050" s="3"/>
      <c r="AR1050" s="3"/>
      <c r="AS1050" s="3"/>
      <c r="AT1050" s="3"/>
      <c r="AU1050" s="3"/>
      <c r="AV1050" s="3"/>
      <c r="AW1050" s="3"/>
      <c r="AX1050" s="3"/>
      <c r="AY1050" s="3"/>
      <c r="AZ1050" s="3"/>
      <c r="BA1050" s="3"/>
      <c r="BB1050" s="3"/>
      <c r="BC1050" s="3"/>
    </row>
    <row r="1051" ht="15.75" customHeight="1">
      <c r="A1051" s="12"/>
      <c r="B1051" s="310"/>
      <c r="C1051" s="310"/>
      <c r="D1051" s="310"/>
      <c r="E1051" s="310"/>
      <c r="F1051" s="310"/>
      <c r="G1051" s="310"/>
      <c r="H1051" s="310"/>
      <c r="I1051" s="310"/>
      <c r="J1051" s="310"/>
      <c r="K1051" s="310"/>
      <c r="L1051" s="310"/>
      <c r="M1051" s="310"/>
      <c r="N1051" s="310"/>
      <c r="O1051" s="310"/>
      <c r="P1051" s="310"/>
      <c r="Q1051" s="310"/>
      <c r="R1051" s="310"/>
      <c r="S1051" s="310"/>
      <c r="T1051" s="310"/>
      <c r="U1051" s="310"/>
      <c r="V1051" s="310"/>
      <c r="W1051" s="310"/>
      <c r="X1051" s="310"/>
      <c r="Y1051" s="310"/>
      <c r="Z1051" s="310"/>
      <c r="AA1051" s="310"/>
      <c r="AB1051" s="310"/>
      <c r="AC1051" s="310"/>
      <c r="AD1051" s="310"/>
      <c r="AE1051" s="310"/>
      <c r="AF1051" s="310"/>
      <c r="AG1051" s="310"/>
      <c r="AH1051" s="310"/>
      <c r="AI1051" s="310"/>
      <c r="AJ1051" s="310"/>
      <c r="AK1051" s="310"/>
      <c r="AL1051" s="310"/>
      <c r="AM1051" s="310"/>
      <c r="AN1051" s="310"/>
      <c r="AO1051" s="310"/>
      <c r="AP1051" s="12"/>
      <c r="AQ1051" s="3"/>
      <c r="AR1051" s="3"/>
      <c r="AS1051" s="3"/>
      <c r="AT1051" s="3"/>
      <c r="AU1051" s="3"/>
      <c r="AV1051" s="3"/>
      <c r="AW1051" s="3"/>
      <c r="AX1051" s="3"/>
      <c r="AY1051" s="3"/>
      <c r="AZ1051" s="3"/>
      <c r="BA1051" s="3"/>
      <c r="BB1051" s="3"/>
      <c r="BC1051" s="3"/>
    </row>
    <row r="1052" ht="15.75" customHeight="1">
      <c r="A1052" s="12"/>
      <c r="B1052" s="310"/>
      <c r="C1052" s="310"/>
      <c r="D1052" s="310"/>
      <c r="E1052" s="310"/>
      <c r="F1052" s="310"/>
      <c r="G1052" s="310"/>
      <c r="H1052" s="310"/>
      <c r="I1052" s="310"/>
      <c r="J1052" s="310"/>
      <c r="K1052" s="310"/>
      <c r="L1052" s="310"/>
      <c r="M1052" s="310"/>
      <c r="N1052" s="310"/>
      <c r="O1052" s="310"/>
      <c r="P1052" s="310"/>
      <c r="Q1052" s="310"/>
      <c r="R1052" s="310"/>
      <c r="S1052" s="310"/>
      <c r="T1052" s="310"/>
      <c r="U1052" s="310"/>
      <c r="V1052" s="310"/>
      <c r="W1052" s="310"/>
      <c r="X1052" s="310"/>
      <c r="Y1052" s="310"/>
      <c r="Z1052" s="310"/>
      <c r="AA1052" s="310"/>
      <c r="AB1052" s="310"/>
      <c r="AC1052" s="310"/>
      <c r="AD1052" s="310"/>
      <c r="AE1052" s="310"/>
      <c r="AF1052" s="310"/>
      <c r="AG1052" s="310"/>
      <c r="AH1052" s="310"/>
      <c r="AI1052" s="310"/>
      <c r="AJ1052" s="310"/>
      <c r="AK1052" s="310"/>
      <c r="AL1052" s="310"/>
      <c r="AM1052" s="310"/>
      <c r="AN1052" s="310"/>
      <c r="AO1052" s="310"/>
      <c r="AP1052" s="12"/>
      <c r="AQ1052" s="3"/>
      <c r="AR1052" s="3"/>
      <c r="AS1052" s="3"/>
      <c r="AT1052" s="3"/>
      <c r="AU1052" s="3"/>
      <c r="AV1052" s="3"/>
      <c r="AW1052" s="3"/>
      <c r="AX1052" s="3"/>
      <c r="AY1052" s="3"/>
      <c r="AZ1052" s="3"/>
      <c r="BA1052" s="3"/>
      <c r="BB1052" s="3"/>
      <c r="BC1052" s="3"/>
    </row>
    <row r="1053" ht="15.75" customHeight="1">
      <c r="A1053" s="12"/>
      <c r="B1053" s="310"/>
      <c r="C1053" s="310"/>
      <c r="D1053" s="310"/>
      <c r="E1053" s="310"/>
      <c r="F1053" s="310"/>
      <c r="G1053" s="310"/>
      <c r="H1053" s="310"/>
      <c r="I1053" s="310"/>
      <c r="J1053" s="310"/>
      <c r="K1053" s="310"/>
      <c r="L1053" s="310"/>
      <c r="M1053" s="310"/>
      <c r="N1053" s="310"/>
      <c r="O1053" s="310"/>
      <c r="P1053" s="310"/>
      <c r="Q1053" s="310"/>
      <c r="R1053" s="310"/>
      <c r="S1053" s="310"/>
      <c r="T1053" s="310"/>
      <c r="U1053" s="310"/>
      <c r="V1053" s="310"/>
      <c r="W1053" s="310"/>
      <c r="X1053" s="310"/>
      <c r="Y1053" s="310"/>
      <c r="Z1053" s="310"/>
      <c r="AA1053" s="310"/>
      <c r="AB1053" s="310"/>
      <c r="AC1053" s="310"/>
      <c r="AD1053" s="310"/>
      <c r="AE1053" s="310"/>
      <c r="AF1053" s="310"/>
      <c r="AG1053" s="310"/>
      <c r="AH1053" s="310"/>
      <c r="AI1053" s="310"/>
      <c r="AJ1053" s="310"/>
      <c r="AK1053" s="310"/>
      <c r="AL1053" s="310"/>
      <c r="AM1053" s="310"/>
      <c r="AN1053" s="310"/>
      <c r="AO1053" s="310"/>
      <c r="AP1053" s="12"/>
      <c r="AQ1053" s="3"/>
      <c r="AR1053" s="3"/>
      <c r="AS1053" s="3"/>
      <c r="AT1053" s="3"/>
      <c r="AU1053" s="3"/>
      <c r="AV1053" s="3"/>
      <c r="AW1053" s="3"/>
      <c r="AX1053" s="3"/>
      <c r="AY1053" s="3"/>
      <c r="AZ1053" s="3"/>
      <c r="BA1053" s="3"/>
      <c r="BB1053" s="3"/>
      <c r="BC1053" s="3"/>
    </row>
    <row r="1054" ht="15.75" customHeight="1">
      <c r="A1054" s="12"/>
      <c r="B1054" s="310"/>
      <c r="C1054" s="310"/>
      <c r="D1054" s="310"/>
      <c r="E1054" s="310"/>
      <c r="F1054" s="310"/>
      <c r="G1054" s="310"/>
      <c r="H1054" s="310"/>
      <c r="I1054" s="310"/>
      <c r="J1054" s="310"/>
      <c r="K1054" s="310"/>
      <c r="L1054" s="310"/>
      <c r="M1054" s="310"/>
      <c r="N1054" s="310"/>
      <c r="O1054" s="310"/>
      <c r="P1054" s="310"/>
      <c r="Q1054" s="310"/>
      <c r="R1054" s="310"/>
      <c r="S1054" s="310"/>
      <c r="T1054" s="310"/>
      <c r="U1054" s="310"/>
      <c r="V1054" s="310"/>
      <c r="W1054" s="310"/>
      <c r="X1054" s="310"/>
      <c r="Y1054" s="310"/>
      <c r="Z1054" s="310"/>
      <c r="AA1054" s="310"/>
      <c r="AB1054" s="310"/>
      <c r="AC1054" s="310"/>
      <c r="AD1054" s="310"/>
      <c r="AE1054" s="310"/>
      <c r="AF1054" s="310"/>
      <c r="AG1054" s="310"/>
      <c r="AH1054" s="310"/>
      <c r="AI1054" s="310"/>
      <c r="AJ1054" s="310"/>
      <c r="AK1054" s="310"/>
      <c r="AL1054" s="310"/>
      <c r="AM1054" s="310"/>
      <c r="AN1054" s="310"/>
      <c r="AO1054" s="310"/>
      <c r="AP1054" s="12"/>
      <c r="AQ1054" s="3"/>
      <c r="AR1054" s="3"/>
      <c r="AS1054" s="3"/>
      <c r="AT1054" s="3"/>
      <c r="AU1054" s="3"/>
      <c r="AV1054" s="3"/>
      <c r="AW1054" s="3"/>
      <c r="AX1054" s="3"/>
      <c r="AY1054" s="3"/>
      <c r="AZ1054" s="3"/>
      <c r="BA1054" s="3"/>
      <c r="BB1054" s="3"/>
      <c r="BC1054" s="3"/>
    </row>
    <row r="1055" ht="15.75" customHeight="1">
      <c r="A1055" s="12"/>
      <c r="B1055" s="310"/>
      <c r="C1055" s="310"/>
      <c r="D1055" s="310"/>
      <c r="E1055" s="310"/>
      <c r="F1055" s="310"/>
      <c r="G1055" s="310"/>
      <c r="H1055" s="310"/>
      <c r="I1055" s="310"/>
      <c r="J1055" s="310"/>
      <c r="K1055" s="310"/>
      <c r="L1055" s="310"/>
      <c r="M1055" s="310"/>
      <c r="N1055" s="310"/>
      <c r="O1055" s="310"/>
      <c r="P1055" s="310"/>
      <c r="Q1055" s="310"/>
      <c r="R1055" s="310"/>
      <c r="S1055" s="310"/>
      <c r="T1055" s="310"/>
      <c r="U1055" s="310"/>
      <c r="V1055" s="310"/>
      <c r="W1055" s="310"/>
      <c r="X1055" s="310"/>
      <c r="Y1055" s="310"/>
      <c r="Z1055" s="310"/>
      <c r="AA1055" s="310"/>
      <c r="AB1055" s="310"/>
      <c r="AC1055" s="310"/>
      <c r="AD1055" s="310"/>
      <c r="AE1055" s="310"/>
      <c r="AF1055" s="310"/>
      <c r="AG1055" s="310"/>
      <c r="AH1055" s="310"/>
      <c r="AI1055" s="310"/>
      <c r="AJ1055" s="310"/>
      <c r="AK1055" s="310"/>
      <c r="AL1055" s="310"/>
      <c r="AM1055" s="310"/>
      <c r="AN1055" s="310"/>
      <c r="AO1055" s="310"/>
      <c r="AP1055" s="12"/>
      <c r="AQ1055" s="3"/>
      <c r="AR1055" s="3"/>
      <c r="AS1055" s="3"/>
      <c r="AT1055" s="3"/>
      <c r="AU1055" s="3"/>
      <c r="AV1055" s="3"/>
      <c r="AW1055" s="3"/>
      <c r="AX1055" s="3"/>
      <c r="AY1055" s="3"/>
      <c r="AZ1055" s="3"/>
      <c r="BA1055" s="3"/>
      <c r="BB1055" s="3"/>
      <c r="BC1055" s="3"/>
    </row>
    <row r="1056" ht="15.75" customHeight="1">
      <c r="A1056" s="12"/>
      <c r="B1056" s="310"/>
      <c r="C1056" s="310"/>
      <c r="D1056" s="310"/>
      <c r="E1056" s="310"/>
      <c r="F1056" s="310"/>
      <c r="G1056" s="310"/>
      <c r="H1056" s="310"/>
      <c r="I1056" s="310"/>
      <c r="J1056" s="310"/>
      <c r="K1056" s="310"/>
      <c r="L1056" s="310"/>
      <c r="M1056" s="310"/>
      <c r="N1056" s="310"/>
      <c r="O1056" s="310"/>
      <c r="P1056" s="310"/>
      <c r="Q1056" s="310"/>
      <c r="R1056" s="310"/>
      <c r="S1056" s="310"/>
      <c r="T1056" s="310"/>
      <c r="U1056" s="310"/>
      <c r="V1056" s="310"/>
      <c r="W1056" s="310"/>
      <c r="X1056" s="310"/>
      <c r="Y1056" s="310"/>
      <c r="Z1056" s="310"/>
      <c r="AA1056" s="310"/>
      <c r="AB1056" s="310"/>
      <c r="AC1056" s="310"/>
      <c r="AD1056" s="310"/>
      <c r="AE1056" s="310"/>
      <c r="AF1056" s="310"/>
      <c r="AG1056" s="310"/>
      <c r="AH1056" s="310"/>
      <c r="AI1056" s="310"/>
      <c r="AJ1056" s="310"/>
      <c r="AK1056" s="310"/>
      <c r="AL1056" s="310"/>
      <c r="AM1056" s="310"/>
      <c r="AN1056" s="310"/>
      <c r="AO1056" s="310"/>
      <c r="AP1056" s="12"/>
      <c r="AQ1056" s="3"/>
      <c r="AR1056" s="3"/>
      <c r="AS1056" s="3"/>
      <c r="AT1056" s="3"/>
      <c r="AU1056" s="3"/>
      <c r="AV1056" s="3"/>
      <c r="AW1056" s="3"/>
      <c r="AX1056" s="3"/>
      <c r="AY1056" s="3"/>
      <c r="AZ1056" s="3"/>
      <c r="BA1056" s="3"/>
      <c r="BB1056" s="3"/>
      <c r="BC1056" s="3"/>
    </row>
    <row r="1057" ht="15.75" customHeight="1">
      <c r="A1057" s="12"/>
      <c r="B1057" s="310"/>
      <c r="C1057" s="310"/>
      <c r="D1057" s="310"/>
      <c r="E1057" s="310"/>
      <c r="F1057" s="310"/>
      <c r="G1057" s="310"/>
      <c r="H1057" s="310"/>
      <c r="I1057" s="310"/>
      <c r="J1057" s="310"/>
      <c r="K1057" s="310"/>
      <c r="L1057" s="310"/>
      <c r="M1057" s="310"/>
      <c r="N1057" s="310"/>
      <c r="O1057" s="310"/>
      <c r="P1057" s="310"/>
      <c r="Q1057" s="310"/>
      <c r="R1057" s="310"/>
      <c r="S1057" s="310"/>
      <c r="T1057" s="310"/>
      <c r="U1057" s="310"/>
      <c r="V1057" s="310"/>
      <c r="W1057" s="310"/>
      <c r="X1057" s="310"/>
      <c r="Y1057" s="310"/>
      <c r="Z1057" s="310"/>
      <c r="AA1057" s="310"/>
      <c r="AB1057" s="310"/>
      <c r="AC1057" s="310"/>
      <c r="AD1057" s="310"/>
      <c r="AE1057" s="310"/>
      <c r="AF1057" s="310"/>
      <c r="AG1057" s="310"/>
      <c r="AH1057" s="310"/>
      <c r="AI1057" s="310"/>
      <c r="AJ1057" s="310"/>
      <c r="AK1057" s="310"/>
      <c r="AL1057" s="310"/>
      <c r="AM1057" s="310"/>
      <c r="AN1057" s="310"/>
      <c r="AO1057" s="310"/>
      <c r="AP1057" s="12"/>
      <c r="AQ1057" s="3"/>
      <c r="AR1057" s="3"/>
      <c r="AS1057" s="3"/>
      <c r="AT1057" s="3"/>
      <c r="AU1057" s="3"/>
      <c r="AV1057" s="3"/>
      <c r="AW1057" s="3"/>
      <c r="AX1057" s="3"/>
      <c r="AY1057" s="3"/>
      <c r="AZ1057" s="3"/>
      <c r="BA1057" s="3"/>
      <c r="BB1057" s="3"/>
      <c r="BC1057" s="3"/>
    </row>
    <row r="1058" ht="15.75" customHeight="1">
      <c r="A1058" s="12"/>
      <c r="B1058" s="310"/>
      <c r="C1058" s="310"/>
      <c r="D1058" s="310"/>
      <c r="E1058" s="310"/>
      <c r="F1058" s="310"/>
      <c r="G1058" s="310"/>
      <c r="H1058" s="310"/>
      <c r="I1058" s="310"/>
      <c r="J1058" s="310"/>
      <c r="K1058" s="310"/>
      <c r="L1058" s="310"/>
      <c r="M1058" s="310"/>
      <c r="N1058" s="310"/>
      <c r="O1058" s="310"/>
      <c r="P1058" s="310"/>
      <c r="Q1058" s="310"/>
      <c r="R1058" s="310"/>
      <c r="S1058" s="310"/>
      <c r="T1058" s="310"/>
      <c r="U1058" s="310"/>
      <c r="V1058" s="310"/>
      <c r="W1058" s="310"/>
      <c r="X1058" s="310"/>
      <c r="Y1058" s="310"/>
      <c r="Z1058" s="310"/>
      <c r="AA1058" s="310"/>
      <c r="AB1058" s="310"/>
      <c r="AC1058" s="310"/>
      <c r="AD1058" s="310"/>
      <c r="AE1058" s="310"/>
      <c r="AF1058" s="310"/>
      <c r="AG1058" s="310"/>
      <c r="AH1058" s="310"/>
      <c r="AI1058" s="310"/>
      <c r="AJ1058" s="310"/>
      <c r="AK1058" s="310"/>
      <c r="AL1058" s="310"/>
      <c r="AM1058" s="310"/>
      <c r="AN1058" s="310"/>
      <c r="AO1058" s="310"/>
      <c r="AP1058" s="12"/>
      <c r="AQ1058" s="3"/>
      <c r="AR1058" s="3"/>
      <c r="AS1058" s="3"/>
      <c r="AT1058" s="3"/>
      <c r="AU1058" s="3"/>
      <c r="AV1058" s="3"/>
      <c r="AW1058" s="3"/>
      <c r="AX1058" s="3"/>
      <c r="AY1058" s="3"/>
      <c r="AZ1058" s="3"/>
      <c r="BA1058" s="3"/>
      <c r="BB1058" s="3"/>
      <c r="BC1058" s="3"/>
    </row>
    <row r="1059" ht="15.75" customHeight="1">
      <c r="A1059" s="12"/>
      <c r="B1059" s="310"/>
      <c r="C1059" s="310"/>
      <c r="D1059" s="310"/>
      <c r="E1059" s="310"/>
      <c r="F1059" s="310"/>
      <c r="G1059" s="310"/>
      <c r="H1059" s="310"/>
      <c r="I1059" s="310"/>
      <c r="J1059" s="310"/>
      <c r="K1059" s="310"/>
      <c r="L1059" s="310"/>
      <c r="M1059" s="310"/>
      <c r="N1059" s="310"/>
      <c r="O1059" s="310"/>
      <c r="P1059" s="310"/>
      <c r="Q1059" s="310"/>
      <c r="R1059" s="310"/>
      <c r="S1059" s="310"/>
      <c r="T1059" s="310"/>
      <c r="U1059" s="310"/>
      <c r="V1059" s="310"/>
      <c r="W1059" s="310"/>
      <c r="X1059" s="310"/>
      <c r="Y1059" s="310"/>
      <c r="Z1059" s="310"/>
      <c r="AA1059" s="310"/>
      <c r="AB1059" s="310"/>
      <c r="AC1059" s="310"/>
      <c r="AD1059" s="310"/>
      <c r="AE1059" s="310"/>
      <c r="AF1059" s="310"/>
      <c r="AG1059" s="310"/>
      <c r="AH1059" s="310"/>
      <c r="AI1059" s="310"/>
      <c r="AJ1059" s="310"/>
      <c r="AK1059" s="310"/>
      <c r="AL1059" s="310"/>
      <c r="AM1059" s="310"/>
      <c r="AN1059" s="310"/>
      <c r="AO1059" s="310"/>
      <c r="AP1059" s="12"/>
      <c r="AQ1059" s="3"/>
      <c r="AR1059" s="3"/>
      <c r="AS1059" s="3"/>
      <c r="AT1059" s="3"/>
      <c r="AU1059" s="3"/>
      <c r="AV1059" s="3"/>
      <c r="AW1059" s="3"/>
      <c r="AX1059" s="3"/>
      <c r="AY1059" s="3"/>
      <c r="AZ1059" s="3"/>
      <c r="BA1059" s="3"/>
      <c r="BB1059" s="3"/>
      <c r="BC1059" s="3"/>
    </row>
    <row r="1060" ht="15.75" customHeight="1">
      <c r="A1060" s="12"/>
      <c r="B1060" s="310"/>
      <c r="C1060" s="310"/>
      <c r="D1060" s="310"/>
      <c r="E1060" s="310"/>
      <c r="F1060" s="310"/>
      <c r="G1060" s="310"/>
      <c r="H1060" s="310"/>
      <c r="I1060" s="310"/>
      <c r="J1060" s="310"/>
      <c r="K1060" s="310"/>
      <c r="L1060" s="310"/>
      <c r="M1060" s="310"/>
      <c r="N1060" s="310"/>
      <c r="O1060" s="310"/>
      <c r="P1060" s="310"/>
      <c r="Q1060" s="310"/>
      <c r="R1060" s="310"/>
      <c r="S1060" s="310"/>
      <c r="T1060" s="310"/>
      <c r="U1060" s="310"/>
      <c r="V1060" s="310"/>
      <c r="W1060" s="310"/>
      <c r="X1060" s="310"/>
      <c r="Y1060" s="310"/>
      <c r="Z1060" s="310"/>
      <c r="AA1060" s="310"/>
      <c r="AB1060" s="310"/>
      <c r="AC1060" s="310"/>
      <c r="AD1060" s="310"/>
      <c r="AE1060" s="310"/>
      <c r="AF1060" s="310"/>
      <c r="AG1060" s="310"/>
      <c r="AH1060" s="310"/>
      <c r="AI1060" s="310"/>
      <c r="AJ1060" s="310"/>
      <c r="AK1060" s="310"/>
      <c r="AL1060" s="310"/>
      <c r="AM1060" s="310"/>
      <c r="AN1060" s="310"/>
      <c r="AO1060" s="310"/>
      <c r="AP1060" s="12"/>
      <c r="AQ1060" s="3"/>
      <c r="AR1060" s="3"/>
      <c r="AS1060" s="3"/>
      <c r="AT1060" s="3"/>
      <c r="AU1060" s="3"/>
      <c r="AV1060" s="3"/>
      <c r="AW1060" s="3"/>
      <c r="AX1060" s="3"/>
      <c r="AY1060" s="3"/>
      <c r="AZ1060" s="3"/>
      <c r="BA1060" s="3"/>
      <c r="BB1060" s="3"/>
      <c r="BC1060" s="3"/>
    </row>
    <row r="1061" ht="15.75" customHeight="1">
      <c r="A1061" s="12"/>
      <c r="B1061" s="310"/>
      <c r="C1061" s="310"/>
      <c r="D1061" s="310"/>
      <c r="E1061" s="310"/>
      <c r="F1061" s="310"/>
      <c r="G1061" s="310"/>
      <c r="H1061" s="310"/>
      <c r="I1061" s="310"/>
      <c r="J1061" s="310"/>
      <c r="K1061" s="310"/>
      <c r="L1061" s="310"/>
      <c r="M1061" s="310"/>
      <c r="N1061" s="310"/>
      <c r="O1061" s="310"/>
      <c r="P1061" s="310"/>
      <c r="Q1061" s="310"/>
      <c r="R1061" s="310"/>
      <c r="S1061" s="310"/>
      <c r="T1061" s="310"/>
      <c r="U1061" s="310"/>
      <c r="V1061" s="310"/>
      <c r="W1061" s="310"/>
      <c r="X1061" s="310"/>
      <c r="Y1061" s="310"/>
      <c r="Z1061" s="310"/>
      <c r="AA1061" s="310"/>
      <c r="AB1061" s="310"/>
      <c r="AC1061" s="310"/>
      <c r="AD1061" s="310"/>
      <c r="AE1061" s="310"/>
      <c r="AF1061" s="310"/>
      <c r="AG1061" s="310"/>
      <c r="AH1061" s="310"/>
      <c r="AI1061" s="310"/>
      <c r="AJ1061" s="310"/>
      <c r="AK1061" s="310"/>
      <c r="AL1061" s="310"/>
      <c r="AM1061" s="310"/>
      <c r="AN1061" s="310"/>
      <c r="AO1061" s="310"/>
      <c r="AP1061" s="12"/>
      <c r="AQ1061" s="3"/>
      <c r="AR1061" s="3"/>
      <c r="AS1061" s="3"/>
      <c r="AT1061" s="3"/>
      <c r="AU1061" s="3"/>
      <c r="AV1061" s="3"/>
      <c r="AW1061" s="3"/>
      <c r="AX1061" s="3"/>
      <c r="AY1061" s="3"/>
      <c r="AZ1061" s="3"/>
      <c r="BA1061" s="3"/>
      <c r="BB1061" s="3"/>
      <c r="BC1061" s="3"/>
    </row>
    <row r="1062" ht="15.75" customHeight="1">
      <c r="A1062" s="12"/>
      <c r="B1062" s="310"/>
      <c r="C1062" s="310"/>
      <c r="D1062" s="310"/>
      <c r="E1062" s="310"/>
      <c r="F1062" s="310"/>
      <c r="G1062" s="310"/>
      <c r="H1062" s="310"/>
      <c r="I1062" s="310"/>
      <c r="J1062" s="310"/>
      <c r="K1062" s="310"/>
      <c r="L1062" s="310"/>
      <c r="M1062" s="310"/>
      <c r="N1062" s="310"/>
      <c r="O1062" s="310"/>
      <c r="P1062" s="310"/>
      <c r="Q1062" s="310"/>
      <c r="R1062" s="310"/>
      <c r="S1062" s="310"/>
      <c r="T1062" s="310"/>
      <c r="U1062" s="310"/>
      <c r="V1062" s="310"/>
      <c r="W1062" s="310"/>
      <c r="X1062" s="310"/>
      <c r="Y1062" s="310"/>
      <c r="Z1062" s="310"/>
      <c r="AA1062" s="310"/>
      <c r="AB1062" s="310"/>
      <c r="AC1062" s="310"/>
      <c r="AD1062" s="310"/>
      <c r="AE1062" s="310"/>
      <c r="AF1062" s="310"/>
      <c r="AG1062" s="310"/>
      <c r="AH1062" s="310"/>
      <c r="AI1062" s="310"/>
      <c r="AJ1062" s="310"/>
      <c r="AK1062" s="310"/>
      <c r="AL1062" s="310"/>
      <c r="AM1062" s="310"/>
      <c r="AN1062" s="310"/>
      <c r="AO1062" s="310"/>
      <c r="AP1062" s="12"/>
      <c r="AQ1062" s="3"/>
      <c r="AR1062" s="3"/>
      <c r="AS1062" s="3"/>
      <c r="AT1062" s="3"/>
      <c r="AU1062" s="3"/>
      <c r="AV1062" s="3"/>
      <c r="AW1062" s="3"/>
      <c r="AX1062" s="3"/>
      <c r="AY1062" s="3"/>
      <c r="AZ1062" s="3"/>
      <c r="BA1062" s="3"/>
      <c r="BB1062" s="3"/>
      <c r="BC1062" s="3"/>
    </row>
    <row r="1063" ht="15.75" customHeight="1">
      <c r="A1063" s="12"/>
      <c r="B1063" s="310"/>
      <c r="C1063" s="310"/>
      <c r="D1063" s="310"/>
      <c r="E1063" s="310"/>
      <c r="F1063" s="310"/>
      <c r="G1063" s="310"/>
      <c r="H1063" s="310"/>
      <c r="I1063" s="310"/>
      <c r="J1063" s="310"/>
      <c r="K1063" s="310"/>
      <c r="L1063" s="310"/>
      <c r="M1063" s="310"/>
      <c r="N1063" s="310"/>
      <c r="O1063" s="310"/>
      <c r="P1063" s="310"/>
      <c r="Q1063" s="310"/>
      <c r="R1063" s="310"/>
      <c r="S1063" s="310"/>
      <c r="T1063" s="310"/>
      <c r="U1063" s="310"/>
      <c r="V1063" s="310"/>
      <c r="W1063" s="310"/>
      <c r="X1063" s="310"/>
      <c r="Y1063" s="310"/>
      <c r="Z1063" s="310"/>
      <c r="AA1063" s="310"/>
      <c r="AB1063" s="310"/>
      <c r="AC1063" s="310"/>
      <c r="AD1063" s="310"/>
      <c r="AE1063" s="310"/>
      <c r="AF1063" s="310"/>
      <c r="AG1063" s="310"/>
      <c r="AH1063" s="310"/>
      <c r="AI1063" s="310"/>
      <c r="AJ1063" s="310"/>
      <c r="AK1063" s="310"/>
      <c r="AL1063" s="310"/>
      <c r="AM1063" s="310"/>
      <c r="AN1063" s="310"/>
      <c r="AO1063" s="310"/>
      <c r="AP1063" s="12"/>
      <c r="AQ1063" s="3"/>
      <c r="AR1063" s="3"/>
      <c r="AS1063" s="3"/>
      <c r="AT1063" s="3"/>
      <c r="AU1063" s="3"/>
      <c r="AV1063" s="3"/>
      <c r="AW1063" s="3"/>
      <c r="AX1063" s="3"/>
      <c r="AY1063" s="3"/>
      <c r="AZ1063" s="3"/>
      <c r="BA1063" s="3"/>
      <c r="BB1063" s="3"/>
      <c r="BC1063" s="3"/>
    </row>
    <row r="1064" ht="15.75" customHeight="1">
      <c r="A1064" s="12"/>
      <c r="B1064" s="310"/>
      <c r="C1064" s="310"/>
      <c r="D1064" s="310"/>
      <c r="E1064" s="310"/>
      <c r="F1064" s="310"/>
      <c r="G1064" s="310"/>
      <c r="H1064" s="310"/>
      <c r="I1064" s="310"/>
      <c r="J1064" s="310"/>
      <c r="K1064" s="310"/>
      <c r="L1064" s="310"/>
      <c r="M1064" s="310"/>
      <c r="N1064" s="310"/>
      <c r="O1064" s="310"/>
      <c r="P1064" s="310"/>
      <c r="Q1064" s="310"/>
      <c r="R1064" s="310"/>
      <c r="S1064" s="310"/>
      <c r="T1064" s="310"/>
      <c r="U1064" s="310"/>
      <c r="V1064" s="310"/>
      <c r="W1064" s="310"/>
      <c r="X1064" s="310"/>
      <c r="Y1064" s="310"/>
      <c r="Z1064" s="310"/>
      <c r="AA1064" s="310"/>
      <c r="AB1064" s="310"/>
      <c r="AC1064" s="310"/>
      <c r="AD1064" s="310"/>
      <c r="AE1064" s="310"/>
      <c r="AF1064" s="310"/>
      <c r="AG1064" s="310"/>
      <c r="AH1064" s="310"/>
      <c r="AI1064" s="310"/>
      <c r="AJ1064" s="310"/>
      <c r="AK1064" s="310"/>
      <c r="AL1064" s="310"/>
      <c r="AM1064" s="310"/>
      <c r="AN1064" s="310"/>
      <c r="AO1064" s="310"/>
      <c r="AP1064" s="12"/>
      <c r="AQ1064" s="3"/>
      <c r="AR1064" s="3"/>
      <c r="AS1064" s="3"/>
      <c r="AT1064" s="3"/>
      <c r="AU1064" s="3"/>
      <c r="AV1064" s="3"/>
      <c r="AW1064" s="3"/>
      <c r="AX1064" s="3"/>
      <c r="AY1064" s="3"/>
      <c r="AZ1064" s="3"/>
      <c r="BA1064" s="3"/>
      <c r="BB1064" s="3"/>
      <c r="BC1064" s="3"/>
    </row>
    <row r="1065" ht="15.75" customHeight="1">
      <c r="A1065" s="12"/>
      <c r="B1065" s="310"/>
      <c r="C1065" s="310"/>
      <c r="D1065" s="310"/>
      <c r="E1065" s="310"/>
      <c r="F1065" s="310"/>
      <c r="G1065" s="310"/>
      <c r="H1065" s="310"/>
      <c r="I1065" s="310"/>
      <c r="J1065" s="310"/>
      <c r="K1065" s="310"/>
      <c r="L1065" s="310"/>
      <c r="M1065" s="310"/>
      <c r="N1065" s="310"/>
      <c r="O1065" s="310"/>
      <c r="P1065" s="310"/>
      <c r="Q1065" s="310"/>
      <c r="R1065" s="310"/>
      <c r="S1065" s="310"/>
      <c r="T1065" s="310"/>
      <c r="U1065" s="310"/>
      <c r="V1065" s="310"/>
      <c r="W1065" s="310"/>
      <c r="X1065" s="310"/>
      <c r="Y1065" s="310"/>
      <c r="Z1065" s="310"/>
      <c r="AA1065" s="310"/>
      <c r="AB1065" s="310"/>
      <c r="AC1065" s="310"/>
      <c r="AD1065" s="310"/>
      <c r="AE1065" s="310"/>
      <c r="AF1065" s="310"/>
      <c r="AG1065" s="310"/>
      <c r="AH1065" s="310"/>
      <c r="AI1065" s="310"/>
      <c r="AJ1065" s="310"/>
      <c r="AK1065" s="310"/>
      <c r="AL1065" s="310"/>
      <c r="AM1065" s="310"/>
      <c r="AN1065" s="310"/>
      <c r="AO1065" s="310"/>
      <c r="AP1065" s="12"/>
      <c r="AQ1065" s="3"/>
      <c r="AR1065" s="3"/>
      <c r="AS1065" s="3"/>
      <c r="AT1065" s="3"/>
      <c r="AU1065" s="3"/>
      <c r="AV1065" s="3"/>
      <c r="AW1065" s="3"/>
      <c r="AX1065" s="3"/>
      <c r="AY1065" s="3"/>
      <c r="AZ1065" s="3"/>
      <c r="BA1065" s="3"/>
      <c r="BB1065" s="3"/>
      <c r="BC1065" s="3"/>
    </row>
    <row r="1066" ht="15.75" customHeight="1">
      <c r="A1066" s="12"/>
      <c r="B1066" s="310"/>
      <c r="C1066" s="310"/>
      <c r="D1066" s="310"/>
      <c r="E1066" s="310"/>
      <c r="F1066" s="310"/>
      <c r="G1066" s="310"/>
      <c r="H1066" s="310"/>
      <c r="I1066" s="310"/>
      <c r="J1066" s="310"/>
      <c r="K1066" s="310"/>
      <c r="L1066" s="310"/>
      <c r="M1066" s="310"/>
      <c r="N1066" s="310"/>
      <c r="O1066" s="310"/>
      <c r="P1066" s="310"/>
      <c r="Q1066" s="310"/>
      <c r="R1066" s="310"/>
      <c r="S1066" s="310"/>
      <c r="T1066" s="310"/>
      <c r="U1066" s="310"/>
      <c r="V1066" s="310"/>
      <c r="W1066" s="310"/>
      <c r="X1066" s="310"/>
      <c r="Y1066" s="310"/>
      <c r="Z1066" s="310"/>
      <c r="AA1066" s="310"/>
      <c r="AB1066" s="310"/>
      <c r="AC1066" s="310"/>
      <c r="AD1066" s="310"/>
      <c r="AE1066" s="310"/>
      <c r="AF1066" s="310"/>
      <c r="AG1066" s="310"/>
      <c r="AH1066" s="310"/>
      <c r="AI1066" s="310"/>
      <c r="AJ1066" s="310"/>
      <c r="AK1066" s="310"/>
      <c r="AL1066" s="310"/>
      <c r="AM1066" s="310"/>
      <c r="AN1066" s="310"/>
      <c r="AO1066" s="310"/>
      <c r="AP1066" s="12"/>
      <c r="AQ1066" s="3"/>
      <c r="AR1066" s="3"/>
      <c r="AS1066" s="3"/>
      <c r="AT1066" s="3"/>
      <c r="AU1066" s="3"/>
      <c r="AV1066" s="3"/>
      <c r="AW1066" s="3"/>
      <c r="AX1066" s="3"/>
      <c r="AY1066" s="3"/>
      <c r="AZ1066" s="3"/>
      <c r="BA1066" s="3"/>
      <c r="BB1066" s="3"/>
      <c r="BC1066" s="3"/>
    </row>
    <row r="1067" ht="15.75" customHeight="1">
      <c r="A1067" s="12"/>
      <c r="B1067" s="310"/>
      <c r="C1067" s="310"/>
      <c r="D1067" s="310"/>
      <c r="E1067" s="310"/>
      <c r="F1067" s="310"/>
      <c r="G1067" s="310"/>
      <c r="H1067" s="310"/>
      <c r="I1067" s="310"/>
      <c r="J1067" s="310"/>
      <c r="K1067" s="310"/>
      <c r="L1067" s="310"/>
      <c r="M1067" s="310"/>
      <c r="N1067" s="310"/>
      <c r="O1067" s="310"/>
      <c r="P1067" s="310"/>
      <c r="Q1067" s="310"/>
      <c r="R1067" s="310"/>
      <c r="S1067" s="310"/>
      <c r="T1067" s="310"/>
      <c r="U1067" s="310"/>
      <c r="V1067" s="310"/>
      <c r="W1067" s="310"/>
      <c r="X1067" s="310"/>
      <c r="Y1067" s="310"/>
      <c r="Z1067" s="310"/>
      <c r="AA1067" s="310"/>
      <c r="AB1067" s="310"/>
      <c r="AC1067" s="310"/>
      <c r="AD1067" s="310"/>
      <c r="AE1067" s="310"/>
      <c r="AF1067" s="310"/>
      <c r="AG1067" s="310"/>
      <c r="AH1067" s="310"/>
      <c r="AI1067" s="310"/>
      <c r="AJ1067" s="310"/>
      <c r="AK1067" s="310"/>
      <c r="AL1067" s="310"/>
      <c r="AM1067" s="310"/>
      <c r="AN1067" s="310"/>
      <c r="AO1067" s="310"/>
      <c r="AP1067" s="12"/>
      <c r="AQ1067" s="3"/>
      <c r="AR1067" s="3"/>
      <c r="AS1067" s="3"/>
      <c r="AT1067" s="3"/>
      <c r="AU1067" s="3"/>
      <c r="AV1067" s="3"/>
      <c r="AW1067" s="3"/>
      <c r="AX1067" s="3"/>
      <c r="AY1067" s="3"/>
      <c r="AZ1067" s="3"/>
      <c r="BA1067" s="3"/>
      <c r="BB1067" s="3"/>
      <c r="BC1067" s="3"/>
    </row>
    <row r="1068" ht="15.75" customHeight="1">
      <c r="A1068" s="12"/>
      <c r="B1068" s="310"/>
      <c r="C1068" s="310"/>
      <c r="D1068" s="310"/>
      <c r="E1068" s="310"/>
      <c r="F1068" s="310"/>
      <c r="G1068" s="310"/>
      <c r="H1068" s="310"/>
      <c r="I1068" s="310"/>
      <c r="J1068" s="310"/>
      <c r="K1068" s="310"/>
      <c r="L1068" s="310"/>
      <c r="M1068" s="310"/>
      <c r="N1068" s="310"/>
      <c r="O1068" s="310"/>
      <c r="P1068" s="310"/>
      <c r="Q1068" s="310"/>
      <c r="R1068" s="310"/>
      <c r="S1068" s="310"/>
      <c r="T1068" s="310"/>
      <c r="U1068" s="310"/>
      <c r="V1068" s="310"/>
      <c r="W1068" s="310"/>
      <c r="X1068" s="310"/>
      <c r="Y1068" s="310"/>
      <c r="Z1068" s="310"/>
      <c r="AA1068" s="310"/>
      <c r="AB1068" s="310"/>
      <c r="AC1068" s="310"/>
      <c r="AD1068" s="310"/>
      <c r="AE1068" s="310"/>
      <c r="AF1068" s="310"/>
      <c r="AG1068" s="310"/>
      <c r="AH1068" s="310"/>
      <c r="AI1068" s="310"/>
      <c r="AJ1068" s="310"/>
      <c r="AK1068" s="310"/>
      <c r="AL1068" s="310"/>
      <c r="AM1068" s="310"/>
      <c r="AN1068" s="310"/>
      <c r="AO1068" s="310"/>
      <c r="AP1068" s="12"/>
      <c r="AQ1068" s="3"/>
      <c r="AR1068" s="3"/>
      <c r="AS1068" s="3"/>
      <c r="AT1068" s="3"/>
      <c r="AU1068" s="3"/>
      <c r="AV1068" s="3"/>
      <c r="AW1068" s="3"/>
      <c r="AX1068" s="3"/>
      <c r="AY1068" s="3"/>
      <c r="AZ1068" s="3"/>
      <c r="BA1068" s="3"/>
      <c r="BB1068" s="3"/>
      <c r="BC1068" s="3"/>
    </row>
    <row r="1069" ht="15.75" customHeight="1">
      <c r="A1069" s="12"/>
      <c r="B1069" s="310"/>
      <c r="C1069" s="310"/>
      <c r="D1069" s="310"/>
      <c r="E1069" s="310"/>
      <c r="F1069" s="310"/>
      <c r="G1069" s="310"/>
      <c r="H1069" s="310"/>
      <c r="I1069" s="310"/>
      <c r="J1069" s="310"/>
      <c r="K1069" s="310"/>
      <c r="L1069" s="310"/>
      <c r="M1069" s="310"/>
      <c r="N1069" s="310"/>
      <c r="O1069" s="310"/>
      <c r="P1069" s="310"/>
      <c r="Q1069" s="310"/>
      <c r="R1069" s="310"/>
      <c r="S1069" s="310"/>
      <c r="T1069" s="310"/>
      <c r="U1069" s="310"/>
      <c r="V1069" s="310"/>
      <c r="W1069" s="310"/>
      <c r="X1069" s="310"/>
      <c r="Y1069" s="310"/>
      <c r="Z1069" s="310"/>
      <c r="AA1069" s="310"/>
      <c r="AB1069" s="310"/>
      <c r="AC1069" s="310"/>
      <c r="AD1069" s="310"/>
      <c r="AE1069" s="310"/>
      <c r="AF1069" s="310"/>
      <c r="AG1069" s="310"/>
      <c r="AH1069" s="310"/>
      <c r="AI1069" s="310"/>
      <c r="AJ1069" s="310"/>
      <c r="AK1069" s="310"/>
      <c r="AL1069" s="310"/>
      <c r="AM1069" s="310"/>
      <c r="AN1069" s="310"/>
      <c r="AO1069" s="310"/>
      <c r="AP1069" s="12"/>
      <c r="AQ1069" s="3"/>
      <c r="AR1069" s="3"/>
      <c r="AS1069" s="3"/>
      <c r="AT1069" s="3"/>
      <c r="AU1069" s="3"/>
      <c r="AV1069" s="3"/>
      <c r="AW1069" s="3"/>
      <c r="AX1069" s="3"/>
      <c r="AY1069" s="3"/>
      <c r="AZ1069" s="3"/>
      <c r="BA1069" s="3"/>
      <c r="BB1069" s="3"/>
      <c r="BC1069" s="3"/>
    </row>
    <row r="1070" ht="15.75" customHeight="1">
      <c r="A1070" s="12"/>
      <c r="B1070" s="310"/>
      <c r="C1070" s="310"/>
      <c r="D1070" s="310"/>
      <c r="E1070" s="310"/>
      <c r="F1070" s="310"/>
      <c r="G1070" s="310"/>
      <c r="H1070" s="310"/>
      <c r="I1070" s="310"/>
      <c r="J1070" s="310"/>
      <c r="K1070" s="310"/>
      <c r="L1070" s="310"/>
      <c r="M1070" s="310"/>
      <c r="N1070" s="310"/>
      <c r="O1070" s="310"/>
      <c r="P1070" s="310"/>
      <c r="Q1070" s="310"/>
      <c r="R1070" s="310"/>
      <c r="S1070" s="310"/>
      <c r="T1070" s="310"/>
      <c r="U1070" s="310"/>
      <c r="V1070" s="310"/>
      <c r="W1070" s="310"/>
      <c r="X1070" s="310"/>
      <c r="Y1070" s="310"/>
      <c r="Z1070" s="310"/>
      <c r="AA1070" s="310"/>
      <c r="AB1070" s="310"/>
      <c r="AC1070" s="310"/>
      <c r="AD1070" s="310"/>
      <c r="AE1070" s="310"/>
      <c r="AF1070" s="310"/>
      <c r="AG1070" s="310"/>
      <c r="AH1070" s="310"/>
      <c r="AI1070" s="310"/>
      <c r="AJ1070" s="310"/>
      <c r="AK1070" s="310"/>
      <c r="AL1070" s="310"/>
      <c r="AM1070" s="310"/>
      <c r="AN1070" s="310"/>
      <c r="AO1070" s="310"/>
      <c r="AP1070" s="12"/>
      <c r="AQ1070" s="3"/>
      <c r="AR1070" s="3"/>
      <c r="AS1070" s="3"/>
      <c r="AT1070" s="3"/>
      <c r="AU1070" s="3"/>
      <c r="AV1070" s="3"/>
      <c r="AW1070" s="3"/>
      <c r="AX1070" s="3"/>
      <c r="AY1070" s="3"/>
      <c r="AZ1070" s="3"/>
      <c r="BA1070" s="3"/>
      <c r="BB1070" s="3"/>
      <c r="BC1070" s="3"/>
    </row>
    <row r="1071" ht="15.75" customHeight="1">
      <c r="A1071" s="12"/>
      <c r="B1071" s="310"/>
      <c r="C1071" s="310"/>
      <c r="D1071" s="310"/>
      <c r="E1071" s="310"/>
      <c r="F1071" s="310"/>
      <c r="G1071" s="310"/>
      <c r="H1071" s="310"/>
      <c r="I1071" s="310"/>
      <c r="J1071" s="310"/>
      <c r="K1071" s="310"/>
      <c r="L1071" s="310"/>
      <c r="M1071" s="310"/>
      <c r="N1071" s="310"/>
      <c r="O1071" s="310"/>
      <c r="P1071" s="310"/>
      <c r="Q1071" s="310"/>
      <c r="R1071" s="310"/>
      <c r="S1071" s="310"/>
      <c r="T1071" s="310"/>
      <c r="U1071" s="310"/>
      <c r="V1071" s="310"/>
      <c r="W1071" s="310"/>
      <c r="X1071" s="310"/>
      <c r="Y1071" s="310"/>
      <c r="Z1071" s="310"/>
      <c r="AA1071" s="310"/>
      <c r="AB1071" s="310"/>
      <c r="AC1071" s="310"/>
      <c r="AD1071" s="310"/>
      <c r="AE1071" s="310"/>
      <c r="AF1071" s="310"/>
      <c r="AG1071" s="310"/>
      <c r="AH1071" s="310"/>
      <c r="AI1071" s="310"/>
      <c r="AJ1071" s="310"/>
      <c r="AK1071" s="310"/>
      <c r="AL1071" s="310"/>
      <c r="AM1071" s="310"/>
      <c r="AN1071" s="310"/>
      <c r="AO1071" s="310"/>
      <c r="AP1071" s="12"/>
      <c r="AQ1071" s="3"/>
      <c r="AR1071" s="3"/>
      <c r="AS1071" s="3"/>
      <c r="AT1071" s="3"/>
      <c r="AU1071" s="3"/>
      <c r="AV1071" s="3"/>
      <c r="AW1071" s="3"/>
      <c r="AX1071" s="3"/>
      <c r="AY1071" s="3"/>
      <c r="AZ1071" s="3"/>
      <c r="BA1071" s="3"/>
      <c r="BB1071" s="3"/>
      <c r="BC1071" s="3"/>
    </row>
    <row r="1072" ht="15.75" customHeight="1">
      <c r="A1072" s="12"/>
      <c r="B1072" s="310"/>
      <c r="C1072" s="310"/>
      <c r="D1072" s="310"/>
      <c r="E1072" s="310"/>
      <c r="F1072" s="310"/>
      <c r="G1072" s="310"/>
      <c r="H1072" s="310"/>
      <c r="I1072" s="310"/>
      <c r="J1072" s="310"/>
      <c r="K1072" s="310"/>
      <c r="L1072" s="310"/>
      <c r="M1072" s="310"/>
      <c r="N1072" s="310"/>
      <c r="O1072" s="310"/>
      <c r="P1072" s="310"/>
      <c r="Q1072" s="310"/>
      <c r="R1072" s="310"/>
      <c r="S1072" s="310"/>
      <c r="T1072" s="310"/>
      <c r="U1072" s="310"/>
      <c r="V1072" s="310"/>
      <c r="W1072" s="310"/>
      <c r="X1072" s="310"/>
      <c r="Y1072" s="310"/>
      <c r="Z1072" s="310"/>
      <c r="AA1072" s="310"/>
      <c r="AB1072" s="310"/>
      <c r="AC1072" s="310"/>
      <c r="AD1072" s="310"/>
      <c r="AE1072" s="310"/>
      <c r="AF1072" s="310"/>
      <c r="AG1072" s="310"/>
      <c r="AH1072" s="310"/>
      <c r="AI1072" s="310"/>
      <c r="AJ1072" s="310"/>
      <c r="AK1072" s="310"/>
      <c r="AL1072" s="310"/>
      <c r="AM1072" s="310"/>
      <c r="AN1072" s="310"/>
      <c r="AO1072" s="310"/>
      <c r="AP1072" s="12"/>
      <c r="AQ1072" s="3"/>
      <c r="AR1072" s="3"/>
      <c r="AS1072" s="3"/>
      <c r="AT1072" s="3"/>
      <c r="AU1072" s="3"/>
      <c r="AV1072" s="3"/>
      <c r="AW1072" s="3"/>
      <c r="AX1072" s="3"/>
      <c r="AY1072" s="3"/>
      <c r="AZ1072" s="3"/>
      <c r="BA1072" s="3"/>
      <c r="BB1072" s="3"/>
      <c r="BC1072" s="3"/>
    </row>
    <row r="1073" ht="15.75" customHeight="1">
      <c r="A1073" s="12"/>
      <c r="B1073" s="310"/>
      <c r="C1073" s="310"/>
      <c r="D1073" s="310"/>
      <c r="E1073" s="310"/>
      <c r="F1073" s="310"/>
      <c r="G1073" s="310"/>
      <c r="H1073" s="310"/>
      <c r="I1073" s="310"/>
      <c r="J1073" s="310"/>
      <c r="K1073" s="310"/>
      <c r="L1073" s="310"/>
      <c r="M1073" s="310"/>
      <c r="N1073" s="310"/>
      <c r="O1073" s="310"/>
      <c r="P1073" s="310"/>
      <c r="Q1073" s="310"/>
      <c r="R1073" s="310"/>
      <c r="S1073" s="310"/>
      <c r="T1073" s="310"/>
      <c r="U1073" s="310"/>
      <c r="V1073" s="310"/>
      <c r="W1073" s="310"/>
      <c r="X1073" s="310"/>
      <c r="Y1073" s="310"/>
      <c r="Z1073" s="310"/>
      <c r="AA1073" s="310"/>
      <c r="AB1073" s="310"/>
      <c r="AC1073" s="310"/>
      <c r="AD1073" s="310"/>
      <c r="AE1073" s="310"/>
      <c r="AF1073" s="310"/>
      <c r="AG1073" s="310"/>
      <c r="AH1073" s="310"/>
      <c r="AI1073" s="310"/>
      <c r="AJ1073" s="310"/>
      <c r="AK1073" s="310"/>
      <c r="AL1073" s="310"/>
      <c r="AM1073" s="310"/>
      <c r="AN1073" s="310"/>
      <c r="AO1073" s="310"/>
      <c r="AP1073" s="12"/>
      <c r="AQ1073" s="3"/>
      <c r="AR1073" s="3"/>
      <c r="AS1073" s="3"/>
      <c r="AT1073" s="3"/>
      <c r="AU1073" s="3"/>
      <c r="AV1073" s="3"/>
      <c r="AW1073" s="3"/>
      <c r="AX1073" s="3"/>
      <c r="AY1073" s="3"/>
      <c r="AZ1073" s="3"/>
      <c r="BA1073" s="3"/>
      <c r="BB1073" s="3"/>
      <c r="BC1073" s="3"/>
    </row>
    <row r="1074" ht="15.75" customHeight="1">
      <c r="A1074" s="12"/>
      <c r="B1074" s="310"/>
      <c r="C1074" s="310"/>
      <c r="D1074" s="310"/>
      <c r="E1074" s="310"/>
      <c r="F1074" s="310"/>
      <c r="G1074" s="310"/>
      <c r="H1074" s="310"/>
      <c r="I1074" s="310"/>
      <c r="J1074" s="310"/>
      <c r="K1074" s="310"/>
      <c r="L1074" s="310"/>
      <c r="M1074" s="310"/>
      <c r="N1074" s="310"/>
      <c r="O1074" s="310"/>
      <c r="P1074" s="310"/>
      <c r="Q1074" s="310"/>
      <c r="R1074" s="310"/>
      <c r="S1074" s="310"/>
      <c r="T1074" s="310"/>
      <c r="U1074" s="310"/>
      <c r="V1074" s="310"/>
      <c r="W1074" s="310"/>
      <c r="X1074" s="310"/>
      <c r="Y1074" s="310"/>
      <c r="Z1074" s="310"/>
      <c r="AA1074" s="310"/>
      <c r="AB1074" s="310"/>
      <c r="AC1074" s="310"/>
      <c r="AD1074" s="310"/>
      <c r="AE1074" s="310"/>
      <c r="AF1074" s="310"/>
      <c r="AG1074" s="310"/>
      <c r="AH1074" s="310"/>
      <c r="AI1074" s="310"/>
      <c r="AJ1074" s="310"/>
      <c r="AK1074" s="310"/>
      <c r="AL1074" s="310"/>
      <c r="AM1074" s="310"/>
      <c r="AN1074" s="310"/>
      <c r="AO1074" s="310"/>
      <c r="AP1074" s="12"/>
      <c r="AQ1074" s="3"/>
      <c r="AR1074" s="3"/>
      <c r="AS1074" s="3"/>
      <c r="AT1074" s="3"/>
      <c r="AU1074" s="3"/>
      <c r="AV1074" s="3"/>
      <c r="AW1074" s="3"/>
      <c r="AX1074" s="3"/>
      <c r="AY1074" s="3"/>
      <c r="AZ1074" s="3"/>
      <c r="BA1074" s="3"/>
      <c r="BB1074" s="3"/>
      <c r="BC1074" s="3"/>
    </row>
    <row r="1075" ht="15.75" customHeight="1">
      <c r="A1075" s="12"/>
      <c r="B1075" s="310"/>
      <c r="C1075" s="310"/>
      <c r="D1075" s="310"/>
      <c r="E1075" s="310"/>
      <c r="F1075" s="310"/>
      <c r="G1075" s="310"/>
      <c r="H1075" s="310"/>
      <c r="I1075" s="310"/>
      <c r="J1075" s="310"/>
      <c r="K1075" s="310"/>
      <c r="L1075" s="310"/>
      <c r="M1075" s="310"/>
      <c r="N1075" s="310"/>
      <c r="O1075" s="310"/>
      <c r="P1075" s="310"/>
      <c r="Q1075" s="310"/>
      <c r="R1075" s="310"/>
      <c r="S1075" s="310"/>
      <c r="T1075" s="310"/>
      <c r="U1075" s="310"/>
      <c r="V1075" s="310"/>
      <c r="W1075" s="310"/>
      <c r="X1075" s="310"/>
      <c r="Y1075" s="310"/>
      <c r="Z1075" s="310"/>
      <c r="AA1075" s="310"/>
      <c r="AB1075" s="310"/>
      <c r="AC1075" s="310"/>
      <c r="AD1075" s="310"/>
      <c r="AE1075" s="310"/>
      <c r="AF1075" s="310"/>
      <c r="AG1075" s="310"/>
      <c r="AH1075" s="310"/>
      <c r="AI1075" s="310"/>
      <c r="AJ1075" s="310"/>
      <c r="AK1075" s="310"/>
      <c r="AL1075" s="310"/>
      <c r="AM1075" s="310"/>
      <c r="AN1075" s="310"/>
      <c r="AO1075" s="310"/>
      <c r="AP1075" s="12"/>
      <c r="AQ1075" s="3"/>
      <c r="AR1075" s="3"/>
      <c r="AS1075" s="3"/>
      <c r="AT1075" s="3"/>
      <c r="AU1075" s="3"/>
      <c r="AV1075" s="3"/>
      <c r="AW1075" s="3"/>
      <c r="AX1075" s="3"/>
      <c r="AY1075" s="3"/>
      <c r="AZ1075" s="3"/>
      <c r="BA1075" s="3"/>
      <c r="BB1075" s="3"/>
      <c r="BC1075" s="3"/>
    </row>
    <row r="1076" ht="15.75" customHeight="1">
      <c r="A1076" s="12"/>
      <c r="B1076" s="310"/>
      <c r="C1076" s="310"/>
      <c r="D1076" s="310"/>
      <c r="E1076" s="310"/>
      <c r="F1076" s="310"/>
      <c r="G1076" s="310"/>
      <c r="H1076" s="310"/>
      <c r="I1076" s="310"/>
      <c r="J1076" s="310"/>
      <c r="K1076" s="310"/>
      <c r="L1076" s="310"/>
      <c r="M1076" s="310"/>
      <c r="N1076" s="310"/>
      <c r="O1076" s="310"/>
      <c r="P1076" s="310"/>
      <c r="Q1076" s="310"/>
      <c r="R1076" s="310"/>
      <c r="S1076" s="310"/>
      <c r="T1076" s="310"/>
      <c r="U1076" s="310"/>
      <c r="V1076" s="310"/>
      <c r="W1076" s="310"/>
      <c r="X1076" s="310"/>
      <c r="Y1076" s="310"/>
      <c r="Z1076" s="310"/>
      <c r="AA1076" s="310"/>
      <c r="AB1076" s="310"/>
      <c r="AC1076" s="310"/>
      <c r="AD1076" s="310"/>
      <c r="AE1076" s="310"/>
      <c r="AF1076" s="310"/>
      <c r="AG1076" s="310"/>
      <c r="AH1076" s="310"/>
      <c r="AI1076" s="310"/>
      <c r="AJ1076" s="310"/>
      <c r="AK1076" s="310"/>
      <c r="AL1076" s="310"/>
      <c r="AM1076" s="310"/>
      <c r="AN1076" s="310"/>
      <c r="AO1076" s="310"/>
      <c r="AP1076" s="12"/>
      <c r="AQ1076" s="3"/>
      <c r="AR1076" s="3"/>
      <c r="AS1076" s="3"/>
      <c r="AT1076" s="3"/>
      <c r="AU1076" s="3"/>
      <c r="AV1076" s="3"/>
      <c r="AW1076" s="3"/>
      <c r="AX1076" s="3"/>
      <c r="AY1076" s="3"/>
      <c r="AZ1076" s="3"/>
      <c r="BA1076" s="3"/>
      <c r="BB1076" s="3"/>
      <c r="BC1076" s="3"/>
    </row>
    <row r="1077" ht="15.75" customHeight="1">
      <c r="A1077" s="12"/>
      <c r="B1077" s="310"/>
      <c r="C1077" s="310"/>
      <c r="D1077" s="310"/>
      <c r="E1077" s="310"/>
      <c r="F1077" s="310"/>
      <c r="G1077" s="310"/>
      <c r="H1077" s="310"/>
      <c r="I1077" s="310"/>
      <c r="J1077" s="310"/>
      <c r="K1077" s="310"/>
      <c r="L1077" s="310"/>
      <c r="M1077" s="310"/>
      <c r="N1077" s="310"/>
      <c r="O1077" s="310"/>
      <c r="P1077" s="310"/>
      <c r="Q1077" s="310"/>
      <c r="R1077" s="310"/>
      <c r="S1077" s="310"/>
      <c r="T1077" s="310"/>
      <c r="U1077" s="310"/>
      <c r="V1077" s="310"/>
      <c r="W1077" s="310"/>
      <c r="X1077" s="310"/>
      <c r="Y1077" s="310"/>
      <c r="Z1077" s="310"/>
      <c r="AA1077" s="310"/>
      <c r="AB1077" s="310"/>
      <c r="AC1077" s="310"/>
      <c r="AD1077" s="310"/>
      <c r="AE1077" s="310"/>
      <c r="AF1077" s="310"/>
      <c r="AG1077" s="310"/>
      <c r="AH1077" s="310"/>
      <c r="AI1077" s="310"/>
      <c r="AJ1077" s="310"/>
      <c r="AK1077" s="310"/>
      <c r="AL1077" s="310"/>
      <c r="AM1077" s="310"/>
      <c r="AN1077" s="310"/>
      <c r="AO1077" s="310"/>
      <c r="AP1077" s="12"/>
      <c r="AQ1077" s="3"/>
      <c r="AR1077" s="3"/>
      <c r="AS1077" s="3"/>
      <c r="AT1077" s="3"/>
      <c r="AU1077" s="3"/>
      <c r="AV1077" s="3"/>
      <c r="AW1077" s="3"/>
      <c r="AX1077" s="3"/>
      <c r="AY1077" s="3"/>
      <c r="AZ1077" s="3"/>
      <c r="BA1077" s="3"/>
      <c r="BB1077" s="3"/>
      <c r="BC1077" s="3"/>
    </row>
    <row r="1078" ht="15.75" customHeight="1">
      <c r="A1078" s="12"/>
      <c r="B1078" s="310"/>
      <c r="C1078" s="310"/>
      <c r="D1078" s="310"/>
      <c r="E1078" s="310"/>
      <c r="F1078" s="310"/>
      <c r="G1078" s="310"/>
      <c r="H1078" s="310"/>
      <c r="I1078" s="310"/>
      <c r="J1078" s="310"/>
      <c r="K1078" s="310"/>
      <c r="L1078" s="310"/>
      <c r="M1078" s="310"/>
      <c r="N1078" s="310"/>
      <c r="O1078" s="310"/>
      <c r="P1078" s="310"/>
      <c r="Q1078" s="310"/>
      <c r="R1078" s="310"/>
      <c r="S1078" s="310"/>
      <c r="T1078" s="310"/>
      <c r="U1078" s="310"/>
      <c r="V1078" s="310"/>
      <c r="W1078" s="310"/>
      <c r="X1078" s="310"/>
      <c r="Y1078" s="310"/>
      <c r="Z1078" s="310"/>
      <c r="AA1078" s="310"/>
      <c r="AB1078" s="310"/>
      <c r="AC1078" s="310"/>
      <c r="AD1078" s="310"/>
      <c r="AE1078" s="310"/>
      <c r="AF1078" s="310"/>
      <c r="AG1078" s="310"/>
      <c r="AH1078" s="310"/>
      <c r="AI1078" s="310"/>
      <c r="AJ1078" s="310"/>
      <c r="AK1078" s="310"/>
      <c r="AL1078" s="310"/>
      <c r="AM1078" s="310"/>
      <c r="AN1078" s="310"/>
      <c r="AO1078" s="310"/>
      <c r="AP1078" s="12"/>
      <c r="AQ1078" s="3"/>
      <c r="AR1078" s="3"/>
      <c r="AS1078" s="3"/>
      <c r="AT1078" s="3"/>
      <c r="AU1078" s="3"/>
      <c r="AV1078" s="3"/>
      <c r="AW1078" s="3"/>
      <c r="AX1078" s="3"/>
      <c r="AY1078" s="3"/>
      <c r="AZ1078" s="3"/>
      <c r="BA1078" s="3"/>
      <c r="BB1078" s="3"/>
      <c r="BC1078" s="3"/>
    </row>
    <row r="1079" ht="15.75" customHeight="1">
      <c r="A1079" s="12"/>
      <c r="B1079" s="310"/>
      <c r="C1079" s="310"/>
      <c r="D1079" s="310"/>
      <c r="E1079" s="310"/>
      <c r="F1079" s="310"/>
      <c r="G1079" s="310"/>
      <c r="H1079" s="310"/>
      <c r="I1079" s="310"/>
      <c r="J1079" s="310"/>
      <c r="K1079" s="310"/>
      <c r="L1079" s="310"/>
      <c r="M1079" s="310"/>
      <c r="N1079" s="310"/>
      <c r="O1079" s="310"/>
      <c r="P1079" s="310"/>
      <c r="Q1079" s="310"/>
      <c r="R1079" s="310"/>
      <c r="S1079" s="310"/>
      <c r="T1079" s="310"/>
      <c r="U1079" s="310"/>
      <c r="V1079" s="310"/>
      <c r="W1079" s="310"/>
      <c r="X1079" s="310"/>
      <c r="Y1079" s="310"/>
      <c r="Z1079" s="310"/>
      <c r="AA1079" s="310"/>
      <c r="AB1079" s="310"/>
      <c r="AC1079" s="310"/>
      <c r="AD1079" s="310"/>
      <c r="AE1079" s="310"/>
      <c r="AF1079" s="310"/>
      <c r="AG1079" s="310"/>
      <c r="AH1079" s="310"/>
      <c r="AI1079" s="310"/>
      <c r="AJ1079" s="310"/>
      <c r="AK1079" s="310"/>
      <c r="AL1079" s="310"/>
      <c r="AM1079" s="310"/>
      <c r="AN1079" s="310"/>
      <c r="AO1079" s="310"/>
      <c r="AP1079" s="12"/>
      <c r="AQ1079" s="3"/>
      <c r="AR1079" s="3"/>
      <c r="AS1079" s="3"/>
      <c r="AT1079" s="3"/>
      <c r="AU1079" s="3"/>
      <c r="AV1079" s="3"/>
      <c r="AW1079" s="3"/>
      <c r="AX1079" s="3"/>
      <c r="AY1079" s="3"/>
      <c r="AZ1079" s="3"/>
      <c r="BA1079" s="3"/>
      <c r="BB1079" s="3"/>
      <c r="BC1079" s="3"/>
    </row>
    <row r="1080" ht="15.75" customHeight="1">
      <c r="A1080" s="12"/>
      <c r="B1080" s="310"/>
      <c r="C1080" s="310"/>
      <c r="D1080" s="310"/>
      <c r="E1080" s="310"/>
      <c r="F1080" s="310"/>
      <c r="G1080" s="310"/>
      <c r="H1080" s="310"/>
      <c r="I1080" s="310"/>
      <c r="J1080" s="310"/>
      <c r="K1080" s="310"/>
      <c r="L1080" s="310"/>
      <c r="M1080" s="310"/>
      <c r="N1080" s="310"/>
      <c r="O1080" s="310"/>
      <c r="P1080" s="310"/>
      <c r="Q1080" s="310"/>
      <c r="R1080" s="310"/>
      <c r="S1080" s="310"/>
      <c r="T1080" s="310"/>
      <c r="U1080" s="310"/>
      <c r="V1080" s="310"/>
      <c r="W1080" s="310"/>
      <c r="X1080" s="310"/>
      <c r="Y1080" s="310"/>
      <c r="Z1080" s="310"/>
      <c r="AA1080" s="310"/>
      <c r="AB1080" s="310"/>
      <c r="AC1080" s="310"/>
      <c r="AD1080" s="310"/>
      <c r="AE1080" s="310"/>
      <c r="AF1080" s="310"/>
      <c r="AG1080" s="310"/>
      <c r="AH1080" s="310"/>
      <c r="AI1080" s="310"/>
      <c r="AJ1080" s="310"/>
      <c r="AK1080" s="310"/>
      <c r="AL1080" s="310"/>
      <c r="AM1080" s="310"/>
      <c r="AN1080" s="310"/>
      <c r="AO1080" s="310"/>
      <c r="AP1080" s="12"/>
      <c r="AQ1080" s="3"/>
      <c r="AR1080" s="3"/>
      <c r="AS1080" s="3"/>
      <c r="AT1080" s="3"/>
      <c r="AU1080" s="3"/>
      <c r="AV1080" s="3"/>
      <c r="AW1080" s="3"/>
      <c r="AX1080" s="3"/>
      <c r="AY1080" s="3"/>
      <c r="AZ1080" s="3"/>
      <c r="BA1080" s="3"/>
      <c r="BB1080" s="3"/>
      <c r="BC1080" s="3"/>
    </row>
    <row r="1081" ht="15.75" customHeight="1">
      <c r="A1081" s="12"/>
      <c r="B1081" s="310"/>
      <c r="C1081" s="310"/>
      <c r="D1081" s="310"/>
      <c r="E1081" s="310"/>
      <c r="F1081" s="310"/>
      <c r="G1081" s="310"/>
      <c r="H1081" s="310"/>
      <c r="I1081" s="310"/>
      <c r="J1081" s="310"/>
      <c r="K1081" s="310"/>
      <c r="L1081" s="310"/>
      <c r="M1081" s="310"/>
      <c r="N1081" s="310"/>
      <c r="O1081" s="310"/>
      <c r="P1081" s="310"/>
      <c r="Q1081" s="310"/>
      <c r="R1081" s="310"/>
      <c r="S1081" s="310"/>
      <c r="T1081" s="310"/>
      <c r="U1081" s="310"/>
      <c r="V1081" s="310"/>
      <c r="W1081" s="310"/>
      <c r="X1081" s="310"/>
      <c r="Y1081" s="310"/>
      <c r="Z1081" s="310"/>
      <c r="AA1081" s="310"/>
      <c r="AB1081" s="310"/>
      <c r="AC1081" s="310"/>
      <c r="AD1081" s="310"/>
      <c r="AE1081" s="310"/>
      <c r="AF1081" s="310"/>
      <c r="AG1081" s="310"/>
      <c r="AH1081" s="310"/>
      <c r="AI1081" s="310"/>
      <c r="AJ1081" s="310"/>
      <c r="AK1081" s="310"/>
      <c r="AL1081" s="310"/>
      <c r="AM1081" s="310"/>
      <c r="AN1081" s="310"/>
      <c r="AO1081" s="310"/>
      <c r="AP1081" s="12"/>
      <c r="AQ1081" s="3"/>
      <c r="AR1081" s="3"/>
      <c r="AS1081" s="3"/>
      <c r="AT1081" s="3"/>
      <c r="AU1081" s="3"/>
      <c r="AV1081" s="3"/>
      <c r="AW1081" s="3"/>
      <c r="AX1081" s="3"/>
      <c r="AY1081" s="3"/>
      <c r="AZ1081" s="3"/>
      <c r="BA1081" s="3"/>
      <c r="BB1081" s="3"/>
      <c r="BC1081" s="3"/>
    </row>
    <row r="1082" ht="15.75" customHeight="1">
      <c r="A1082" s="12"/>
      <c r="B1082" s="310"/>
      <c r="C1082" s="310"/>
      <c r="D1082" s="310"/>
      <c r="E1082" s="310"/>
      <c r="F1082" s="310"/>
      <c r="G1082" s="310"/>
      <c r="H1082" s="310"/>
      <c r="I1082" s="310"/>
      <c r="J1082" s="310"/>
      <c r="K1082" s="310"/>
      <c r="L1082" s="310"/>
      <c r="M1082" s="310"/>
      <c r="N1082" s="310"/>
      <c r="O1082" s="310"/>
      <c r="P1082" s="310"/>
      <c r="Q1082" s="310"/>
      <c r="R1082" s="310"/>
      <c r="S1082" s="310"/>
      <c r="T1082" s="310"/>
      <c r="U1082" s="310"/>
      <c r="V1082" s="310"/>
      <c r="W1082" s="310"/>
      <c r="X1082" s="310"/>
      <c r="Y1082" s="310"/>
      <c r="Z1082" s="310"/>
      <c r="AA1082" s="310"/>
      <c r="AB1082" s="310"/>
      <c r="AC1082" s="310"/>
      <c r="AD1082" s="310"/>
      <c r="AE1082" s="310"/>
      <c r="AF1082" s="310"/>
      <c r="AG1082" s="310"/>
      <c r="AH1082" s="310"/>
      <c r="AI1082" s="310"/>
      <c r="AJ1082" s="310"/>
      <c r="AK1082" s="310"/>
      <c r="AL1082" s="310"/>
      <c r="AM1082" s="310"/>
      <c r="AN1082" s="310"/>
      <c r="AO1082" s="310"/>
      <c r="AP1082" s="12"/>
      <c r="AQ1082" s="3"/>
      <c r="AR1082" s="3"/>
      <c r="AS1082" s="3"/>
      <c r="AT1082" s="3"/>
      <c r="AU1082" s="3"/>
      <c r="AV1082" s="3"/>
      <c r="AW1082" s="3"/>
      <c r="AX1082" s="3"/>
      <c r="AY1082" s="3"/>
      <c r="AZ1082" s="3"/>
      <c r="BA1082" s="3"/>
      <c r="BB1082" s="3"/>
      <c r="BC1082" s="3"/>
    </row>
    <row r="1083" ht="15.75" customHeight="1">
      <c r="A1083" s="12"/>
      <c r="B1083" s="310"/>
      <c r="C1083" s="310"/>
      <c r="D1083" s="310"/>
      <c r="E1083" s="310"/>
      <c r="F1083" s="310"/>
      <c r="G1083" s="310"/>
      <c r="H1083" s="310"/>
      <c r="I1083" s="310"/>
      <c r="J1083" s="310"/>
      <c r="K1083" s="310"/>
      <c r="L1083" s="310"/>
      <c r="M1083" s="310"/>
      <c r="N1083" s="310"/>
      <c r="O1083" s="310"/>
      <c r="P1083" s="310"/>
      <c r="Q1083" s="310"/>
      <c r="R1083" s="310"/>
      <c r="S1083" s="310"/>
      <c r="T1083" s="310"/>
      <c r="U1083" s="310"/>
      <c r="V1083" s="310"/>
      <c r="W1083" s="310"/>
      <c r="X1083" s="310"/>
      <c r="Y1083" s="310"/>
      <c r="Z1083" s="310"/>
      <c r="AA1083" s="310"/>
      <c r="AB1083" s="310"/>
      <c r="AC1083" s="310"/>
      <c r="AD1083" s="310"/>
      <c r="AE1083" s="310"/>
      <c r="AF1083" s="310"/>
      <c r="AG1083" s="310"/>
      <c r="AH1083" s="310"/>
      <c r="AI1083" s="310"/>
      <c r="AJ1083" s="310"/>
      <c r="AK1083" s="310"/>
      <c r="AL1083" s="310"/>
      <c r="AM1083" s="310"/>
      <c r="AN1083" s="310"/>
      <c r="AO1083" s="310"/>
      <c r="AP1083" s="12"/>
      <c r="AQ1083" s="3"/>
      <c r="AR1083" s="3"/>
      <c r="AS1083" s="3"/>
      <c r="AT1083" s="3"/>
      <c r="AU1083" s="3"/>
      <c r="AV1083" s="3"/>
      <c r="AW1083" s="3"/>
      <c r="AX1083" s="3"/>
      <c r="AY1083" s="3"/>
      <c r="AZ1083" s="3"/>
      <c r="BA1083" s="3"/>
      <c r="BB1083" s="3"/>
      <c r="BC1083" s="3"/>
    </row>
    <row r="1084" ht="15.75" customHeight="1">
      <c r="A1084" s="12"/>
      <c r="B1084" s="310"/>
      <c r="C1084" s="310"/>
      <c r="D1084" s="310"/>
      <c r="E1084" s="310"/>
      <c r="F1084" s="310"/>
      <c r="G1084" s="310"/>
      <c r="H1084" s="310"/>
      <c r="I1084" s="310"/>
      <c r="J1084" s="310"/>
      <c r="K1084" s="310"/>
      <c r="L1084" s="310"/>
      <c r="M1084" s="310"/>
      <c r="N1084" s="310"/>
      <c r="O1084" s="310"/>
      <c r="P1084" s="310"/>
      <c r="Q1084" s="310"/>
      <c r="R1084" s="310"/>
      <c r="S1084" s="310"/>
      <c r="T1084" s="310"/>
      <c r="U1084" s="310"/>
      <c r="V1084" s="310"/>
      <c r="W1084" s="310"/>
      <c r="X1084" s="310"/>
      <c r="Y1084" s="310"/>
      <c r="Z1084" s="310"/>
      <c r="AA1084" s="310"/>
      <c r="AB1084" s="310"/>
      <c r="AC1084" s="310"/>
      <c r="AD1084" s="310"/>
      <c r="AE1084" s="310"/>
      <c r="AF1084" s="310"/>
      <c r="AG1084" s="310"/>
      <c r="AH1084" s="310"/>
      <c r="AI1084" s="310"/>
      <c r="AJ1084" s="310"/>
      <c r="AK1084" s="310"/>
      <c r="AL1084" s="310"/>
      <c r="AM1084" s="310"/>
      <c r="AN1084" s="310"/>
      <c r="AO1084" s="310"/>
      <c r="AP1084" s="12"/>
      <c r="AQ1084" s="3"/>
      <c r="AR1084" s="3"/>
      <c r="AS1084" s="3"/>
      <c r="AT1084" s="3"/>
      <c r="AU1084" s="3"/>
      <c r="AV1084" s="3"/>
      <c r="AW1084" s="3"/>
      <c r="AX1084" s="3"/>
      <c r="AY1084" s="3"/>
      <c r="AZ1084" s="3"/>
      <c r="BA1084" s="3"/>
      <c r="BB1084" s="3"/>
      <c r="BC1084" s="3"/>
    </row>
    <row r="1085" ht="15.75" customHeight="1">
      <c r="A1085" s="12"/>
      <c r="B1085" s="310"/>
      <c r="C1085" s="310"/>
      <c r="D1085" s="310"/>
      <c r="E1085" s="310"/>
      <c r="F1085" s="310"/>
      <c r="G1085" s="310"/>
      <c r="H1085" s="310"/>
      <c r="I1085" s="310"/>
      <c r="J1085" s="310"/>
      <c r="K1085" s="310"/>
      <c r="L1085" s="310"/>
      <c r="M1085" s="310"/>
      <c r="N1085" s="310"/>
      <c r="O1085" s="310"/>
      <c r="P1085" s="310"/>
      <c r="Q1085" s="310"/>
      <c r="R1085" s="310"/>
      <c r="S1085" s="310"/>
      <c r="T1085" s="310"/>
      <c r="U1085" s="310"/>
      <c r="V1085" s="310"/>
      <c r="W1085" s="310"/>
      <c r="X1085" s="310"/>
      <c r="Y1085" s="310"/>
      <c r="Z1085" s="310"/>
      <c r="AA1085" s="310"/>
      <c r="AB1085" s="310"/>
      <c r="AC1085" s="310"/>
      <c r="AD1085" s="310"/>
      <c r="AE1085" s="310"/>
      <c r="AF1085" s="310"/>
      <c r="AG1085" s="310"/>
      <c r="AH1085" s="310"/>
      <c r="AI1085" s="310"/>
      <c r="AJ1085" s="310"/>
      <c r="AK1085" s="310"/>
      <c r="AL1085" s="310"/>
      <c r="AM1085" s="310"/>
      <c r="AN1085" s="310"/>
      <c r="AO1085" s="310"/>
      <c r="AP1085" s="12"/>
      <c r="AQ1085" s="3"/>
      <c r="AR1085" s="3"/>
      <c r="AS1085" s="3"/>
      <c r="AT1085" s="3"/>
      <c r="AU1085" s="3"/>
      <c r="AV1085" s="3"/>
      <c r="AW1085" s="3"/>
      <c r="AX1085" s="3"/>
      <c r="AY1085" s="3"/>
      <c r="AZ1085" s="3"/>
      <c r="BA1085" s="3"/>
      <c r="BB1085" s="3"/>
      <c r="BC1085" s="3"/>
    </row>
    <row r="1086" ht="15.75" customHeight="1">
      <c r="A1086" s="12"/>
      <c r="B1086" s="310"/>
      <c r="C1086" s="310"/>
      <c r="D1086" s="310"/>
      <c r="E1086" s="310"/>
      <c r="F1086" s="310"/>
      <c r="G1086" s="310"/>
      <c r="H1086" s="310"/>
      <c r="I1086" s="310"/>
      <c r="J1086" s="310"/>
      <c r="K1086" s="310"/>
      <c r="L1086" s="310"/>
      <c r="M1086" s="310"/>
      <c r="N1086" s="310"/>
      <c r="O1086" s="310"/>
      <c r="P1086" s="310"/>
      <c r="Q1086" s="310"/>
      <c r="R1086" s="310"/>
      <c r="S1086" s="310"/>
      <c r="T1086" s="310"/>
      <c r="U1086" s="310"/>
      <c r="V1086" s="310"/>
      <c r="W1086" s="310"/>
      <c r="X1086" s="310"/>
      <c r="Y1086" s="310"/>
      <c r="Z1086" s="310"/>
      <c r="AA1086" s="310"/>
      <c r="AB1086" s="310"/>
      <c r="AC1086" s="310"/>
      <c r="AD1086" s="310"/>
      <c r="AE1086" s="310"/>
      <c r="AF1086" s="310"/>
      <c r="AG1086" s="310"/>
      <c r="AH1086" s="310"/>
      <c r="AI1086" s="310"/>
      <c r="AJ1086" s="310"/>
      <c r="AK1086" s="310"/>
      <c r="AL1086" s="310"/>
      <c r="AM1086" s="310"/>
      <c r="AN1086" s="310"/>
      <c r="AO1086" s="310"/>
      <c r="AP1086" s="12"/>
      <c r="AQ1086" s="3"/>
      <c r="AR1086" s="3"/>
      <c r="AS1086" s="3"/>
      <c r="AT1086" s="3"/>
      <c r="AU1086" s="3"/>
      <c r="AV1086" s="3"/>
      <c r="AW1086" s="3"/>
      <c r="AX1086" s="3"/>
      <c r="AY1086" s="3"/>
      <c r="AZ1086" s="3"/>
      <c r="BA1086" s="3"/>
      <c r="BB1086" s="3"/>
      <c r="BC1086" s="3"/>
    </row>
    <row r="1087" ht="15.75" customHeight="1">
      <c r="A1087" s="12"/>
      <c r="B1087" s="310"/>
      <c r="C1087" s="310"/>
      <c r="D1087" s="310"/>
      <c r="E1087" s="310"/>
      <c r="F1087" s="310"/>
      <c r="G1087" s="310"/>
      <c r="H1087" s="310"/>
      <c r="I1087" s="310"/>
      <c r="J1087" s="310"/>
      <c r="K1087" s="310"/>
      <c r="L1087" s="310"/>
      <c r="M1087" s="310"/>
      <c r="N1087" s="310"/>
      <c r="O1087" s="310"/>
      <c r="P1087" s="310"/>
      <c r="Q1087" s="310"/>
      <c r="R1087" s="310"/>
      <c r="S1087" s="310"/>
      <c r="T1087" s="310"/>
      <c r="U1087" s="310"/>
      <c r="V1087" s="310"/>
      <c r="W1087" s="310"/>
      <c r="X1087" s="310"/>
      <c r="Y1087" s="310"/>
      <c r="Z1087" s="310"/>
      <c r="AA1087" s="310"/>
      <c r="AB1087" s="310"/>
      <c r="AC1087" s="310"/>
      <c r="AD1087" s="310"/>
      <c r="AE1087" s="310"/>
      <c r="AF1087" s="310"/>
      <c r="AG1087" s="310"/>
      <c r="AH1087" s="310"/>
      <c r="AI1087" s="310"/>
      <c r="AJ1087" s="310"/>
      <c r="AK1087" s="310"/>
      <c r="AL1087" s="310"/>
      <c r="AM1087" s="310"/>
      <c r="AN1087" s="310"/>
      <c r="AO1087" s="310"/>
      <c r="AP1087" s="12"/>
      <c r="AQ1087" s="3"/>
      <c r="AR1087" s="3"/>
      <c r="AS1087" s="3"/>
      <c r="AT1087" s="3"/>
      <c r="AU1087" s="3"/>
      <c r="AV1087" s="3"/>
      <c r="AW1087" s="3"/>
      <c r="AX1087" s="3"/>
      <c r="AY1087" s="3"/>
      <c r="AZ1087" s="3"/>
      <c r="BA1087" s="3"/>
      <c r="BB1087" s="3"/>
      <c r="BC1087" s="3"/>
    </row>
    <row r="1088" ht="15.75" customHeight="1">
      <c r="A1088" s="12"/>
      <c r="B1088" s="310"/>
      <c r="C1088" s="310"/>
      <c r="D1088" s="310"/>
      <c r="E1088" s="310"/>
      <c r="F1088" s="310"/>
      <c r="G1088" s="310"/>
      <c r="H1088" s="310"/>
      <c r="I1088" s="310"/>
      <c r="J1088" s="310"/>
      <c r="K1088" s="310"/>
      <c r="L1088" s="310"/>
      <c r="M1088" s="310"/>
      <c r="N1088" s="310"/>
      <c r="O1088" s="310"/>
      <c r="P1088" s="310"/>
      <c r="Q1088" s="310"/>
      <c r="R1088" s="310"/>
      <c r="S1088" s="310"/>
      <c r="T1088" s="310"/>
      <c r="U1088" s="310"/>
      <c r="V1088" s="310"/>
      <c r="W1088" s="310"/>
      <c r="X1088" s="310"/>
      <c r="Y1088" s="310"/>
      <c r="Z1088" s="310"/>
      <c r="AA1088" s="310"/>
      <c r="AB1088" s="310"/>
      <c r="AC1088" s="310"/>
      <c r="AD1088" s="310"/>
      <c r="AE1088" s="310"/>
      <c r="AF1088" s="310"/>
      <c r="AG1088" s="310"/>
      <c r="AH1088" s="310"/>
      <c r="AI1088" s="310"/>
      <c r="AJ1088" s="310"/>
      <c r="AK1088" s="310"/>
      <c r="AL1088" s="310"/>
      <c r="AM1088" s="310"/>
      <c r="AN1088" s="310"/>
      <c r="AO1088" s="310"/>
      <c r="AP1088" s="12"/>
      <c r="AQ1088" s="3"/>
      <c r="AR1088" s="3"/>
      <c r="AS1088" s="3"/>
      <c r="AT1088" s="3"/>
      <c r="AU1088" s="3"/>
      <c r="AV1088" s="3"/>
      <c r="AW1088" s="3"/>
      <c r="AX1088" s="3"/>
      <c r="AY1088" s="3"/>
      <c r="AZ1088" s="3"/>
      <c r="BA1088" s="3"/>
      <c r="BB1088" s="3"/>
      <c r="BC1088" s="3"/>
    </row>
    <row r="1089" ht="15.75" customHeight="1">
      <c r="A1089" s="12"/>
      <c r="B1089" s="310"/>
      <c r="C1089" s="310"/>
      <c r="D1089" s="310"/>
      <c r="E1089" s="310"/>
      <c r="F1089" s="310"/>
      <c r="G1089" s="310"/>
      <c r="H1089" s="310"/>
      <c r="I1089" s="310"/>
      <c r="J1089" s="310"/>
      <c r="K1089" s="310"/>
      <c r="L1089" s="310"/>
      <c r="M1089" s="310"/>
      <c r="N1089" s="310"/>
      <c r="O1089" s="310"/>
      <c r="P1089" s="310"/>
      <c r="Q1089" s="310"/>
      <c r="R1089" s="310"/>
      <c r="S1089" s="310"/>
      <c r="T1089" s="310"/>
      <c r="U1089" s="310"/>
      <c r="V1089" s="310"/>
      <c r="W1089" s="310"/>
      <c r="X1089" s="310"/>
      <c r="Y1089" s="310"/>
      <c r="Z1089" s="310"/>
      <c r="AA1089" s="310"/>
      <c r="AB1089" s="310"/>
      <c r="AC1089" s="310"/>
      <c r="AD1089" s="310"/>
      <c r="AE1089" s="310"/>
      <c r="AF1089" s="310"/>
      <c r="AG1089" s="310"/>
      <c r="AH1089" s="310"/>
      <c r="AI1089" s="310"/>
      <c r="AJ1089" s="310"/>
      <c r="AK1089" s="310"/>
      <c r="AL1089" s="310"/>
      <c r="AM1089" s="310"/>
      <c r="AN1089" s="310"/>
      <c r="AO1089" s="310"/>
      <c r="AP1089" s="12"/>
      <c r="AQ1089" s="3"/>
      <c r="AR1089" s="3"/>
      <c r="AS1089" s="3"/>
      <c r="AT1089" s="3"/>
      <c r="AU1089" s="3"/>
      <c r="AV1089" s="3"/>
      <c r="AW1089" s="3"/>
      <c r="AX1089" s="3"/>
      <c r="AY1089" s="3"/>
      <c r="AZ1089" s="3"/>
      <c r="BA1089" s="3"/>
      <c r="BB1089" s="3"/>
      <c r="BC1089" s="3"/>
    </row>
    <row r="1090" ht="15.75" customHeight="1">
      <c r="A1090" s="12"/>
      <c r="B1090" s="310"/>
      <c r="C1090" s="310"/>
      <c r="D1090" s="310"/>
      <c r="E1090" s="310"/>
      <c r="F1090" s="310"/>
      <c r="G1090" s="310"/>
      <c r="H1090" s="310"/>
      <c r="I1090" s="310"/>
      <c r="J1090" s="310"/>
      <c r="K1090" s="310"/>
      <c r="L1090" s="310"/>
      <c r="M1090" s="310"/>
      <c r="N1090" s="310"/>
      <c r="O1090" s="310"/>
      <c r="P1090" s="310"/>
      <c r="Q1090" s="310"/>
      <c r="R1090" s="310"/>
      <c r="S1090" s="310"/>
      <c r="T1090" s="310"/>
      <c r="U1090" s="310"/>
      <c r="V1090" s="310"/>
      <c r="W1090" s="310"/>
      <c r="X1090" s="310"/>
      <c r="Y1090" s="310"/>
      <c r="Z1090" s="310"/>
      <c r="AA1090" s="310"/>
      <c r="AB1090" s="310"/>
      <c r="AC1090" s="310"/>
      <c r="AD1090" s="310"/>
      <c r="AE1090" s="310"/>
      <c r="AF1090" s="310"/>
      <c r="AG1090" s="310"/>
      <c r="AH1090" s="310"/>
      <c r="AI1090" s="310"/>
      <c r="AJ1090" s="310"/>
      <c r="AK1090" s="310"/>
      <c r="AL1090" s="310"/>
      <c r="AM1090" s="310"/>
      <c r="AN1090" s="310"/>
      <c r="AO1090" s="310"/>
      <c r="AP1090" s="12"/>
      <c r="AQ1090" s="3"/>
      <c r="AR1090" s="3"/>
      <c r="AS1090" s="3"/>
      <c r="AT1090" s="3"/>
      <c r="AU1090" s="3"/>
      <c r="AV1090" s="3"/>
      <c r="AW1090" s="3"/>
      <c r="AX1090" s="3"/>
      <c r="AY1090" s="3"/>
      <c r="AZ1090" s="3"/>
      <c r="BA1090" s="3"/>
      <c r="BB1090" s="3"/>
      <c r="BC1090" s="3"/>
    </row>
    <row r="1091" ht="15.75" customHeight="1">
      <c r="A1091" s="12"/>
      <c r="B1091" s="310"/>
      <c r="C1091" s="310"/>
      <c r="D1091" s="310"/>
      <c r="E1091" s="310"/>
      <c r="F1091" s="310"/>
      <c r="G1091" s="310"/>
      <c r="H1091" s="310"/>
      <c r="I1091" s="310"/>
      <c r="J1091" s="310"/>
      <c r="K1091" s="310"/>
      <c r="L1091" s="310"/>
      <c r="M1091" s="310"/>
      <c r="N1091" s="310"/>
      <c r="O1091" s="310"/>
      <c r="P1091" s="310"/>
      <c r="Q1091" s="310"/>
      <c r="R1091" s="310"/>
      <c r="S1091" s="310"/>
      <c r="T1091" s="310"/>
      <c r="U1091" s="310"/>
      <c r="V1091" s="310"/>
      <c r="W1091" s="310"/>
      <c r="X1091" s="310"/>
      <c r="Y1091" s="310"/>
      <c r="Z1091" s="310"/>
      <c r="AA1091" s="310"/>
      <c r="AB1091" s="310"/>
      <c r="AC1091" s="310"/>
      <c r="AD1091" s="310"/>
      <c r="AE1091" s="310"/>
      <c r="AF1091" s="310"/>
      <c r="AG1091" s="310"/>
      <c r="AH1091" s="310"/>
      <c r="AI1091" s="310"/>
      <c r="AJ1091" s="310"/>
      <c r="AK1091" s="310"/>
      <c r="AL1091" s="310"/>
      <c r="AM1091" s="310"/>
      <c r="AN1091" s="310"/>
      <c r="AO1091" s="310"/>
      <c r="AP1091" s="12"/>
      <c r="AQ1091" s="3"/>
      <c r="AR1091" s="3"/>
      <c r="AS1091" s="3"/>
      <c r="AT1091" s="3"/>
      <c r="AU1091" s="3"/>
      <c r="AV1091" s="3"/>
      <c r="AW1091" s="3"/>
      <c r="AX1091" s="3"/>
      <c r="AY1091" s="3"/>
      <c r="AZ1091" s="3"/>
      <c r="BA1091" s="3"/>
      <c r="BB1091" s="3"/>
      <c r="BC1091" s="3"/>
    </row>
    <row r="1092" ht="15.75" customHeight="1">
      <c r="A1092" s="12"/>
      <c r="B1092" s="310"/>
      <c r="C1092" s="310"/>
      <c r="D1092" s="310"/>
      <c r="E1092" s="310"/>
      <c r="F1092" s="310"/>
      <c r="G1092" s="310"/>
      <c r="H1092" s="310"/>
      <c r="I1092" s="310"/>
      <c r="J1092" s="310"/>
      <c r="K1092" s="310"/>
      <c r="L1092" s="310"/>
      <c r="M1092" s="310"/>
      <c r="N1092" s="310"/>
      <c r="O1092" s="310"/>
      <c r="P1092" s="310"/>
      <c r="Q1092" s="310"/>
      <c r="R1092" s="310"/>
      <c r="S1092" s="310"/>
      <c r="T1092" s="310"/>
      <c r="U1092" s="310"/>
      <c r="V1092" s="310"/>
      <c r="W1092" s="310"/>
      <c r="X1092" s="310"/>
      <c r="Y1092" s="310"/>
      <c r="Z1092" s="310"/>
      <c r="AA1092" s="310"/>
      <c r="AB1092" s="310"/>
      <c r="AC1092" s="310"/>
      <c r="AD1092" s="310"/>
      <c r="AE1092" s="310"/>
      <c r="AF1092" s="310"/>
      <c r="AG1092" s="310"/>
      <c r="AH1092" s="310"/>
      <c r="AI1092" s="310"/>
      <c r="AJ1092" s="310"/>
      <c r="AK1092" s="310"/>
      <c r="AL1092" s="310"/>
      <c r="AM1092" s="310"/>
      <c r="AN1092" s="310"/>
      <c r="AO1092" s="310"/>
      <c r="AP1092" s="12"/>
      <c r="AQ1092" s="3"/>
      <c r="AR1092" s="3"/>
      <c r="AS1092" s="3"/>
      <c r="AT1092" s="3"/>
      <c r="AU1092" s="3"/>
      <c r="AV1092" s="3"/>
      <c r="AW1092" s="3"/>
      <c r="AX1092" s="3"/>
      <c r="AY1092" s="3"/>
      <c r="AZ1092" s="3"/>
      <c r="BA1092" s="3"/>
      <c r="BB1092" s="3"/>
      <c r="BC1092" s="3"/>
    </row>
    <row r="1093" ht="15.75" customHeight="1">
      <c r="A1093" s="12"/>
      <c r="B1093" s="310"/>
      <c r="C1093" s="310"/>
      <c r="D1093" s="310"/>
      <c r="E1093" s="310"/>
      <c r="F1093" s="310"/>
      <c r="G1093" s="310"/>
      <c r="H1093" s="310"/>
      <c r="I1093" s="310"/>
      <c r="J1093" s="310"/>
      <c r="K1093" s="310"/>
      <c r="L1093" s="310"/>
      <c r="M1093" s="310"/>
      <c r="N1093" s="310"/>
      <c r="O1093" s="310"/>
      <c r="P1093" s="310"/>
      <c r="Q1093" s="310"/>
      <c r="R1093" s="310"/>
      <c r="S1093" s="310"/>
      <c r="T1093" s="310"/>
      <c r="U1093" s="310"/>
      <c r="V1093" s="310"/>
      <c r="W1093" s="310"/>
      <c r="X1093" s="310"/>
      <c r="Y1093" s="310"/>
      <c r="Z1093" s="310"/>
      <c r="AA1093" s="310"/>
      <c r="AB1093" s="310"/>
      <c r="AC1093" s="310"/>
      <c r="AD1093" s="310"/>
      <c r="AE1093" s="310"/>
      <c r="AF1093" s="310"/>
      <c r="AG1093" s="310"/>
      <c r="AH1093" s="310"/>
      <c r="AI1093" s="310"/>
      <c r="AJ1093" s="310"/>
      <c r="AK1093" s="310"/>
      <c r="AL1093" s="310"/>
      <c r="AM1093" s="310"/>
      <c r="AN1093" s="310"/>
      <c r="AO1093" s="310"/>
      <c r="AP1093" s="12"/>
      <c r="AQ1093" s="3"/>
      <c r="AR1093" s="3"/>
      <c r="AS1093" s="3"/>
      <c r="AT1093" s="3"/>
      <c r="AU1093" s="3"/>
      <c r="AV1093" s="3"/>
      <c r="AW1093" s="3"/>
      <c r="AX1093" s="3"/>
      <c r="AY1093" s="3"/>
      <c r="AZ1093" s="3"/>
      <c r="BA1093" s="3"/>
      <c r="BB1093" s="3"/>
      <c r="BC1093" s="3"/>
    </row>
    <row r="1094" ht="15.75" customHeight="1">
      <c r="A1094" s="12"/>
      <c r="B1094" s="310"/>
      <c r="C1094" s="310"/>
      <c r="D1094" s="310"/>
      <c r="E1094" s="310"/>
      <c r="F1094" s="310"/>
      <c r="G1094" s="310"/>
      <c r="H1094" s="310"/>
      <c r="I1094" s="310"/>
      <c r="J1094" s="310"/>
      <c r="K1094" s="310"/>
      <c r="L1094" s="310"/>
      <c r="M1094" s="310"/>
      <c r="N1094" s="310"/>
      <c r="O1094" s="310"/>
      <c r="P1094" s="310"/>
      <c r="Q1094" s="310"/>
      <c r="R1094" s="310"/>
      <c r="S1094" s="310"/>
      <c r="T1094" s="310"/>
      <c r="U1094" s="310"/>
      <c r="V1094" s="310"/>
      <c r="W1094" s="310"/>
      <c r="X1094" s="310"/>
      <c r="Y1094" s="310"/>
      <c r="Z1094" s="310"/>
      <c r="AA1094" s="310"/>
      <c r="AB1094" s="310"/>
      <c r="AC1094" s="310"/>
      <c r="AD1094" s="310"/>
      <c r="AE1094" s="310"/>
      <c r="AF1094" s="310"/>
      <c r="AG1094" s="310"/>
      <c r="AH1094" s="310"/>
      <c r="AI1094" s="310"/>
      <c r="AJ1094" s="310"/>
      <c r="AK1094" s="310"/>
      <c r="AL1094" s="310"/>
      <c r="AM1094" s="310"/>
      <c r="AN1094" s="310"/>
      <c r="AO1094" s="310"/>
      <c r="AP1094" s="12"/>
      <c r="AQ1094" s="3"/>
      <c r="AR1094" s="3"/>
      <c r="AS1094" s="3"/>
      <c r="AT1094" s="3"/>
      <c r="AU1094" s="3"/>
      <c r="AV1094" s="3"/>
      <c r="AW1094" s="3"/>
      <c r="AX1094" s="3"/>
      <c r="AY1094" s="3"/>
      <c r="AZ1094" s="3"/>
      <c r="BA1094" s="3"/>
      <c r="BB1094" s="3"/>
      <c r="BC1094" s="3"/>
    </row>
    <row r="1095" ht="15.75" customHeight="1">
      <c r="A1095" s="12"/>
      <c r="B1095" s="310"/>
      <c r="C1095" s="310"/>
      <c r="D1095" s="310"/>
      <c r="E1095" s="310"/>
      <c r="F1095" s="310"/>
      <c r="G1095" s="310"/>
      <c r="H1095" s="310"/>
      <c r="I1095" s="310"/>
      <c r="J1095" s="310"/>
      <c r="K1095" s="310"/>
      <c r="L1095" s="310"/>
      <c r="M1095" s="310"/>
      <c r="N1095" s="310"/>
      <c r="O1095" s="310"/>
      <c r="P1095" s="310"/>
      <c r="Q1095" s="310"/>
      <c r="R1095" s="310"/>
      <c r="S1095" s="310"/>
      <c r="T1095" s="310"/>
      <c r="U1095" s="310"/>
      <c r="V1095" s="310"/>
      <c r="W1095" s="310"/>
      <c r="X1095" s="310"/>
      <c r="Y1095" s="310"/>
      <c r="Z1095" s="310"/>
      <c r="AA1095" s="310"/>
      <c r="AB1095" s="310"/>
      <c r="AC1095" s="310"/>
      <c r="AD1095" s="310"/>
      <c r="AE1095" s="310"/>
      <c r="AF1095" s="310"/>
      <c r="AG1095" s="310"/>
      <c r="AH1095" s="310"/>
      <c r="AI1095" s="310"/>
      <c r="AJ1095" s="310"/>
      <c r="AK1095" s="310"/>
      <c r="AL1095" s="310"/>
      <c r="AM1095" s="310"/>
      <c r="AN1095" s="310"/>
      <c r="AO1095" s="310"/>
      <c r="AP1095" s="12"/>
      <c r="AQ1095" s="3"/>
      <c r="AR1095" s="3"/>
      <c r="AS1095" s="3"/>
      <c r="AT1095" s="3"/>
      <c r="AU1095" s="3"/>
      <c r="AV1095" s="3"/>
      <c r="AW1095" s="3"/>
      <c r="AX1095" s="3"/>
      <c r="AY1095" s="3"/>
      <c r="AZ1095" s="3"/>
      <c r="BA1095" s="3"/>
      <c r="BB1095" s="3"/>
      <c r="BC1095" s="3"/>
    </row>
    <row r="1096" ht="15.75" customHeight="1">
      <c r="A1096" s="12"/>
      <c r="B1096" s="310"/>
      <c r="C1096" s="310"/>
      <c r="D1096" s="310"/>
      <c r="E1096" s="310"/>
      <c r="F1096" s="310"/>
      <c r="G1096" s="310"/>
      <c r="H1096" s="310"/>
      <c r="I1096" s="310"/>
      <c r="J1096" s="310"/>
      <c r="K1096" s="310"/>
      <c r="L1096" s="310"/>
      <c r="M1096" s="310"/>
      <c r="N1096" s="310"/>
      <c r="O1096" s="310"/>
      <c r="P1096" s="310"/>
      <c r="Q1096" s="310"/>
      <c r="R1096" s="310"/>
      <c r="S1096" s="310"/>
      <c r="T1096" s="310"/>
      <c r="U1096" s="310"/>
      <c r="V1096" s="310"/>
      <c r="W1096" s="310"/>
      <c r="X1096" s="310"/>
      <c r="Y1096" s="310"/>
      <c r="Z1096" s="310"/>
      <c r="AA1096" s="310"/>
      <c r="AB1096" s="310"/>
      <c r="AC1096" s="310"/>
      <c r="AD1096" s="310"/>
      <c r="AE1096" s="310"/>
      <c r="AF1096" s="310"/>
      <c r="AG1096" s="310"/>
      <c r="AH1096" s="310"/>
      <c r="AI1096" s="310"/>
      <c r="AJ1096" s="310"/>
      <c r="AK1096" s="310"/>
      <c r="AL1096" s="310"/>
      <c r="AM1096" s="310"/>
      <c r="AN1096" s="310"/>
      <c r="AO1096" s="310"/>
      <c r="AP1096" s="12"/>
      <c r="AQ1096" s="3"/>
      <c r="AR1096" s="3"/>
      <c r="AS1096" s="3"/>
      <c r="AT1096" s="3"/>
      <c r="AU1096" s="3"/>
      <c r="AV1096" s="3"/>
      <c r="AW1096" s="3"/>
      <c r="AX1096" s="3"/>
      <c r="AY1096" s="3"/>
      <c r="AZ1096" s="3"/>
      <c r="BA1096" s="3"/>
      <c r="BB1096" s="3"/>
      <c r="BC1096" s="3"/>
    </row>
    <row r="1097" ht="15.75" customHeight="1">
      <c r="A1097" s="12"/>
      <c r="B1097" s="310"/>
      <c r="C1097" s="310"/>
      <c r="D1097" s="310"/>
      <c r="E1097" s="310"/>
      <c r="F1097" s="310"/>
      <c r="G1097" s="310"/>
      <c r="H1097" s="310"/>
      <c r="I1097" s="310"/>
      <c r="J1097" s="310"/>
      <c r="K1097" s="310"/>
      <c r="L1097" s="310"/>
      <c r="M1097" s="310"/>
      <c r="N1097" s="310"/>
      <c r="O1097" s="310"/>
      <c r="P1097" s="310"/>
      <c r="Q1097" s="310"/>
      <c r="R1097" s="310"/>
      <c r="S1097" s="310"/>
      <c r="T1097" s="310"/>
      <c r="U1097" s="310"/>
      <c r="V1097" s="310"/>
      <c r="W1097" s="310"/>
      <c r="X1097" s="310"/>
      <c r="Y1097" s="310"/>
      <c r="Z1097" s="310"/>
      <c r="AA1097" s="310"/>
      <c r="AB1097" s="310"/>
      <c r="AC1097" s="310"/>
      <c r="AD1097" s="310"/>
      <c r="AE1097" s="310"/>
      <c r="AF1097" s="310"/>
      <c r="AG1097" s="310"/>
      <c r="AH1097" s="310"/>
      <c r="AI1097" s="310"/>
      <c r="AJ1097" s="310"/>
      <c r="AK1097" s="310"/>
      <c r="AL1097" s="310"/>
      <c r="AM1097" s="310"/>
      <c r="AN1097" s="310"/>
      <c r="AO1097" s="310"/>
      <c r="AP1097" s="12"/>
      <c r="AQ1097" s="3"/>
      <c r="AR1097" s="3"/>
      <c r="AS1097" s="3"/>
      <c r="AT1097" s="3"/>
      <c r="AU1097" s="3"/>
      <c r="AV1097" s="3"/>
      <c r="AW1097" s="3"/>
      <c r="AX1097" s="3"/>
      <c r="AY1097" s="3"/>
      <c r="AZ1097" s="3"/>
      <c r="BA1097" s="3"/>
      <c r="BB1097" s="3"/>
      <c r="BC1097" s="3"/>
    </row>
    <row r="1098" ht="15.75" customHeight="1">
      <c r="A1098" s="12"/>
      <c r="B1098" s="310"/>
      <c r="C1098" s="310"/>
      <c r="D1098" s="310"/>
      <c r="E1098" s="310"/>
      <c r="F1098" s="310"/>
      <c r="G1098" s="310"/>
      <c r="H1098" s="310"/>
      <c r="I1098" s="310"/>
      <c r="J1098" s="310"/>
      <c r="K1098" s="310"/>
      <c r="L1098" s="310"/>
      <c r="M1098" s="310"/>
      <c r="N1098" s="310"/>
      <c r="O1098" s="310"/>
      <c r="P1098" s="310"/>
      <c r="Q1098" s="310"/>
      <c r="R1098" s="310"/>
      <c r="S1098" s="310"/>
      <c r="T1098" s="310"/>
      <c r="U1098" s="310"/>
      <c r="V1098" s="310"/>
      <c r="W1098" s="310"/>
      <c r="X1098" s="310"/>
      <c r="Y1098" s="310"/>
      <c r="Z1098" s="310"/>
      <c r="AA1098" s="310"/>
      <c r="AB1098" s="310"/>
      <c r="AC1098" s="310"/>
      <c r="AD1098" s="310"/>
      <c r="AE1098" s="310"/>
      <c r="AF1098" s="310"/>
      <c r="AG1098" s="310"/>
      <c r="AH1098" s="310"/>
      <c r="AI1098" s="310"/>
      <c r="AJ1098" s="310"/>
      <c r="AK1098" s="310"/>
      <c r="AL1098" s="310"/>
      <c r="AM1098" s="310"/>
      <c r="AN1098" s="310"/>
      <c r="AO1098" s="310"/>
      <c r="AP1098" s="12"/>
      <c r="AQ1098" s="3"/>
      <c r="AR1098" s="3"/>
      <c r="AS1098" s="3"/>
      <c r="AT1098" s="3"/>
      <c r="AU1098" s="3"/>
      <c r="AV1098" s="3"/>
      <c r="AW1098" s="3"/>
      <c r="AX1098" s="3"/>
      <c r="AY1098" s="3"/>
      <c r="AZ1098" s="3"/>
      <c r="BA1098" s="3"/>
      <c r="BB1098" s="3"/>
      <c r="BC1098" s="3"/>
    </row>
    <row r="1099" ht="15.75" customHeight="1">
      <c r="A1099" s="12"/>
      <c r="B1099" s="310"/>
      <c r="C1099" s="310"/>
      <c r="D1099" s="310"/>
      <c r="E1099" s="310"/>
      <c r="F1099" s="310"/>
      <c r="G1099" s="310"/>
      <c r="H1099" s="310"/>
      <c r="I1099" s="310"/>
      <c r="J1099" s="310"/>
      <c r="K1099" s="310"/>
      <c r="L1099" s="310"/>
      <c r="M1099" s="310"/>
      <c r="N1099" s="310"/>
      <c r="O1099" s="310"/>
      <c r="P1099" s="310"/>
      <c r="Q1099" s="310"/>
      <c r="R1099" s="310"/>
      <c r="S1099" s="310"/>
      <c r="T1099" s="310"/>
      <c r="U1099" s="310"/>
      <c r="V1099" s="310"/>
      <c r="W1099" s="310"/>
      <c r="X1099" s="310"/>
      <c r="Y1099" s="310"/>
      <c r="Z1099" s="310"/>
      <c r="AA1099" s="310"/>
      <c r="AB1099" s="310"/>
      <c r="AC1099" s="310"/>
      <c r="AD1099" s="310"/>
      <c r="AE1099" s="310"/>
      <c r="AF1099" s="310"/>
      <c r="AG1099" s="310"/>
      <c r="AH1099" s="310"/>
      <c r="AI1099" s="310"/>
      <c r="AJ1099" s="310"/>
      <c r="AK1099" s="310"/>
      <c r="AL1099" s="310"/>
      <c r="AM1099" s="310"/>
      <c r="AN1099" s="310"/>
      <c r="AO1099" s="310"/>
      <c r="AP1099" s="12"/>
      <c r="AQ1099" s="3"/>
      <c r="AR1099" s="3"/>
      <c r="AS1099" s="3"/>
      <c r="AT1099" s="3"/>
      <c r="AU1099" s="3"/>
      <c r="AV1099" s="3"/>
      <c r="AW1099" s="3"/>
      <c r="AX1099" s="3"/>
      <c r="AY1099" s="3"/>
      <c r="AZ1099" s="3"/>
      <c r="BA1099" s="3"/>
      <c r="BB1099" s="3"/>
      <c r="BC1099" s="3"/>
    </row>
    <row r="1100" ht="15.75" customHeight="1">
      <c r="A1100" s="12"/>
      <c r="B1100" s="310"/>
      <c r="C1100" s="310"/>
      <c r="D1100" s="310"/>
      <c r="E1100" s="310"/>
      <c r="F1100" s="310"/>
      <c r="G1100" s="310"/>
      <c r="H1100" s="310"/>
      <c r="I1100" s="310"/>
      <c r="J1100" s="310"/>
      <c r="K1100" s="310"/>
      <c r="L1100" s="310"/>
      <c r="M1100" s="310"/>
      <c r="N1100" s="310"/>
      <c r="O1100" s="310"/>
      <c r="P1100" s="310"/>
      <c r="Q1100" s="310"/>
      <c r="R1100" s="310"/>
      <c r="S1100" s="310"/>
      <c r="T1100" s="310"/>
      <c r="U1100" s="310"/>
      <c r="V1100" s="310"/>
      <c r="W1100" s="310"/>
      <c r="X1100" s="310"/>
      <c r="Y1100" s="310"/>
      <c r="Z1100" s="310"/>
      <c r="AA1100" s="310"/>
      <c r="AB1100" s="310"/>
      <c r="AC1100" s="310"/>
      <c r="AD1100" s="310"/>
      <c r="AE1100" s="310"/>
      <c r="AF1100" s="310"/>
      <c r="AG1100" s="310"/>
      <c r="AH1100" s="310"/>
      <c r="AI1100" s="310"/>
      <c r="AJ1100" s="310"/>
      <c r="AK1100" s="310"/>
      <c r="AL1100" s="310"/>
      <c r="AM1100" s="310"/>
      <c r="AN1100" s="310"/>
      <c r="AO1100" s="310"/>
      <c r="AP1100" s="12"/>
      <c r="AQ1100" s="3"/>
      <c r="AR1100" s="3"/>
      <c r="AS1100" s="3"/>
      <c r="AT1100" s="3"/>
      <c r="AU1100" s="3"/>
      <c r="AV1100" s="3"/>
      <c r="AW1100" s="3"/>
      <c r="AX1100" s="3"/>
      <c r="AY1100" s="3"/>
      <c r="AZ1100" s="3"/>
      <c r="BA1100" s="3"/>
      <c r="BB1100" s="3"/>
      <c r="BC1100" s="3"/>
    </row>
    <row r="1101" ht="15.75" customHeight="1">
      <c r="A1101" s="12"/>
      <c r="B1101" s="310"/>
      <c r="C1101" s="310"/>
      <c r="D1101" s="310"/>
      <c r="E1101" s="310"/>
      <c r="F1101" s="310"/>
      <c r="G1101" s="310"/>
      <c r="H1101" s="310"/>
      <c r="I1101" s="310"/>
      <c r="J1101" s="310"/>
      <c r="K1101" s="310"/>
      <c r="L1101" s="310"/>
      <c r="M1101" s="310"/>
      <c r="N1101" s="310"/>
      <c r="O1101" s="310"/>
      <c r="P1101" s="310"/>
      <c r="Q1101" s="310"/>
      <c r="R1101" s="310"/>
      <c r="S1101" s="310"/>
      <c r="T1101" s="310"/>
      <c r="U1101" s="310"/>
      <c r="V1101" s="310"/>
      <c r="W1101" s="310"/>
      <c r="X1101" s="310"/>
      <c r="Y1101" s="310"/>
      <c r="Z1101" s="310"/>
      <c r="AA1101" s="310"/>
      <c r="AB1101" s="310"/>
      <c r="AC1101" s="310"/>
      <c r="AD1101" s="310"/>
      <c r="AE1101" s="310"/>
      <c r="AF1101" s="310"/>
      <c r="AG1101" s="310"/>
      <c r="AH1101" s="310"/>
      <c r="AI1101" s="310"/>
      <c r="AJ1101" s="310"/>
      <c r="AK1101" s="310"/>
      <c r="AL1101" s="310"/>
      <c r="AM1101" s="310"/>
      <c r="AN1101" s="310"/>
      <c r="AO1101" s="310"/>
      <c r="AP1101" s="12"/>
      <c r="AQ1101" s="3"/>
      <c r="AR1101" s="3"/>
      <c r="AS1101" s="3"/>
      <c r="AT1101" s="3"/>
      <c r="AU1101" s="3"/>
      <c r="AV1101" s="3"/>
      <c r="AW1101" s="3"/>
      <c r="AX1101" s="3"/>
      <c r="AY1101" s="3"/>
      <c r="AZ1101" s="3"/>
      <c r="BA1101" s="3"/>
      <c r="BB1101" s="3"/>
      <c r="BC1101" s="3"/>
    </row>
    <row r="1102" ht="15.75" customHeight="1">
      <c r="A1102" s="12"/>
      <c r="B1102" s="310"/>
      <c r="C1102" s="310"/>
      <c r="D1102" s="310"/>
      <c r="E1102" s="310"/>
      <c r="F1102" s="310"/>
      <c r="G1102" s="310"/>
      <c r="H1102" s="310"/>
      <c r="I1102" s="310"/>
      <c r="J1102" s="310"/>
      <c r="K1102" s="310"/>
      <c r="L1102" s="310"/>
      <c r="M1102" s="310"/>
      <c r="N1102" s="310"/>
      <c r="O1102" s="310"/>
      <c r="P1102" s="310"/>
      <c r="Q1102" s="310"/>
      <c r="R1102" s="310"/>
      <c r="S1102" s="310"/>
      <c r="T1102" s="310"/>
      <c r="U1102" s="310"/>
      <c r="V1102" s="310"/>
      <c r="W1102" s="310"/>
      <c r="X1102" s="310"/>
      <c r="Y1102" s="310"/>
      <c r="Z1102" s="310"/>
      <c r="AA1102" s="310"/>
      <c r="AB1102" s="310"/>
      <c r="AC1102" s="310"/>
      <c r="AD1102" s="310"/>
      <c r="AE1102" s="310"/>
      <c r="AF1102" s="310"/>
      <c r="AG1102" s="310"/>
      <c r="AH1102" s="310"/>
      <c r="AI1102" s="310"/>
      <c r="AJ1102" s="310"/>
      <c r="AK1102" s="310"/>
      <c r="AL1102" s="310"/>
      <c r="AM1102" s="310"/>
      <c r="AN1102" s="310"/>
      <c r="AO1102" s="310"/>
      <c r="AP1102" s="12"/>
      <c r="AQ1102" s="3"/>
      <c r="AR1102" s="3"/>
      <c r="AS1102" s="3"/>
      <c r="AT1102" s="3"/>
      <c r="AU1102" s="3"/>
      <c r="AV1102" s="3"/>
      <c r="AW1102" s="3"/>
      <c r="AX1102" s="3"/>
      <c r="AY1102" s="3"/>
      <c r="AZ1102" s="3"/>
      <c r="BA1102" s="3"/>
      <c r="BB1102" s="3"/>
      <c r="BC1102" s="3"/>
    </row>
    <row r="1103" ht="15.75" customHeight="1">
      <c r="A1103" s="12"/>
      <c r="B1103" s="310"/>
      <c r="C1103" s="310"/>
      <c r="D1103" s="310"/>
      <c r="E1103" s="310"/>
      <c r="F1103" s="310"/>
      <c r="G1103" s="310"/>
      <c r="H1103" s="310"/>
      <c r="I1103" s="310"/>
      <c r="J1103" s="310"/>
      <c r="K1103" s="310"/>
      <c r="L1103" s="310"/>
      <c r="M1103" s="310"/>
      <c r="N1103" s="310"/>
      <c r="O1103" s="310"/>
      <c r="P1103" s="310"/>
      <c r="Q1103" s="310"/>
      <c r="R1103" s="310"/>
      <c r="S1103" s="310"/>
      <c r="T1103" s="310"/>
      <c r="U1103" s="310"/>
      <c r="V1103" s="310"/>
      <c r="W1103" s="310"/>
      <c r="X1103" s="310"/>
      <c r="Y1103" s="310"/>
      <c r="Z1103" s="310"/>
      <c r="AA1103" s="310"/>
      <c r="AB1103" s="310"/>
      <c r="AC1103" s="310"/>
      <c r="AD1103" s="310"/>
      <c r="AE1103" s="310"/>
      <c r="AF1103" s="310"/>
      <c r="AG1103" s="310"/>
      <c r="AH1103" s="310"/>
      <c r="AI1103" s="310"/>
      <c r="AJ1103" s="310"/>
      <c r="AK1103" s="310"/>
      <c r="AL1103" s="310"/>
      <c r="AM1103" s="310"/>
      <c r="AN1103" s="310"/>
      <c r="AO1103" s="310"/>
      <c r="AP1103" s="12"/>
      <c r="AQ1103" s="3"/>
      <c r="AR1103" s="3"/>
      <c r="AS1103" s="3"/>
      <c r="AT1103" s="3"/>
      <c r="AU1103" s="3"/>
      <c r="AV1103" s="3"/>
      <c r="AW1103" s="3"/>
      <c r="AX1103" s="3"/>
      <c r="AY1103" s="3"/>
      <c r="AZ1103" s="3"/>
      <c r="BA1103" s="3"/>
      <c r="BB1103" s="3"/>
      <c r="BC1103" s="3"/>
    </row>
    <row r="1104" ht="15.75" customHeight="1">
      <c r="A1104" s="12"/>
      <c r="B1104" s="310"/>
      <c r="C1104" s="310"/>
      <c r="D1104" s="310"/>
      <c r="E1104" s="310"/>
      <c r="F1104" s="310"/>
      <c r="G1104" s="310"/>
      <c r="H1104" s="310"/>
      <c r="I1104" s="310"/>
      <c r="J1104" s="310"/>
      <c r="K1104" s="310"/>
      <c r="L1104" s="310"/>
      <c r="M1104" s="310"/>
      <c r="N1104" s="310"/>
      <c r="O1104" s="310"/>
      <c r="P1104" s="310"/>
      <c r="Q1104" s="310"/>
      <c r="R1104" s="310"/>
      <c r="S1104" s="310"/>
      <c r="T1104" s="310"/>
      <c r="U1104" s="310"/>
      <c r="V1104" s="310"/>
      <c r="W1104" s="310"/>
      <c r="X1104" s="310"/>
      <c r="Y1104" s="310"/>
      <c r="Z1104" s="310"/>
      <c r="AA1104" s="310"/>
      <c r="AB1104" s="310"/>
      <c r="AC1104" s="310"/>
      <c r="AD1104" s="310"/>
      <c r="AE1104" s="310"/>
      <c r="AF1104" s="310"/>
      <c r="AG1104" s="310"/>
      <c r="AH1104" s="310"/>
      <c r="AI1104" s="310"/>
      <c r="AJ1104" s="310"/>
      <c r="AK1104" s="310"/>
      <c r="AL1104" s="310"/>
      <c r="AM1104" s="310"/>
      <c r="AN1104" s="310"/>
      <c r="AO1104" s="310"/>
      <c r="AP1104" s="12"/>
      <c r="AQ1104" s="3"/>
      <c r="AR1104" s="3"/>
      <c r="AS1104" s="3"/>
      <c r="AT1104" s="3"/>
      <c r="AU1104" s="3"/>
      <c r="AV1104" s="3"/>
      <c r="AW1104" s="3"/>
      <c r="AX1104" s="3"/>
      <c r="AY1104" s="3"/>
      <c r="AZ1104" s="3"/>
      <c r="BA1104" s="3"/>
      <c r="BB1104" s="3"/>
      <c r="BC1104" s="3"/>
    </row>
    <row r="1105" ht="15.75" customHeight="1">
      <c r="A1105" s="12"/>
      <c r="B1105" s="310"/>
      <c r="C1105" s="310"/>
      <c r="D1105" s="310"/>
      <c r="E1105" s="310"/>
      <c r="F1105" s="310"/>
      <c r="G1105" s="310"/>
      <c r="H1105" s="310"/>
      <c r="I1105" s="310"/>
      <c r="J1105" s="310"/>
      <c r="K1105" s="310"/>
      <c r="L1105" s="310"/>
      <c r="M1105" s="310"/>
      <c r="N1105" s="310"/>
      <c r="O1105" s="310"/>
      <c r="P1105" s="310"/>
      <c r="Q1105" s="310"/>
      <c r="R1105" s="310"/>
      <c r="S1105" s="310"/>
      <c r="T1105" s="310"/>
      <c r="U1105" s="310"/>
      <c r="V1105" s="310"/>
      <c r="W1105" s="310"/>
      <c r="X1105" s="310"/>
      <c r="Y1105" s="310"/>
      <c r="Z1105" s="310"/>
      <c r="AA1105" s="310"/>
      <c r="AB1105" s="310"/>
      <c r="AC1105" s="310"/>
      <c r="AD1105" s="310"/>
      <c r="AE1105" s="310"/>
      <c r="AF1105" s="310"/>
      <c r="AG1105" s="310"/>
      <c r="AH1105" s="310"/>
      <c r="AI1105" s="310"/>
      <c r="AJ1105" s="310"/>
      <c r="AK1105" s="310"/>
      <c r="AL1105" s="310"/>
      <c r="AM1105" s="310"/>
      <c r="AN1105" s="310"/>
      <c r="AO1105" s="310"/>
      <c r="AP1105" s="12"/>
      <c r="AQ1105" s="3"/>
      <c r="AR1105" s="3"/>
      <c r="AS1105" s="3"/>
      <c r="AT1105" s="3"/>
      <c r="AU1105" s="3"/>
      <c r="AV1105" s="3"/>
      <c r="AW1105" s="3"/>
      <c r="AX1105" s="3"/>
      <c r="AY1105" s="3"/>
      <c r="AZ1105" s="3"/>
      <c r="BA1105" s="3"/>
      <c r="BB1105" s="3"/>
      <c r="BC1105" s="3"/>
    </row>
    <row r="1106" ht="15.75" customHeight="1">
      <c r="A1106" s="12"/>
      <c r="B1106" s="310"/>
      <c r="C1106" s="310"/>
      <c r="D1106" s="310"/>
      <c r="E1106" s="310"/>
      <c r="F1106" s="310"/>
      <c r="G1106" s="310"/>
      <c r="H1106" s="310"/>
      <c r="I1106" s="310"/>
      <c r="J1106" s="310"/>
      <c r="K1106" s="310"/>
      <c r="L1106" s="310"/>
      <c r="M1106" s="310"/>
      <c r="N1106" s="310"/>
      <c r="O1106" s="310"/>
      <c r="P1106" s="310"/>
      <c r="Q1106" s="310"/>
      <c r="R1106" s="310"/>
      <c r="S1106" s="310"/>
      <c r="T1106" s="310"/>
      <c r="U1106" s="310"/>
      <c r="V1106" s="310"/>
      <c r="W1106" s="310"/>
      <c r="X1106" s="310"/>
      <c r="Y1106" s="310"/>
      <c r="Z1106" s="310"/>
      <c r="AA1106" s="310"/>
      <c r="AB1106" s="310"/>
      <c r="AC1106" s="310"/>
      <c r="AD1106" s="310"/>
      <c r="AE1106" s="310"/>
      <c r="AF1106" s="310"/>
      <c r="AG1106" s="310"/>
      <c r="AH1106" s="310"/>
      <c r="AI1106" s="310"/>
      <c r="AJ1106" s="310"/>
      <c r="AK1106" s="310"/>
      <c r="AL1106" s="310"/>
      <c r="AM1106" s="310"/>
      <c r="AN1106" s="310"/>
      <c r="AO1106" s="310"/>
      <c r="AP1106" s="12"/>
      <c r="AQ1106" s="3"/>
      <c r="AR1106" s="3"/>
      <c r="AS1106" s="3"/>
      <c r="AT1106" s="3"/>
      <c r="AU1106" s="3"/>
      <c r="AV1106" s="3"/>
      <c r="AW1106" s="3"/>
      <c r="AX1106" s="3"/>
      <c r="AY1106" s="3"/>
      <c r="AZ1106" s="3"/>
      <c r="BA1106" s="3"/>
      <c r="BB1106" s="3"/>
      <c r="BC1106" s="3"/>
    </row>
    <row r="1107" ht="15.75" customHeight="1">
      <c r="A1107" s="12"/>
      <c r="B1107" s="310"/>
      <c r="C1107" s="310"/>
      <c r="D1107" s="310"/>
      <c r="E1107" s="310"/>
      <c r="F1107" s="310"/>
      <c r="G1107" s="310"/>
      <c r="H1107" s="310"/>
      <c r="I1107" s="310"/>
      <c r="J1107" s="310"/>
      <c r="K1107" s="310"/>
      <c r="L1107" s="310"/>
      <c r="M1107" s="310"/>
      <c r="N1107" s="310"/>
      <c r="O1107" s="310"/>
      <c r="P1107" s="310"/>
      <c r="Q1107" s="310"/>
      <c r="R1107" s="310"/>
      <c r="S1107" s="310"/>
      <c r="T1107" s="310"/>
      <c r="U1107" s="310"/>
      <c r="V1107" s="310"/>
      <c r="W1107" s="310"/>
      <c r="X1107" s="310"/>
      <c r="Y1107" s="310"/>
      <c r="Z1107" s="310"/>
      <c r="AA1107" s="310"/>
      <c r="AB1107" s="310"/>
      <c r="AC1107" s="310"/>
      <c r="AD1107" s="310"/>
      <c r="AE1107" s="310"/>
      <c r="AF1107" s="310"/>
      <c r="AG1107" s="310"/>
      <c r="AH1107" s="310"/>
      <c r="AI1107" s="310"/>
      <c r="AJ1107" s="310"/>
      <c r="AK1107" s="310"/>
      <c r="AL1107" s="310"/>
      <c r="AM1107" s="310"/>
      <c r="AN1107" s="310"/>
      <c r="AO1107" s="310"/>
      <c r="AP1107" s="12"/>
      <c r="AQ1107" s="3"/>
      <c r="AR1107" s="3"/>
      <c r="AS1107" s="3"/>
      <c r="AT1107" s="3"/>
      <c r="AU1107" s="3"/>
      <c r="AV1107" s="3"/>
      <c r="AW1107" s="3"/>
      <c r="AX1107" s="3"/>
      <c r="AY1107" s="3"/>
      <c r="AZ1107" s="3"/>
      <c r="BA1107" s="3"/>
      <c r="BB1107" s="3"/>
      <c r="BC1107" s="3"/>
    </row>
    <row r="1108" ht="15.75" customHeight="1">
      <c r="A1108" s="12"/>
      <c r="B1108" s="310"/>
      <c r="C1108" s="310"/>
      <c r="D1108" s="310"/>
      <c r="E1108" s="310"/>
      <c r="F1108" s="310"/>
      <c r="G1108" s="310"/>
      <c r="H1108" s="310"/>
      <c r="I1108" s="310"/>
      <c r="J1108" s="310"/>
      <c r="K1108" s="310"/>
      <c r="L1108" s="310"/>
      <c r="M1108" s="310"/>
      <c r="N1108" s="310"/>
      <c r="O1108" s="310"/>
      <c r="P1108" s="310"/>
      <c r="Q1108" s="310"/>
      <c r="R1108" s="310"/>
      <c r="S1108" s="310"/>
      <c r="T1108" s="310"/>
      <c r="U1108" s="310"/>
      <c r="V1108" s="310"/>
      <c r="W1108" s="310"/>
      <c r="X1108" s="310"/>
      <c r="Y1108" s="310"/>
      <c r="Z1108" s="310"/>
      <c r="AA1108" s="310"/>
      <c r="AB1108" s="310"/>
      <c r="AC1108" s="310"/>
      <c r="AD1108" s="310"/>
      <c r="AE1108" s="310"/>
      <c r="AF1108" s="310"/>
      <c r="AG1108" s="310"/>
      <c r="AH1108" s="310"/>
      <c r="AI1108" s="310"/>
      <c r="AJ1108" s="310"/>
      <c r="AK1108" s="310"/>
      <c r="AL1108" s="310"/>
      <c r="AM1108" s="310"/>
      <c r="AN1108" s="310"/>
      <c r="AO1108" s="310"/>
      <c r="AP1108" s="12"/>
      <c r="AQ1108" s="3"/>
      <c r="AR1108" s="3"/>
      <c r="AS1108" s="3"/>
      <c r="AT1108" s="3"/>
      <c r="AU1108" s="3"/>
      <c r="AV1108" s="3"/>
      <c r="AW1108" s="3"/>
      <c r="AX1108" s="3"/>
      <c r="AY1108" s="3"/>
      <c r="AZ1108" s="3"/>
      <c r="BA1108" s="3"/>
      <c r="BB1108" s="3"/>
      <c r="BC1108" s="3"/>
    </row>
    <row r="1109" ht="15.75" customHeight="1">
      <c r="A1109" s="12"/>
      <c r="B1109" s="310"/>
      <c r="C1109" s="310"/>
      <c r="D1109" s="310"/>
      <c r="E1109" s="310"/>
      <c r="F1109" s="310"/>
      <c r="G1109" s="310"/>
      <c r="H1109" s="310"/>
      <c r="I1109" s="310"/>
      <c r="J1109" s="310"/>
      <c r="K1109" s="310"/>
      <c r="L1109" s="310"/>
      <c r="M1109" s="310"/>
      <c r="N1109" s="310"/>
      <c r="O1109" s="310"/>
      <c r="P1109" s="310"/>
      <c r="Q1109" s="310"/>
      <c r="R1109" s="310"/>
      <c r="S1109" s="310"/>
      <c r="T1109" s="310"/>
      <c r="U1109" s="310"/>
      <c r="V1109" s="310"/>
      <c r="W1109" s="310"/>
      <c r="X1109" s="310"/>
      <c r="Y1109" s="310"/>
      <c r="Z1109" s="310"/>
      <c r="AA1109" s="310"/>
      <c r="AB1109" s="310"/>
      <c r="AC1109" s="310"/>
      <c r="AD1109" s="310"/>
      <c r="AE1109" s="310"/>
      <c r="AF1109" s="310"/>
      <c r="AG1109" s="310"/>
      <c r="AH1109" s="310"/>
      <c r="AI1109" s="310"/>
      <c r="AJ1109" s="310"/>
      <c r="AK1109" s="310"/>
      <c r="AL1109" s="310"/>
      <c r="AM1109" s="310"/>
      <c r="AN1109" s="310"/>
      <c r="AO1109" s="310"/>
      <c r="AP1109" s="12"/>
      <c r="AQ1109" s="3"/>
      <c r="AR1109" s="3"/>
      <c r="AS1109" s="3"/>
      <c r="AT1109" s="3"/>
      <c r="AU1109" s="3"/>
      <c r="AV1109" s="3"/>
      <c r="AW1109" s="3"/>
      <c r="AX1109" s="3"/>
      <c r="AY1109" s="3"/>
      <c r="AZ1109" s="3"/>
      <c r="BA1109" s="3"/>
      <c r="BB1109" s="3"/>
      <c r="BC1109" s="3"/>
    </row>
    <row r="1110" ht="15.75" customHeight="1">
      <c r="A1110" s="12"/>
      <c r="B1110" s="310"/>
      <c r="C1110" s="310"/>
      <c r="D1110" s="310"/>
      <c r="E1110" s="310"/>
      <c r="F1110" s="310"/>
      <c r="G1110" s="310"/>
      <c r="H1110" s="310"/>
      <c r="I1110" s="310"/>
      <c r="J1110" s="310"/>
      <c r="K1110" s="310"/>
      <c r="L1110" s="310"/>
      <c r="M1110" s="310"/>
      <c r="N1110" s="310"/>
      <c r="O1110" s="310"/>
      <c r="P1110" s="310"/>
      <c r="Q1110" s="310"/>
      <c r="R1110" s="310"/>
      <c r="S1110" s="310"/>
      <c r="T1110" s="310"/>
      <c r="U1110" s="310"/>
      <c r="V1110" s="310"/>
      <c r="W1110" s="310"/>
      <c r="X1110" s="310"/>
      <c r="Y1110" s="310"/>
      <c r="Z1110" s="310"/>
      <c r="AA1110" s="310"/>
      <c r="AB1110" s="310"/>
      <c r="AC1110" s="310"/>
      <c r="AD1110" s="310"/>
      <c r="AE1110" s="310"/>
      <c r="AF1110" s="310"/>
      <c r="AG1110" s="310"/>
      <c r="AH1110" s="310"/>
      <c r="AI1110" s="310"/>
      <c r="AJ1110" s="310"/>
      <c r="AK1110" s="310"/>
      <c r="AL1110" s="310"/>
      <c r="AM1110" s="310"/>
      <c r="AN1110" s="310"/>
      <c r="AO1110" s="310"/>
      <c r="AP1110" s="12"/>
      <c r="AQ1110" s="3"/>
      <c r="AR1110" s="3"/>
      <c r="AS1110" s="3"/>
      <c r="AT1110" s="3"/>
      <c r="AU1110" s="3"/>
      <c r="AV1110" s="3"/>
      <c r="AW1110" s="3"/>
      <c r="AX1110" s="3"/>
      <c r="AY1110" s="3"/>
      <c r="AZ1110" s="3"/>
      <c r="BA1110" s="3"/>
      <c r="BB1110" s="3"/>
      <c r="BC1110" s="3"/>
    </row>
    <row r="1111" ht="15.75" customHeight="1">
      <c r="A1111" s="12"/>
      <c r="B1111" s="310"/>
      <c r="C1111" s="310"/>
      <c r="D1111" s="310"/>
      <c r="E1111" s="310"/>
      <c r="F1111" s="310"/>
      <c r="G1111" s="310"/>
      <c r="H1111" s="310"/>
      <c r="I1111" s="310"/>
      <c r="J1111" s="310"/>
      <c r="K1111" s="310"/>
      <c r="L1111" s="310"/>
      <c r="M1111" s="310"/>
      <c r="N1111" s="310"/>
      <c r="O1111" s="310"/>
      <c r="P1111" s="310"/>
      <c r="Q1111" s="310"/>
      <c r="R1111" s="310"/>
      <c r="S1111" s="310"/>
      <c r="T1111" s="310"/>
      <c r="U1111" s="310"/>
      <c r="V1111" s="310"/>
      <c r="W1111" s="310"/>
      <c r="X1111" s="310"/>
      <c r="Y1111" s="310"/>
      <c r="Z1111" s="310"/>
      <c r="AA1111" s="310"/>
      <c r="AB1111" s="310"/>
      <c r="AC1111" s="310"/>
      <c r="AD1111" s="310"/>
      <c r="AE1111" s="310"/>
      <c r="AF1111" s="310"/>
      <c r="AG1111" s="310"/>
      <c r="AH1111" s="310"/>
      <c r="AI1111" s="310"/>
      <c r="AJ1111" s="310"/>
      <c r="AK1111" s="310"/>
      <c r="AL1111" s="310"/>
      <c r="AM1111" s="310"/>
      <c r="AN1111" s="310"/>
      <c r="AO1111" s="310"/>
      <c r="AP1111" s="12"/>
      <c r="AQ1111" s="3"/>
      <c r="AR1111" s="3"/>
      <c r="AS1111" s="3"/>
      <c r="AT1111" s="3"/>
      <c r="AU1111" s="3"/>
      <c r="AV1111" s="3"/>
      <c r="AW1111" s="3"/>
      <c r="AX1111" s="3"/>
      <c r="AY1111" s="3"/>
      <c r="AZ1111" s="3"/>
      <c r="BA1111" s="3"/>
      <c r="BB1111" s="3"/>
      <c r="BC1111" s="3"/>
    </row>
    <row r="1112" ht="15.75" customHeight="1">
      <c r="A1112" s="12"/>
      <c r="B1112" s="310"/>
      <c r="C1112" s="310"/>
      <c r="D1112" s="310"/>
      <c r="E1112" s="310"/>
      <c r="F1112" s="310"/>
      <c r="G1112" s="310"/>
      <c r="H1112" s="310"/>
      <c r="I1112" s="310"/>
      <c r="J1112" s="310"/>
      <c r="K1112" s="310"/>
      <c r="L1112" s="310"/>
      <c r="M1112" s="310"/>
      <c r="N1112" s="310"/>
      <c r="O1112" s="310"/>
      <c r="P1112" s="310"/>
      <c r="Q1112" s="310"/>
      <c r="R1112" s="310"/>
      <c r="S1112" s="310"/>
      <c r="T1112" s="310"/>
      <c r="U1112" s="310"/>
      <c r="V1112" s="310"/>
      <c r="W1112" s="310"/>
      <c r="X1112" s="310"/>
      <c r="Y1112" s="310"/>
      <c r="Z1112" s="310"/>
      <c r="AA1112" s="310"/>
      <c r="AB1112" s="310"/>
      <c r="AC1112" s="310"/>
      <c r="AD1112" s="310"/>
      <c r="AE1112" s="310"/>
      <c r="AF1112" s="310"/>
      <c r="AG1112" s="310"/>
      <c r="AH1112" s="310"/>
      <c r="AI1112" s="310"/>
      <c r="AJ1112" s="310"/>
      <c r="AK1112" s="310"/>
      <c r="AL1112" s="310"/>
      <c r="AM1112" s="310"/>
      <c r="AN1112" s="310"/>
      <c r="AO1112" s="310"/>
      <c r="AP1112" s="12"/>
      <c r="AQ1112" s="3"/>
      <c r="AR1112" s="3"/>
      <c r="AS1112" s="3"/>
      <c r="AT1112" s="3"/>
      <c r="AU1112" s="3"/>
      <c r="AV1112" s="3"/>
      <c r="AW1112" s="3"/>
      <c r="AX1112" s="3"/>
      <c r="AY1112" s="3"/>
      <c r="AZ1112" s="3"/>
      <c r="BA1112" s="3"/>
      <c r="BB1112" s="3"/>
      <c r="BC1112" s="3"/>
    </row>
    <row r="1113" ht="15.75" customHeight="1">
      <c r="A1113" s="12"/>
      <c r="B1113" s="310"/>
      <c r="C1113" s="310"/>
      <c r="D1113" s="310"/>
      <c r="E1113" s="310"/>
      <c r="F1113" s="310"/>
      <c r="G1113" s="310"/>
      <c r="H1113" s="310"/>
      <c r="I1113" s="310"/>
      <c r="J1113" s="310"/>
      <c r="K1113" s="310"/>
      <c r="L1113" s="310"/>
      <c r="M1113" s="310"/>
      <c r="N1113" s="310"/>
      <c r="O1113" s="310"/>
      <c r="P1113" s="310"/>
      <c r="Q1113" s="310"/>
      <c r="R1113" s="310"/>
      <c r="S1113" s="310"/>
      <c r="T1113" s="310"/>
      <c r="U1113" s="310"/>
      <c r="V1113" s="310"/>
      <c r="W1113" s="310"/>
      <c r="X1113" s="310"/>
      <c r="Y1113" s="310"/>
      <c r="Z1113" s="310"/>
      <c r="AA1113" s="310"/>
      <c r="AB1113" s="310"/>
      <c r="AC1113" s="310"/>
      <c r="AD1113" s="310"/>
      <c r="AE1113" s="310"/>
      <c r="AF1113" s="310"/>
      <c r="AG1113" s="310"/>
      <c r="AH1113" s="310"/>
      <c r="AI1113" s="310"/>
      <c r="AJ1113" s="310"/>
      <c r="AK1113" s="310"/>
      <c r="AL1113" s="310"/>
      <c r="AM1113" s="310"/>
      <c r="AN1113" s="310"/>
      <c r="AO1113" s="310"/>
      <c r="AP1113" s="12"/>
      <c r="AQ1113" s="3"/>
      <c r="AR1113" s="3"/>
      <c r="AS1113" s="3"/>
      <c r="AT1113" s="3"/>
      <c r="AU1113" s="3"/>
      <c r="AV1113" s="3"/>
      <c r="AW1113" s="3"/>
      <c r="AX1113" s="3"/>
      <c r="AY1113" s="3"/>
      <c r="AZ1113" s="3"/>
      <c r="BA1113" s="3"/>
      <c r="BB1113" s="3"/>
      <c r="BC1113" s="3"/>
    </row>
    <row r="1114" ht="15.75" customHeight="1">
      <c r="A1114" s="12"/>
      <c r="B1114" s="310"/>
      <c r="C1114" s="310"/>
      <c r="D1114" s="310"/>
      <c r="E1114" s="310"/>
      <c r="F1114" s="310"/>
      <c r="G1114" s="310"/>
      <c r="H1114" s="310"/>
      <c r="I1114" s="310"/>
      <c r="J1114" s="310"/>
      <c r="K1114" s="310"/>
      <c r="L1114" s="310"/>
      <c r="M1114" s="310"/>
      <c r="N1114" s="310"/>
      <c r="O1114" s="310"/>
      <c r="P1114" s="310"/>
      <c r="Q1114" s="310"/>
      <c r="R1114" s="310"/>
      <c r="S1114" s="310"/>
      <c r="T1114" s="310"/>
      <c r="U1114" s="310"/>
      <c r="V1114" s="310"/>
      <c r="W1114" s="310"/>
      <c r="X1114" s="310"/>
      <c r="Y1114" s="310"/>
      <c r="Z1114" s="310"/>
      <c r="AA1114" s="310"/>
      <c r="AB1114" s="310"/>
      <c r="AC1114" s="310"/>
      <c r="AD1114" s="310"/>
      <c r="AE1114" s="310"/>
      <c r="AF1114" s="310"/>
      <c r="AG1114" s="310"/>
      <c r="AH1114" s="310"/>
      <c r="AI1114" s="310"/>
      <c r="AJ1114" s="310"/>
      <c r="AK1114" s="310"/>
      <c r="AL1114" s="310"/>
      <c r="AM1114" s="310"/>
      <c r="AN1114" s="310"/>
      <c r="AO1114" s="310"/>
      <c r="AP1114" s="12"/>
      <c r="AQ1114" s="3"/>
      <c r="AR1114" s="3"/>
      <c r="AS1114" s="3"/>
      <c r="AT1114" s="3"/>
      <c r="AU1114" s="3"/>
      <c r="AV1114" s="3"/>
      <c r="AW1114" s="3"/>
      <c r="AX1114" s="3"/>
      <c r="AY1114" s="3"/>
      <c r="AZ1114" s="3"/>
      <c r="BA1114" s="3"/>
      <c r="BB1114" s="3"/>
      <c r="BC1114" s="3"/>
    </row>
    <row r="1115" ht="15.75" customHeight="1">
      <c r="A1115" s="12"/>
      <c r="B1115" s="310"/>
      <c r="C1115" s="310"/>
      <c r="D1115" s="310"/>
      <c r="E1115" s="310"/>
      <c r="F1115" s="310"/>
      <c r="G1115" s="310"/>
      <c r="H1115" s="310"/>
      <c r="I1115" s="310"/>
      <c r="J1115" s="310"/>
      <c r="K1115" s="310"/>
      <c r="L1115" s="310"/>
      <c r="M1115" s="310"/>
      <c r="N1115" s="310"/>
      <c r="O1115" s="310"/>
      <c r="P1115" s="310"/>
      <c r="Q1115" s="310"/>
      <c r="R1115" s="310"/>
      <c r="S1115" s="310"/>
      <c r="T1115" s="310"/>
      <c r="U1115" s="310"/>
      <c r="V1115" s="310"/>
      <c r="W1115" s="310"/>
      <c r="X1115" s="310"/>
      <c r="Y1115" s="310"/>
      <c r="Z1115" s="310"/>
      <c r="AA1115" s="310"/>
      <c r="AB1115" s="310"/>
      <c r="AC1115" s="310"/>
      <c r="AD1115" s="310"/>
      <c r="AE1115" s="310"/>
      <c r="AF1115" s="310"/>
      <c r="AG1115" s="310"/>
      <c r="AH1115" s="310"/>
      <c r="AI1115" s="310"/>
      <c r="AJ1115" s="310"/>
      <c r="AK1115" s="310"/>
      <c r="AL1115" s="310"/>
      <c r="AM1115" s="310"/>
      <c r="AN1115" s="310"/>
      <c r="AO1115" s="310"/>
      <c r="AP1115" s="12"/>
      <c r="AQ1115" s="3"/>
      <c r="AR1115" s="3"/>
      <c r="AS1115" s="3"/>
      <c r="AT1115" s="3"/>
      <c r="AU1115" s="3"/>
      <c r="AV1115" s="3"/>
      <c r="AW1115" s="3"/>
      <c r="AX1115" s="3"/>
      <c r="AY1115" s="3"/>
      <c r="AZ1115" s="3"/>
      <c r="BA1115" s="3"/>
      <c r="BB1115" s="3"/>
      <c r="BC1115" s="3"/>
    </row>
    <row r="1116" ht="15.75" customHeight="1">
      <c r="A1116" s="12"/>
      <c r="B1116" s="310"/>
      <c r="C1116" s="310"/>
      <c r="D1116" s="310"/>
      <c r="E1116" s="310"/>
      <c r="F1116" s="310"/>
      <c r="G1116" s="310"/>
      <c r="H1116" s="310"/>
      <c r="I1116" s="310"/>
      <c r="J1116" s="310"/>
      <c r="K1116" s="310"/>
      <c r="L1116" s="310"/>
      <c r="M1116" s="310"/>
      <c r="N1116" s="310"/>
      <c r="O1116" s="310"/>
      <c r="P1116" s="310"/>
      <c r="Q1116" s="310"/>
      <c r="R1116" s="310"/>
      <c r="S1116" s="310"/>
      <c r="T1116" s="310"/>
      <c r="U1116" s="310"/>
      <c r="V1116" s="310"/>
      <c r="W1116" s="310"/>
      <c r="X1116" s="310"/>
      <c r="Y1116" s="310"/>
      <c r="Z1116" s="310"/>
      <c r="AA1116" s="310"/>
      <c r="AB1116" s="310"/>
      <c r="AC1116" s="310"/>
      <c r="AD1116" s="310"/>
      <c r="AE1116" s="310"/>
      <c r="AF1116" s="310"/>
      <c r="AG1116" s="310"/>
      <c r="AH1116" s="310"/>
      <c r="AI1116" s="310"/>
      <c r="AJ1116" s="310"/>
      <c r="AK1116" s="310"/>
      <c r="AL1116" s="310"/>
      <c r="AM1116" s="310"/>
      <c r="AN1116" s="310"/>
      <c r="AO1116" s="310"/>
      <c r="AP1116" s="12"/>
      <c r="AQ1116" s="3"/>
      <c r="AR1116" s="3"/>
      <c r="AS1116" s="3"/>
      <c r="AT1116" s="3"/>
      <c r="AU1116" s="3"/>
      <c r="AV1116" s="3"/>
      <c r="AW1116" s="3"/>
      <c r="AX1116" s="3"/>
      <c r="AY1116" s="3"/>
      <c r="AZ1116" s="3"/>
      <c r="BA1116" s="3"/>
      <c r="BB1116" s="3"/>
      <c r="BC1116" s="3"/>
    </row>
    <row r="1117" ht="15.75" customHeight="1">
      <c r="A1117" s="12"/>
      <c r="B1117" s="310"/>
      <c r="C1117" s="310"/>
      <c r="D1117" s="310"/>
      <c r="E1117" s="310"/>
      <c r="F1117" s="310"/>
      <c r="G1117" s="310"/>
      <c r="H1117" s="310"/>
      <c r="I1117" s="310"/>
      <c r="J1117" s="310"/>
      <c r="K1117" s="310"/>
      <c r="L1117" s="310"/>
      <c r="M1117" s="310"/>
      <c r="N1117" s="310"/>
      <c r="O1117" s="310"/>
      <c r="P1117" s="310"/>
      <c r="Q1117" s="310"/>
      <c r="R1117" s="310"/>
      <c r="S1117" s="310"/>
      <c r="T1117" s="310"/>
      <c r="U1117" s="310"/>
      <c r="V1117" s="310"/>
      <c r="W1117" s="310"/>
      <c r="X1117" s="310"/>
      <c r="Y1117" s="310"/>
      <c r="Z1117" s="310"/>
      <c r="AA1117" s="310"/>
      <c r="AB1117" s="310"/>
      <c r="AC1117" s="310"/>
      <c r="AD1117" s="310"/>
      <c r="AE1117" s="310"/>
      <c r="AF1117" s="310"/>
      <c r="AG1117" s="310"/>
      <c r="AH1117" s="310"/>
      <c r="AI1117" s="310"/>
      <c r="AJ1117" s="310"/>
      <c r="AK1117" s="310"/>
      <c r="AL1117" s="310"/>
      <c r="AM1117" s="310"/>
      <c r="AN1117" s="310"/>
      <c r="AO1117" s="310"/>
      <c r="AP1117" s="12"/>
      <c r="AQ1117" s="3"/>
      <c r="AR1117" s="3"/>
      <c r="AS1117" s="3"/>
      <c r="AT1117" s="3"/>
      <c r="AU1117" s="3"/>
      <c r="AV1117" s="3"/>
      <c r="AW1117" s="3"/>
      <c r="AX1117" s="3"/>
      <c r="AY1117" s="3"/>
      <c r="AZ1117" s="3"/>
      <c r="BA1117" s="3"/>
      <c r="BB1117" s="3"/>
      <c r="BC1117" s="3"/>
    </row>
    <row r="1118" ht="15.75" customHeight="1">
      <c r="A1118" s="12"/>
      <c r="B1118" s="310"/>
      <c r="C1118" s="310"/>
      <c r="D1118" s="310"/>
      <c r="E1118" s="310"/>
      <c r="F1118" s="310"/>
      <c r="G1118" s="310"/>
      <c r="H1118" s="310"/>
      <c r="I1118" s="310"/>
      <c r="J1118" s="310"/>
      <c r="K1118" s="310"/>
      <c r="L1118" s="310"/>
      <c r="M1118" s="310"/>
      <c r="N1118" s="310"/>
      <c r="O1118" s="310"/>
      <c r="P1118" s="310"/>
      <c r="Q1118" s="310"/>
      <c r="R1118" s="310"/>
      <c r="S1118" s="310"/>
      <c r="T1118" s="310"/>
      <c r="U1118" s="310"/>
      <c r="V1118" s="310"/>
      <c r="W1118" s="310"/>
      <c r="X1118" s="310"/>
      <c r="Y1118" s="310"/>
      <c r="Z1118" s="310"/>
      <c r="AA1118" s="310"/>
      <c r="AB1118" s="310"/>
      <c r="AC1118" s="310"/>
      <c r="AD1118" s="310"/>
      <c r="AE1118" s="310"/>
      <c r="AF1118" s="310"/>
      <c r="AG1118" s="310"/>
      <c r="AH1118" s="310"/>
      <c r="AI1118" s="310"/>
      <c r="AJ1118" s="310"/>
      <c r="AK1118" s="310"/>
      <c r="AL1118" s="310"/>
      <c r="AM1118" s="310"/>
      <c r="AN1118" s="310"/>
      <c r="AO1118" s="310"/>
      <c r="AP1118" s="12"/>
      <c r="AQ1118" s="3"/>
      <c r="AR1118" s="3"/>
      <c r="AS1118" s="3"/>
      <c r="AT1118" s="3"/>
      <c r="AU1118" s="3"/>
      <c r="AV1118" s="3"/>
      <c r="AW1118" s="3"/>
      <c r="AX1118" s="3"/>
      <c r="AY1118" s="3"/>
      <c r="AZ1118" s="3"/>
      <c r="BA1118" s="3"/>
      <c r="BB1118" s="3"/>
      <c r="BC1118" s="3"/>
    </row>
    <row r="1119" ht="15.75" customHeight="1">
      <c r="A1119" s="12"/>
      <c r="B1119" s="310"/>
      <c r="C1119" s="310"/>
      <c r="D1119" s="310"/>
      <c r="E1119" s="310"/>
      <c r="F1119" s="310"/>
      <c r="G1119" s="310"/>
      <c r="H1119" s="310"/>
      <c r="I1119" s="310"/>
      <c r="J1119" s="310"/>
      <c r="K1119" s="310"/>
      <c r="L1119" s="310"/>
      <c r="M1119" s="310"/>
      <c r="N1119" s="310"/>
      <c r="O1119" s="310"/>
      <c r="P1119" s="310"/>
      <c r="Q1119" s="310"/>
      <c r="R1119" s="310"/>
      <c r="S1119" s="310"/>
      <c r="T1119" s="310"/>
      <c r="U1119" s="310"/>
      <c r="V1119" s="310"/>
      <c r="W1119" s="310"/>
      <c r="X1119" s="310"/>
      <c r="Y1119" s="310"/>
      <c r="Z1119" s="310"/>
      <c r="AA1119" s="310"/>
      <c r="AB1119" s="310"/>
      <c r="AC1119" s="310"/>
      <c r="AD1119" s="310"/>
      <c r="AE1119" s="310"/>
      <c r="AF1119" s="310"/>
      <c r="AG1119" s="310"/>
      <c r="AH1119" s="310"/>
      <c r="AI1119" s="310"/>
      <c r="AJ1119" s="310"/>
      <c r="AK1119" s="310"/>
      <c r="AL1119" s="310"/>
      <c r="AM1119" s="310"/>
      <c r="AN1119" s="310"/>
      <c r="AO1119" s="310"/>
      <c r="AP1119" s="12"/>
      <c r="AQ1119" s="3"/>
      <c r="AR1119" s="3"/>
      <c r="AS1119" s="3"/>
      <c r="AT1119" s="3"/>
      <c r="AU1119" s="3"/>
      <c r="AV1119" s="3"/>
      <c r="AW1119" s="3"/>
      <c r="AX1119" s="3"/>
      <c r="AY1119" s="3"/>
      <c r="AZ1119" s="3"/>
      <c r="BA1119" s="3"/>
      <c r="BB1119" s="3"/>
      <c r="BC1119" s="3"/>
    </row>
    <row r="1120" ht="15.75" customHeight="1">
      <c r="A1120" s="12"/>
      <c r="B1120" s="310"/>
      <c r="C1120" s="310"/>
      <c r="D1120" s="310"/>
      <c r="E1120" s="310"/>
      <c r="F1120" s="310"/>
      <c r="G1120" s="310"/>
      <c r="H1120" s="310"/>
      <c r="I1120" s="310"/>
      <c r="J1120" s="310"/>
      <c r="K1120" s="310"/>
      <c r="L1120" s="310"/>
      <c r="M1120" s="310"/>
      <c r="N1120" s="310"/>
      <c r="O1120" s="310"/>
      <c r="P1120" s="310"/>
      <c r="Q1120" s="310"/>
      <c r="R1120" s="310"/>
      <c r="S1120" s="310"/>
      <c r="T1120" s="310"/>
      <c r="U1120" s="310"/>
      <c r="V1120" s="310"/>
      <c r="W1120" s="310"/>
      <c r="X1120" s="310"/>
      <c r="Y1120" s="310"/>
      <c r="Z1120" s="310"/>
      <c r="AA1120" s="310"/>
      <c r="AB1120" s="310"/>
      <c r="AC1120" s="310"/>
      <c r="AD1120" s="310"/>
      <c r="AE1120" s="310"/>
      <c r="AF1120" s="310"/>
      <c r="AG1120" s="310"/>
      <c r="AH1120" s="310"/>
      <c r="AI1120" s="310"/>
      <c r="AJ1120" s="310"/>
      <c r="AK1120" s="310"/>
      <c r="AL1120" s="310"/>
      <c r="AM1120" s="310"/>
      <c r="AN1120" s="310"/>
      <c r="AO1120" s="310"/>
      <c r="AP1120" s="12"/>
      <c r="AQ1120" s="3"/>
      <c r="AR1120" s="3"/>
      <c r="AS1120" s="3"/>
      <c r="AT1120" s="3"/>
      <c r="AU1120" s="3"/>
      <c r="AV1120" s="3"/>
      <c r="AW1120" s="3"/>
      <c r="AX1120" s="3"/>
      <c r="AY1120" s="3"/>
      <c r="AZ1120" s="3"/>
      <c r="BA1120" s="3"/>
      <c r="BB1120" s="3"/>
      <c r="BC1120" s="3"/>
    </row>
    <row r="1121" ht="15.75" customHeight="1">
      <c r="A1121" s="12"/>
      <c r="B1121" s="310"/>
      <c r="C1121" s="310"/>
      <c r="D1121" s="310"/>
      <c r="E1121" s="310"/>
      <c r="F1121" s="310"/>
      <c r="G1121" s="310"/>
      <c r="H1121" s="310"/>
      <c r="I1121" s="310"/>
      <c r="J1121" s="310"/>
      <c r="K1121" s="310"/>
      <c r="L1121" s="310"/>
      <c r="M1121" s="310"/>
      <c r="N1121" s="310"/>
      <c r="O1121" s="310"/>
      <c r="P1121" s="310"/>
      <c r="Q1121" s="310"/>
      <c r="R1121" s="310"/>
      <c r="S1121" s="310"/>
      <c r="T1121" s="310"/>
      <c r="U1121" s="310"/>
      <c r="V1121" s="310"/>
      <c r="W1121" s="310"/>
      <c r="X1121" s="310"/>
      <c r="Y1121" s="310"/>
      <c r="Z1121" s="310"/>
      <c r="AA1121" s="310"/>
      <c r="AB1121" s="310"/>
      <c r="AC1121" s="310"/>
      <c r="AD1121" s="310"/>
      <c r="AE1121" s="310"/>
      <c r="AF1121" s="310"/>
      <c r="AG1121" s="310"/>
      <c r="AH1121" s="310"/>
      <c r="AI1121" s="310"/>
      <c r="AJ1121" s="310"/>
      <c r="AK1121" s="310"/>
      <c r="AL1121" s="310"/>
      <c r="AM1121" s="310"/>
      <c r="AN1121" s="310"/>
      <c r="AO1121" s="310"/>
      <c r="AP1121" s="12"/>
      <c r="AQ1121" s="3"/>
      <c r="AR1121" s="3"/>
      <c r="AS1121" s="3"/>
      <c r="AT1121" s="3"/>
      <c r="AU1121" s="3"/>
      <c r="AV1121" s="3"/>
      <c r="AW1121" s="3"/>
      <c r="AX1121" s="3"/>
      <c r="AY1121" s="3"/>
      <c r="AZ1121" s="3"/>
      <c r="BA1121" s="3"/>
      <c r="BB1121" s="3"/>
      <c r="BC1121" s="3"/>
    </row>
    <row r="1122" ht="15.75" customHeight="1">
      <c r="A1122" s="12"/>
      <c r="B1122" s="310"/>
      <c r="C1122" s="310"/>
      <c r="D1122" s="310"/>
      <c r="E1122" s="310"/>
      <c r="F1122" s="310"/>
      <c r="G1122" s="310"/>
      <c r="H1122" s="310"/>
      <c r="I1122" s="310"/>
      <c r="J1122" s="310"/>
      <c r="K1122" s="310"/>
      <c r="L1122" s="310"/>
      <c r="M1122" s="310"/>
      <c r="N1122" s="310"/>
      <c r="O1122" s="310"/>
      <c r="P1122" s="310"/>
      <c r="Q1122" s="310"/>
      <c r="R1122" s="310"/>
      <c r="S1122" s="310"/>
      <c r="T1122" s="310"/>
      <c r="U1122" s="310"/>
      <c r="V1122" s="310"/>
      <c r="W1122" s="310"/>
      <c r="X1122" s="310"/>
      <c r="Y1122" s="310"/>
      <c r="Z1122" s="310"/>
      <c r="AA1122" s="310"/>
      <c r="AB1122" s="310"/>
      <c r="AC1122" s="310"/>
      <c r="AD1122" s="310"/>
      <c r="AE1122" s="310"/>
      <c r="AF1122" s="310"/>
      <c r="AG1122" s="310"/>
      <c r="AH1122" s="310"/>
      <c r="AI1122" s="310"/>
      <c r="AJ1122" s="310"/>
      <c r="AK1122" s="310"/>
      <c r="AL1122" s="310"/>
      <c r="AM1122" s="310"/>
      <c r="AN1122" s="310"/>
      <c r="AO1122" s="310"/>
      <c r="AP1122" s="12"/>
      <c r="AQ1122" s="3"/>
      <c r="AR1122" s="3"/>
      <c r="AS1122" s="3"/>
      <c r="AT1122" s="3"/>
      <c r="AU1122" s="3"/>
      <c r="AV1122" s="3"/>
      <c r="AW1122" s="3"/>
      <c r="AX1122" s="3"/>
      <c r="AY1122" s="3"/>
      <c r="AZ1122" s="3"/>
      <c r="BA1122" s="3"/>
      <c r="BB1122" s="3"/>
      <c r="BC1122" s="3"/>
    </row>
    <row r="1123" ht="15.75" customHeight="1">
      <c r="A1123" s="12"/>
      <c r="B1123" s="310"/>
      <c r="C1123" s="310"/>
      <c r="D1123" s="310"/>
      <c r="E1123" s="310"/>
      <c r="F1123" s="310"/>
      <c r="G1123" s="310"/>
      <c r="H1123" s="310"/>
      <c r="I1123" s="310"/>
      <c r="J1123" s="310"/>
      <c r="K1123" s="310"/>
      <c r="L1123" s="310"/>
      <c r="M1123" s="310"/>
      <c r="N1123" s="310"/>
      <c r="O1123" s="310"/>
      <c r="P1123" s="310"/>
      <c r="Q1123" s="310"/>
      <c r="R1123" s="310"/>
      <c r="S1123" s="310"/>
      <c r="T1123" s="310"/>
      <c r="U1123" s="310"/>
      <c r="V1123" s="310"/>
      <c r="W1123" s="310"/>
      <c r="X1123" s="310"/>
      <c r="Y1123" s="310"/>
      <c r="Z1123" s="310"/>
      <c r="AA1123" s="310"/>
      <c r="AB1123" s="310"/>
      <c r="AC1123" s="310"/>
      <c r="AD1123" s="310"/>
      <c r="AE1123" s="310"/>
      <c r="AF1123" s="310"/>
      <c r="AG1123" s="310"/>
      <c r="AH1123" s="310"/>
      <c r="AI1123" s="310"/>
      <c r="AJ1123" s="310"/>
      <c r="AK1123" s="310"/>
      <c r="AL1123" s="310"/>
      <c r="AM1123" s="310"/>
      <c r="AN1123" s="310"/>
      <c r="AO1123" s="310"/>
      <c r="AP1123" s="12"/>
      <c r="AQ1123" s="3"/>
      <c r="AR1123" s="3"/>
      <c r="AS1123" s="3"/>
      <c r="AT1123" s="3"/>
      <c r="AU1123" s="3"/>
      <c r="AV1123" s="3"/>
      <c r="AW1123" s="3"/>
      <c r="AX1123" s="3"/>
      <c r="AY1123" s="3"/>
      <c r="AZ1123" s="3"/>
      <c r="BA1123" s="3"/>
      <c r="BB1123" s="3"/>
      <c r="BC1123" s="3"/>
    </row>
    <row r="1124" ht="15.75" customHeight="1">
      <c r="A1124" s="12"/>
      <c r="B1124" s="310"/>
      <c r="C1124" s="310"/>
      <c r="D1124" s="310"/>
      <c r="E1124" s="310"/>
      <c r="F1124" s="310"/>
      <c r="G1124" s="310"/>
      <c r="H1124" s="310"/>
      <c r="I1124" s="310"/>
      <c r="J1124" s="310"/>
      <c r="K1124" s="310"/>
      <c r="L1124" s="310"/>
      <c r="M1124" s="310"/>
      <c r="N1124" s="310"/>
      <c r="O1124" s="310"/>
      <c r="P1124" s="310"/>
      <c r="Q1124" s="310"/>
      <c r="R1124" s="310"/>
      <c r="S1124" s="310"/>
      <c r="T1124" s="310"/>
      <c r="U1124" s="310"/>
      <c r="V1124" s="310"/>
      <c r="W1124" s="310"/>
      <c r="X1124" s="310"/>
      <c r="Y1124" s="310"/>
      <c r="Z1124" s="310"/>
      <c r="AA1124" s="310"/>
      <c r="AB1124" s="310"/>
      <c r="AC1124" s="310"/>
      <c r="AD1124" s="310"/>
      <c r="AE1124" s="310"/>
      <c r="AF1124" s="310"/>
      <c r="AG1124" s="310"/>
      <c r="AH1124" s="310"/>
      <c r="AI1124" s="310"/>
      <c r="AJ1124" s="310"/>
      <c r="AK1124" s="310"/>
      <c r="AL1124" s="310"/>
      <c r="AM1124" s="310"/>
      <c r="AN1124" s="310"/>
      <c r="AO1124" s="310"/>
      <c r="AP1124" s="12"/>
      <c r="AQ1124" s="3"/>
      <c r="AR1124" s="3"/>
      <c r="AS1124" s="3"/>
      <c r="AT1124" s="3"/>
      <c r="AU1124" s="3"/>
      <c r="AV1124" s="3"/>
      <c r="AW1124" s="3"/>
      <c r="AX1124" s="3"/>
      <c r="AY1124" s="3"/>
      <c r="AZ1124" s="3"/>
      <c r="BA1124" s="3"/>
      <c r="BB1124" s="3"/>
      <c r="BC1124" s="3"/>
    </row>
    <row r="1125" ht="15.75" customHeight="1">
      <c r="A1125" s="12"/>
      <c r="B1125" s="310"/>
      <c r="C1125" s="310"/>
      <c r="D1125" s="310"/>
      <c r="E1125" s="310"/>
      <c r="F1125" s="310"/>
      <c r="G1125" s="310"/>
      <c r="H1125" s="310"/>
      <c r="I1125" s="310"/>
      <c r="J1125" s="310"/>
      <c r="K1125" s="310"/>
      <c r="L1125" s="310"/>
      <c r="M1125" s="310"/>
      <c r="N1125" s="310"/>
      <c r="O1125" s="310"/>
      <c r="P1125" s="310"/>
      <c r="Q1125" s="310"/>
      <c r="R1125" s="310"/>
      <c r="S1125" s="310"/>
      <c r="T1125" s="310"/>
      <c r="U1125" s="310"/>
      <c r="V1125" s="310"/>
      <c r="W1125" s="310"/>
      <c r="X1125" s="310"/>
      <c r="Y1125" s="310"/>
      <c r="Z1125" s="310"/>
      <c r="AA1125" s="310"/>
      <c r="AB1125" s="310"/>
      <c r="AC1125" s="310"/>
      <c r="AD1125" s="310"/>
      <c r="AE1125" s="310"/>
      <c r="AF1125" s="310"/>
      <c r="AG1125" s="310"/>
      <c r="AH1125" s="310"/>
      <c r="AI1125" s="310"/>
      <c r="AJ1125" s="310"/>
      <c r="AK1125" s="310"/>
      <c r="AL1125" s="310"/>
      <c r="AM1125" s="310"/>
      <c r="AN1125" s="310"/>
      <c r="AO1125" s="310"/>
      <c r="AP1125" s="12"/>
      <c r="AQ1125" s="3"/>
      <c r="AR1125" s="3"/>
      <c r="AS1125" s="3"/>
      <c r="AT1125" s="3"/>
      <c r="AU1125" s="3"/>
      <c r="AV1125" s="3"/>
      <c r="AW1125" s="3"/>
      <c r="AX1125" s="3"/>
      <c r="AY1125" s="3"/>
      <c r="AZ1125" s="3"/>
      <c r="BA1125" s="3"/>
      <c r="BB1125" s="3"/>
      <c r="BC1125" s="3"/>
    </row>
    <row r="1126" ht="15.75" customHeight="1">
      <c r="A1126" s="12"/>
      <c r="B1126" s="310"/>
      <c r="C1126" s="310"/>
      <c r="D1126" s="310"/>
      <c r="E1126" s="310"/>
      <c r="F1126" s="310"/>
      <c r="G1126" s="310"/>
      <c r="H1126" s="310"/>
      <c r="I1126" s="310"/>
      <c r="J1126" s="310"/>
      <c r="K1126" s="310"/>
      <c r="L1126" s="310"/>
      <c r="M1126" s="310"/>
      <c r="N1126" s="310"/>
      <c r="O1126" s="310"/>
      <c r="P1126" s="310"/>
      <c r="Q1126" s="310"/>
      <c r="R1126" s="310"/>
      <c r="S1126" s="310"/>
      <c r="T1126" s="310"/>
      <c r="U1126" s="310"/>
      <c r="V1126" s="310"/>
      <c r="W1126" s="310"/>
      <c r="X1126" s="310"/>
      <c r="Y1126" s="310"/>
      <c r="Z1126" s="310"/>
      <c r="AA1126" s="310"/>
      <c r="AB1126" s="310"/>
      <c r="AC1126" s="310"/>
      <c r="AD1126" s="310"/>
      <c r="AE1126" s="310"/>
      <c r="AF1126" s="310"/>
      <c r="AG1126" s="310"/>
      <c r="AH1126" s="310"/>
      <c r="AI1126" s="310"/>
      <c r="AJ1126" s="310"/>
      <c r="AK1126" s="310"/>
      <c r="AL1126" s="310"/>
      <c r="AM1126" s="310"/>
      <c r="AN1126" s="310"/>
      <c r="AO1126" s="310"/>
      <c r="AP1126" s="12"/>
      <c r="AQ1126" s="3"/>
      <c r="AR1126" s="3"/>
      <c r="AS1126" s="3"/>
      <c r="AT1126" s="3"/>
      <c r="AU1126" s="3"/>
      <c r="AV1126" s="3"/>
      <c r="AW1126" s="3"/>
      <c r="AX1126" s="3"/>
      <c r="AY1126" s="3"/>
      <c r="AZ1126" s="3"/>
      <c r="BA1126" s="3"/>
      <c r="BB1126" s="3"/>
      <c r="BC1126" s="3"/>
    </row>
    <row r="1127" ht="15.75" customHeight="1">
      <c r="A1127" s="12"/>
      <c r="B1127" s="310"/>
      <c r="C1127" s="310"/>
      <c r="D1127" s="310"/>
      <c r="E1127" s="310"/>
      <c r="F1127" s="310"/>
      <c r="G1127" s="310"/>
      <c r="H1127" s="310"/>
      <c r="I1127" s="310"/>
      <c r="J1127" s="310"/>
      <c r="K1127" s="310"/>
      <c r="L1127" s="310"/>
      <c r="M1127" s="310"/>
      <c r="N1127" s="310"/>
      <c r="O1127" s="310"/>
      <c r="P1127" s="310"/>
      <c r="Q1127" s="310"/>
      <c r="R1127" s="310"/>
      <c r="S1127" s="310"/>
      <c r="T1127" s="310"/>
      <c r="U1127" s="310"/>
      <c r="V1127" s="310"/>
      <c r="W1127" s="310"/>
      <c r="X1127" s="310"/>
      <c r="Y1127" s="310"/>
      <c r="Z1127" s="310"/>
      <c r="AA1127" s="310"/>
      <c r="AB1127" s="310"/>
      <c r="AC1127" s="310"/>
      <c r="AD1127" s="310"/>
      <c r="AE1127" s="310"/>
      <c r="AF1127" s="310"/>
      <c r="AG1127" s="310"/>
      <c r="AH1127" s="310"/>
      <c r="AI1127" s="310"/>
      <c r="AJ1127" s="310"/>
      <c r="AK1127" s="310"/>
      <c r="AL1127" s="310"/>
      <c r="AM1127" s="310"/>
      <c r="AN1127" s="310"/>
      <c r="AO1127" s="310"/>
      <c r="AP1127" s="12"/>
      <c r="AQ1127" s="3"/>
      <c r="AR1127" s="3"/>
      <c r="AS1127" s="3"/>
      <c r="AT1127" s="3"/>
      <c r="AU1127" s="3"/>
      <c r="AV1127" s="3"/>
      <c r="AW1127" s="3"/>
      <c r="AX1127" s="3"/>
      <c r="AY1127" s="3"/>
      <c r="AZ1127" s="3"/>
      <c r="BA1127" s="3"/>
      <c r="BB1127" s="3"/>
      <c r="BC1127" s="3"/>
    </row>
    <row r="1128" ht="15.75" customHeight="1">
      <c r="A1128" s="12"/>
      <c r="B1128" s="310"/>
      <c r="C1128" s="310"/>
      <c r="D1128" s="310"/>
      <c r="E1128" s="310"/>
      <c r="F1128" s="310"/>
      <c r="G1128" s="310"/>
      <c r="H1128" s="310"/>
      <c r="I1128" s="310"/>
      <c r="J1128" s="310"/>
      <c r="K1128" s="310"/>
      <c r="L1128" s="310"/>
      <c r="M1128" s="310"/>
      <c r="N1128" s="310"/>
      <c r="O1128" s="310"/>
      <c r="P1128" s="310"/>
      <c r="Q1128" s="310"/>
      <c r="R1128" s="310"/>
      <c r="S1128" s="310"/>
      <c r="T1128" s="310"/>
      <c r="U1128" s="310"/>
      <c r="V1128" s="310"/>
      <c r="W1128" s="310"/>
      <c r="X1128" s="310"/>
      <c r="Y1128" s="310"/>
      <c r="Z1128" s="310"/>
      <c r="AA1128" s="310"/>
      <c r="AB1128" s="310"/>
      <c r="AC1128" s="310"/>
      <c r="AD1128" s="310"/>
      <c r="AE1128" s="310"/>
      <c r="AF1128" s="310"/>
      <c r="AG1128" s="310"/>
      <c r="AH1128" s="310"/>
      <c r="AI1128" s="310"/>
      <c r="AJ1128" s="310"/>
      <c r="AK1128" s="310"/>
      <c r="AL1128" s="310"/>
      <c r="AM1128" s="310"/>
      <c r="AN1128" s="310"/>
      <c r="AO1128" s="310"/>
      <c r="AP1128" s="12"/>
      <c r="AQ1128" s="3"/>
      <c r="AR1128" s="3"/>
      <c r="AS1128" s="3"/>
      <c r="AT1128" s="3"/>
      <c r="AU1128" s="3"/>
      <c r="AV1128" s="3"/>
      <c r="AW1128" s="3"/>
      <c r="AX1128" s="3"/>
      <c r="AY1128" s="3"/>
      <c r="AZ1128" s="3"/>
      <c r="BA1128" s="3"/>
      <c r="BB1128" s="3"/>
      <c r="BC1128" s="3"/>
    </row>
    <row r="1129" ht="15.75" customHeight="1">
      <c r="A1129" s="12"/>
      <c r="B1129" s="310"/>
      <c r="C1129" s="310"/>
      <c r="D1129" s="310"/>
      <c r="E1129" s="310"/>
      <c r="F1129" s="310"/>
      <c r="G1129" s="310"/>
      <c r="H1129" s="310"/>
      <c r="I1129" s="310"/>
      <c r="J1129" s="310"/>
      <c r="K1129" s="310"/>
      <c r="L1129" s="310"/>
      <c r="M1129" s="310"/>
      <c r="N1129" s="310"/>
      <c r="O1129" s="310"/>
      <c r="P1129" s="310"/>
      <c r="Q1129" s="310"/>
      <c r="R1129" s="310"/>
      <c r="S1129" s="310"/>
      <c r="T1129" s="310"/>
      <c r="U1129" s="310"/>
      <c r="V1129" s="310"/>
      <c r="W1129" s="310"/>
      <c r="X1129" s="310"/>
      <c r="Y1129" s="310"/>
      <c r="Z1129" s="310"/>
      <c r="AA1129" s="310"/>
      <c r="AB1129" s="310"/>
      <c r="AC1129" s="310"/>
      <c r="AD1129" s="310"/>
      <c r="AE1129" s="310"/>
      <c r="AF1129" s="310"/>
      <c r="AG1129" s="310"/>
      <c r="AH1129" s="310"/>
      <c r="AI1129" s="310"/>
      <c r="AJ1129" s="310"/>
      <c r="AK1129" s="310"/>
      <c r="AL1129" s="310"/>
      <c r="AM1129" s="310"/>
      <c r="AN1129" s="310"/>
      <c r="AO1129" s="310"/>
      <c r="AP1129" s="12"/>
      <c r="AQ1129" s="3"/>
      <c r="AR1129" s="3"/>
      <c r="AS1129" s="3"/>
      <c r="AT1129" s="3"/>
      <c r="AU1129" s="3"/>
      <c r="AV1129" s="3"/>
      <c r="AW1129" s="3"/>
      <c r="AX1129" s="3"/>
      <c r="AY1129" s="3"/>
      <c r="AZ1129" s="3"/>
      <c r="BA1129" s="3"/>
      <c r="BB1129" s="3"/>
      <c r="BC1129" s="3"/>
    </row>
    <row r="1130" ht="15.75" customHeight="1">
      <c r="A1130" s="12"/>
      <c r="B1130" s="310"/>
      <c r="C1130" s="310"/>
      <c r="D1130" s="310"/>
      <c r="E1130" s="310"/>
      <c r="F1130" s="310"/>
      <c r="G1130" s="310"/>
      <c r="H1130" s="310"/>
      <c r="I1130" s="310"/>
      <c r="J1130" s="310"/>
      <c r="K1130" s="310"/>
      <c r="L1130" s="310"/>
      <c r="M1130" s="310"/>
      <c r="N1130" s="310"/>
      <c r="O1130" s="310"/>
      <c r="P1130" s="310"/>
      <c r="Q1130" s="310"/>
      <c r="R1130" s="310"/>
      <c r="S1130" s="310"/>
      <c r="T1130" s="310"/>
      <c r="U1130" s="310"/>
      <c r="V1130" s="310"/>
      <c r="W1130" s="310"/>
      <c r="X1130" s="310"/>
      <c r="Y1130" s="310"/>
      <c r="Z1130" s="310"/>
      <c r="AA1130" s="310"/>
      <c r="AB1130" s="310"/>
      <c r="AC1130" s="310"/>
      <c r="AD1130" s="310"/>
      <c r="AE1130" s="310"/>
      <c r="AF1130" s="310"/>
      <c r="AG1130" s="310"/>
      <c r="AH1130" s="310"/>
      <c r="AI1130" s="310"/>
      <c r="AJ1130" s="310"/>
      <c r="AK1130" s="310"/>
      <c r="AL1130" s="310"/>
      <c r="AM1130" s="310"/>
      <c r="AN1130" s="310"/>
      <c r="AO1130" s="310"/>
      <c r="AP1130" s="12"/>
      <c r="AQ1130" s="3"/>
      <c r="AR1130" s="3"/>
      <c r="AS1130" s="3"/>
      <c r="AT1130" s="3"/>
      <c r="AU1130" s="3"/>
      <c r="AV1130" s="3"/>
      <c r="AW1130" s="3"/>
      <c r="AX1130" s="3"/>
      <c r="AY1130" s="3"/>
      <c r="AZ1130" s="3"/>
      <c r="BA1130" s="3"/>
      <c r="BB1130" s="3"/>
      <c r="BC1130" s="3"/>
    </row>
    <row r="1131" ht="15.75" customHeight="1">
      <c r="A1131" s="12"/>
      <c r="B1131" s="310"/>
      <c r="C1131" s="310"/>
      <c r="D1131" s="310"/>
      <c r="E1131" s="310"/>
      <c r="F1131" s="310"/>
      <c r="G1131" s="310"/>
      <c r="H1131" s="310"/>
      <c r="I1131" s="310"/>
      <c r="J1131" s="310"/>
      <c r="K1131" s="310"/>
      <c r="L1131" s="310"/>
      <c r="M1131" s="310"/>
      <c r="N1131" s="310"/>
      <c r="O1131" s="310"/>
      <c r="P1131" s="310"/>
      <c r="Q1131" s="310"/>
      <c r="R1131" s="310"/>
      <c r="S1131" s="310"/>
      <c r="T1131" s="310"/>
      <c r="U1131" s="310"/>
      <c r="V1131" s="310"/>
      <c r="W1131" s="310"/>
      <c r="X1131" s="310"/>
      <c r="Y1131" s="310"/>
      <c r="Z1131" s="310"/>
      <c r="AA1131" s="310"/>
      <c r="AB1131" s="310"/>
      <c r="AC1131" s="310"/>
      <c r="AD1131" s="310"/>
      <c r="AE1131" s="310"/>
      <c r="AF1131" s="310"/>
      <c r="AG1131" s="310"/>
      <c r="AH1131" s="310"/>
      <c r="AI1131" s="310"/>
      <c r="AJ1131" s="310"/>
      <c r="AK1131" s="310"/>
      <c r="AL1131" s="310"/>
      <c r="AM1131" s="310"/>
      <c r="AN1131" s="310"/>
      <c r="AO1131" s="310"/>
      <c r="AP1131" s="12"/>
      <c r="AQ1131" s="3"/>
      <c r="AR1131" s="3"/>
      <c r="AS1131" s="3"/>
      <c r="AT1131" s="3"/>
      <c r="AU1131" s="3"/>
      <c r="AV1131" s="3"/>
      <c r="AW1131" s="3"/>
      <c r="AX1131" s="3"/>
      <c r="AY1131" s="3"/>
      <c r="AZ1131" s="3"/>
      <c r="BA1131" s="3"/>
      <c r="BB1131" s="3"/>
      <c r="BC1131" s="3"/>
    </row>
    <row r="1132" ht="15.75" customHeight="1">
      <c r="A1132" s="12"/>
      <c r="B1132" s="310"/>
      <c r="C1132" s="310"/>
      <c r="D1132" s="310"/>
      <c r="E1132" s="310"/>
      <c r="F1132" s="310"/>
      <c r="G1132" s="310"/>
      <c r="H1132" s="310"/>
      <c r="I1132" s="310"/>
      <c r="J1132" s="310"/>
      <c r="K1132" s="310"/>
      <c r="L1132" s="310"/>
      <c r="M1132" s="310"/>
      <c r="N1132" s="310"/>
      <c r="O1132" s="310"/>
      <c r="P1132" s="310"/>
      <c r="Q1132" s="310"/>
      <c r="R1132" s="310"/>
      <c r="S1132" s="310"/>
      <c r="T1132" s="310"/>
      <c r="U1132" s="310"/>
      <c r="V1132" s="310"/>
      <c r="W1132" s="310"/>
      <c r="X1132" s="310"/>
      <c r="Y1132" s="310"/>
      <c r="Z1132" s="310"/>
      <c r="AA1132" s="310"/>
      <c r="AB1132" s="310"/>
      <c r="AC1132" s="310"/>
      <c r="AD1132" s="310"/>
      <c r="AE1132" s="310"/>
      <c r="AF1132" s="310"/>
      <c r="AG1132" s="310"/>
      <c r="AH1132" s="310"/>
      <c r="AI1132" s="310"/>
      <c r="AJ1132" s="310"/>
      <c r="AK1132" s="310"/>
      <c r="AL1132" s="310"/>
      <c r="AM1132" s="310"/>
      <c r="AN1132" s="310"/>
      <c r="AO1132" s="310"/>
      <c r="AP1132" s="12"/>
      <c r="AQ1132" s="3"/>
      <c r="AR1132" s="3"/>
      <c r="AS1132" s="3"/>
      <c r="AT1132" s="3"/>
      <c r="AU1132" s="3"/>
      <c r="AV1132" s="3"/>
      <c r="AW1132" s="3"/>
      <c r="AX1132" s="3"/>
      <c r="AY1132" s="3"/>
      <c r="AZ1132" s="3"/>
      <c r="BA1132" s="3"/>
      <c r="BB1132" s="3"/>
      <c r="BC1132" s="3"/>
    </row>
    <row r="1133" ht="15.75" customHeight="1">
      <c r="A1133" s="12"/>
      <c r="B1133" s="310"/>
      <c r="C1133" s="310"/>
      <c r="D1133" s="310"/>
      <c r="E1133" s="310"/>
      <c r="F1133" s="310"/>
      <c r="G1133" s="310"/>
      <c r="H1133" s="310"/>
      <c r="I1133" s="310"/>
      <c r="J1133" s="310"/>
      <c r="K1133" s="310"/>
      <c r="L1133" s="310"/>
      <c r="M1133" s="310"/>
      <c r="N1133" s="310"/>
      <c r="O1133" s="310"/>
      <c r="P1133" s="310"/>
      <c r="Q1133" s="310"/>
      <c r="R1133" s="310"/>
      <c r="S1133" s="310"/>
      <c r="T1133" s="310"/>
      <c r="U1133" s="310"/>
      <c r="V1133" s="310"/>
      <c r="W1133" s="310"/>
      <c r="X1133" s="310"/>
      <c r="Y1133" s="310"/>
      <c r="Z1133" s="310"/>
      <c r="AA1133" s="310"/>
      <c r="AB1133" s="310"/>
      <c r="AC1133" s="310"/>
      <c r="AD1133" s="310"/>
      <c r="AE1133" s="310"/>
      <c r="AF1133" s="310"/>
      <c r="AG1133" s="310"/>
      <c r="AH1133" s="310"/>
      <c r="AI1133" s="310"/>
      <c r="AJ1133" s="310"/>
      <c r="AK1133" s="310"/>
      <c r="AL1133" s="310"/>
      <c r="AM1133" s="310"/>
      <c r="AN1133" s="310"/>
      <c r="AO1133" s="310"/>
      <c r="AP1133" s="12"/>
      <c r="AQ1133" s="3"/>
      <c r="AR1133" s="3"/>
      <c r="AS1133" s="3"/>
      <c r="AT1133" s="3"/>
      <c r="AU1133" s="3"/>
      <c r="AV1133" s="3"/>
      <c r="AW1133" s="3"/>
      <c r="AX1133" s="3"/>
      <c r="AY1133" s="3"/>
      <c r="AZ1133" s="3"/>
      <c r="BA1133" s="3"/>
      <c r="BB1133" s="3"/>
      <c r="BC1133" s="3"/>
    </row>
    <row r="1134" ht="15.75" customHeight="1">
      <c r="A1134" s="12"/>
      <c r="B1134" s="310"/>
      <c r="C1134" s="310"/>
      <c r="D1134" s="310"/>
      <c r="E1134" s="310"/>
      <c r="F1134" s="310"/>
      <c r="G1134" s="310"/>
      <c r="H1134" s="310"/>
      <c r="I1134" s="310"/>
      <c r="J1134" s="310"/>
      <c r="K1134" s="310"/>
      <c r="L1134" s="310"/>
      <c r="M1134" s="310"/>
      <c r="N1134" s="310"/>
      <c r="O1134" s="310"/>
      <c r="P1134" s="310"/>
      <c r="Q1134" s="310"/>
      <c r="R1134" s="310"/>
      <c r="S1134" s="310"/>
      <c r="T1134" s="310"/>
      <c r="U1134" s="310"/>
      <c r="V1134" s="310"/>
      <c r="W1134" s="310"/>
      <c r="X1134" s="310"/>
      <c r="Y1134" s="310"/>
      <c r="Z1134" s="310"/>
      <c r="AA1134" s="310"/>
      <c r="AB1134" s="310"/>
      <c r="AC1134" s="310"/>
      <c r="AD1134" s="310"/>
      <c r="AE1134" s="310"/>
      <c r="AF1134" s="310"/>
      <c r="AG1134" s="310"/>
      <c r="AH1134" s="310"/>
      <c r="AI1134" s="310"/>
      <c r="AJ1134" s="310"/>
      <c r="AK1134" s="310"/>
      <c r="AL1134" s="310"/>
      <c r="AM1134" s="310"/>
      <c r="AN1134" s="310"/>
      <c r="AO1134" s="310"/>
      <c r="AP1134" s="12"/>
      <c r="AQ1134" s="3"/>
      <c r="AR1134" s="3"/>
      <c r="AS1134" s="3"/>
      <c r="AT1134" s="3"/>
      <c r="AU1134" s="3"/>
      <c r="AV1134" s="3"/>
      <c r="AW1134" s="3"/>
      <c r="AX1134" s="3"/>
      <c r="AY1134" s="3"/>
      <c r="AZ1134" s="3"/>
      <c r="BA1134" s="3"/>
      <c r="BB1134" s="3"/>
      <c r="BC1134" s="3"/>
    </row>
    <row r="1135" ht="15.75" customHeight="1">
      <c r="A1135" s="12"/>
      <c r="B1135" s="310"/>
      <c r="C1135" s="310"/>
      <c r="D1135" s="310"/>
      <c r="E1135" s="310"/>
      <c r="F1135" s="310"/>
      <c r="G1135" s="310"/>
      <c r="H1135" s="310"/>
      <c r="I1135" s="310"/>
      <c r="J1135" s="310"/>
      <c r="K1135" s="310"/>
      <c r="L1135" s="310"/>
      <c r="M1135" s="310"/>
      <c r="N1135" s="310"/>
      <c r="O1135" s="310"/>
      <c r="P1135" s="310"/>
      <c r="Q1135" s="310"/>
      <c r="R1135" s="310"/>
      <c r="S1135" s="310"/>
      <c r="T1135" s="310"/>
      <c r="U1135" s="310"/>
      <c r="V1135" s="310"/>
      <c r="W1135" s="310"/>
      <c r="X1135" s="310"/>
      <c r="Y1135" s="310"/>
      <c r="Z1135" s="310"/>
      <c r="AA1135" s="310"/>
      <c r="AB1135" s="310"/>
      <c r="AC1135" s="310"/>
      <c r="AD1135" s="310"/>
      <c r="AE1135" s="310"/>
      <c r="AF1135" s="310"/>
      <c r="AG1135" s="310"/>
      <c r="AH1135" s="310"/>
      <c r="AI1135" s="310"/>
      <c r="AJ1135" s="310"/>
      <c r="AK1135" s="310"/>
      <c r="AL1135" s="310"/>
      <c r="AM1135" s="310"/>
      <c r="AN1135" s="310"/>
      <c r="AO1135" s="310"/>
      <c r="AP1135" s="12"/>
      <c r="AQ1135" s="3"/>
      <c r="AR1135" s="3"/>
      <c r="AS1135" s="3"/>
      <c r="AT1135" s="3"/>
      <c r="AU1135" s="3"/>
      <c r="AV1135" s="3"/>
      <c r="AW1135" s="3"/>
      <c r="AX1135" s="3"/>
      <c r="AY1135" s="3"/>
      <c r="AZ1135" s="3"/>
      <c r="BA1135" s="3"/>
      <c r="BB1135" s="3"/>
      <c r="BC1135" s="3"/>
    </row>
    <row r="1136" ht="15.75" customHeight="1">
      <c r="A1136" s="12"/>
      <c r="B1136" s="310"/>
      <c r="C1136" s="310"/>
      <c r="D1136" s="310"/>
      <c r="E1136" s="310"/>
      <c r="F1136" s="310"/>
      <c r="G1136" s="310"/>
      <c r="H1136" s="310"/>
      <c r="I1136" s="310"/>
      <c r="J1136" s="310"/>
      <c r="K1136" s="310"/>
      <c r="L1136" s="310"/>
      <c r="M1136" s="310"/>
      <c r="N1136" s="310"/>
      <c r="O1136" s="310"/>
      <c r="P1136" s="310"/>
      <c r="Q1136" s="310"/>
      <c r="R1136" s="310"/>
      <c r="S1136" s="310"/>
      <c r="T1136" s="310"/>
      <c r="U1136" s="310"/>
      <c r="V1136" s="310"/>
      <c r="W1136" s="310"/>
      <c r="X1136" s="310"/>
      <c r="Y1136" s="310"/>
      <c r="Z1136" s="310"/>
      <c r="AA1136" s="310"/>
      <c r="AB1136" s="310"/>
      <c r="AC1136" s="310"/>
      <c r="AD1136" s="310"/>
      <c r="AE1136" s="310"/>
      <c r="AF1136" s="310"/>
      <c r="AG1136" s="310"/>
      <c r="AH1136" s="310"/>
      <c r="AI1136" s="310"/>
      <c r="AJ1136" s="310"/>
      <c r="AK1136" s="310"/>
      <c r="AL1136" s="310"/>
      <c r="AM1136" s="310"/>
      <c r="AN1136" s="310"/>
      <c r="AO1136" s="310"/>
      <c r="AP1136" s="12"/>
      <c r="AQ1136" s="3"/>
      <c r="AR1136" s="3"/>
      <c r="AS1136" s="3"/>
      <c r="AT1136" s="3"/>
      <c r="AU1136" s="3"/>
      <c r="AV1136" s="3"/>
      <c r="AW1136" s="3"/>
      <c r="AX1136" s="3"/>
      <c r="AY1136" s="3"/>
      <c r="AZ1136" s="3"/>
      <c r="BA1136" s="3"/>
      <c r="BB1136" s="3"/>
      <c r="BC1136" s="3"/>
    </row>
    <row r="1137" ht="15.75" customHeight="1">
      <c r="A1137" s="12"/>
      <c r="B1137" s="310"/>
      <c r="C1137" s="310"/>
      <c r="D1137" s="310"/>
      <c r="E1137" s="310"/>
      <c r="F1137" s="310"/>
      <c r="G1137" s="310"/>
      <c r="H1137" s="310"/>
      <c r="I1137" s="310"/>
      <c r="J1137" s="310"/>
      <c r="K1137" s="310"/>
      <c r="L1137" s="310"/>
      <c r="M1137" s="310"/>
      <c r="N1137" s="310"/>
      <c r="O1137" s="310"/>
      <c r="P1137" s="310"/>
      <c r="Q1137" s="310"/>
      <c r="R1137" s="310"/>
      <c r="S1137" s="310"/>
      <c r="T1137" s="310"/>
      <c r="U1137" s="310"/>
      <c r="V1137" s="310"/>
      <c r="W1137" s="310"/>
      <c r="X1137" s="310"/>
      <c r="Y1137" s="310"/>
      <c r="Z1137" s="310"/>
      <c r="AA1137" s="310"/>
      <c r="AB1137" s="310"/>
      <c r="AC1137" s="310"/>
      <c r="AD1137" s="310"/>
      <c r="AE1137" s="310"/>
      <c r="AF1137" s="310"/>
      <c r="AG1137" s="310"/>
      <c r="AH1137" s="310"/>
      <c r="AI1137" s="310"/>
      <c r="AJ1137" s="310"/>
      <c r="AK1137" s="310"/>
      <c r="AL1137" s="310"/>
      <c r="AM1137" s="310"/>
      <c r="AN1137" s="310"/>
      <c r="AO1137" s="310"/>
      <c r="AP1137" s="12"/>
      <c r="AQ1137" s="3"/>
      <c r="AR1137" s="3"/>
      <c r="AS1137" s="3"/>
      <c r="AT1137" s="3"/>
      <c r="AU1137" s="3"/>
      <c r="AV1137" s="3"/>
      <c r="AW1137" s="3"/>
      <c r="AX1137" s="3"/>
      <c r="AY1137" s="3"/>
      <c r="AZ1137" s="3"/>
      <c r="BA1137" s="3"/>
      <c r="BB1137" s="3"/>
      <c r="BC1137" s="3"/>
    </row>
    <row r="1138" ht="15.75" customHeight="1">
      <c r="A1138" s="12"/>
      <c r="B1138" s="310"/>
      <c r="C1138" s="310"/>
      <c r="D1138" s="310"/>
      <c r="E1138" s="310"/>
      <c r="F1138" s="310"/>
      <c r="G1138" s="310"/>
      <c r="H1138" s="310"/>
      <c r="I1138" s="310"/>
      <c r="J1138" s="310"/>
      <c r="K1138" s="310"/>
      <c r="L1138" s="310"/>
      <c r="M1138" s="310"/>
      <c r="N1138" s="310"/>
      <c r="O1138" s="310"/>
      <c r="P1138" s="310"/>
      <c r="Q1138" s="310"/>
      <c r="R1138" s="310"/>
      <c r="S1138" s="310"/>
      <c r="T1138" s="310"/>
      <c r="U1138" s="310"/>
      <c r="V1138" s="310"/>
      <c r="W1138" s="310"/>
      <c r="X1138" s="310"/>
      <c r="Y1138" s="310"/>
      <c r="Z1138" s="310"/>
      <c r="AA1138" s="310"/>
      <c r="AB1138" s="310"/>
      <c r="AC1138" s="310"/>
      <c r="AD1138" s="310"/>
      <c r="AE1138" s="310"/>
      <c r="AF1138" s="310"/>
      <c r="AG1138" s="310"/>
      <c r="AH1138" s="310"/>
      <c r="AI1138" s="310"/>
      <c r="AJ1138" s="310"/>
      <c r="AK1138" s="310"/>
      <c r="AL1138" s="310"/>
      <c r="AM1138" s="310"/>
      <c r="AN1138" s="310"/>
      <c r="AO1138" s="310"/>
      <c r="AP1138" s="12"/>
      <c r="AQ1138" s="3"/>
      <c r="AR1138" s="3"/>
      <c r="AS1138" s="3"/>
      <c r="AT1138" s="3"/>
      <c r="AU1138" s="3"/>
      <c r="AV1138" s="3"/>
      <c r="AW1138" s="3"/>
      <c r="AX1138" s="3"/>
      <c r="AY1138" s="3"/>
      <c r="AZ1138" s="3"/>
      <c r="BA1138" s="3"/>
      <c r="BB1138" s="3"/>
      <c r="BC1138" s="3"/>
    </row>
    <row r="1139" ht="15.75" customHeight="1">
      <c r="A1139" s="12"/>
      <c r="B1139" s="310"/>
      <c r="C1139" s="310"/>
      <c r="D1139" s="310"/>
      <c r="E1139" s="310"/>
      <c r="F1139" s="310"/>
      <c r="G1139" s="310"/>
      <c r="H1139" s="310"/>
      <c r="I1139" s="310"/>
      <c r="J1139" s="310"/>
      <c r="K1139" s="310"/>
      <c r="L1139" s="310"/>
      <c r="M1139" s="310"/>
      <c r="N1139" s="310"/>
      <c r="O1139" s="310"/>
      <c r="P1139" s="310"/>
      <c r="Q1139" s="310"/>
      <c r="R1139" s="310"/>
      <c r="S1139" s="310"/>
      <c r="T1139" s="310"/>
      <c r="U1139" s="310"/>
      <c r="V1139" s="310"/>
      <c r="W1139" s="310"/>
      <c r="X1139" s="310"/>
      <c r="Y1139" s="310"/>
      <c r="Z1139" s="310"/>
      <c r="AA1139" s="310"/>
      <c r="AB1139" s="310"/>
      <c r="AC1139" s="310"/>
      <c r="AD1139" s="310"/>
      <c r="AE1139" s="310"/>
      <c r="AF1139" s="310"/>
      <c r="AG1139" s="310"/>
      <c r="AH1139" s="310"/>
      <c r="AI1139" s="310"/>
      <c r="AJ1139" s="310"/>
      <c r="AK1139" s="310"/>
      <c r="AL1139" s="310"/>
      <c r="AM1139" s="310"/>
      <c r="AN1139" s="310"/>
      <c r="AO1139" s="310"/>
      <c r="AP1139" s="12"/>
      <c r="AQ1139" s="3"/>
      <c r="AR1139" s="3"/>
      <c r="AS1139" s="3"/>
      <c r="AT1139" s="3"/>
      <c r="AU1139" s="3"/>
      <c r="AV1139" s="3"/>
      <c r="AW1139" s="3"/>
      <c r="AX1139" s="3"/>
      <c r="AY1139" s="3"/>
      <c r="AZ1139" s="3"/>
      <c r="BA1139" s="3"/>
      <c r="BB1139" s="3"/>
      <c r="BC1139" s="3"/>
    </row>
    <row r="1140" ht="15.75" customHeight="1">
      <c r="A1140" s="12"/>
      <c r="B1140" s="310"/>
      <c r="C1140" s="310"/>
      <c r="D1140" s="310"/>
      <c r="E1140" s="310"/>
      <c r="F1140" s="310"/>
      <c r="G1140" s="310"/>
      <c r="H1140" s="310"/>
      <c r="I1140" s="310"/>
      <c r="J1140" s="310"/>
      <c r="K1140" s="310"/>
      <c r="L1140" s="310"/>
      <c r="M1140" s="310"/>
      <c r="N1140" s="310"/>
      <c r="O1140" s="310"/>
      <c r="P1140" s="310"/>
      <c r="Q1140" s="310"/>
      <c r="R1140" s="310"/>
      <c r="S1140" s="310"/>
      <c r="T1140" s="310"/>
      <c r="U1140" s="310"/>
      <c r="V1140" s="310"/>
      <c r="W1140" s="310"/>
      <c r="X1140" s="310"/>
      <c r="Y1140" s="310"/>
      <c r="Z1140" s="310"/>
      <c r="AA1140" s="310"/>
      <c r="AB1140" s="310"/>
      <c r="AC1140" s="310"/>
      <c r="AD1140" s="310"/>
      <c r="AE1140" s="310"/>
      <c r="AF1140" s="310"/>
      <c r="AG1140" s="310"/>
      <c r="AH1140" s="310"/>
      <c r="AI1140" s="310"/>
      <c r="AJ1140" s="310"/>
      <c r="AK1140" s="310"/>
      <c r="AL1140" s="310"/>
      <c r="AM1140" s="310"/>
      <c r="AN1140" s="310"/>
      <c r="AO1140" s="310"/>
      <c r="AP1140" s="12"/>
      <c r="AQ1140" s="3"/>
      <c r="AR1140" s="3"/>
      <c r="AS1140" s="3"/>
      <c r="AT1140" s="3"/>
      <c r="AU1140" s="3"/>
      <c r="AV1140" s="3"/>
      <c r="AW1140" s="3"/>
      <c r="AX1140" s="3"/>
      <c r="AY1140" s="3"/>
      <c r="AZ1140" s="3"/>
      <c r="BA1140" s="3"/>
      <c r="BB1140" s="3"/>
      <c r="BC1140" s="3"/>
    </row>
    <row r="1141" ht="15.75" customHeight="1">
      <c r="A1141" s="12"/>
      <c r="B1141" s="310"/>
      <c r="C1141" s="310"/>
      <c r="D1141" s="310"/>
      <c r="E1141" s="310"/>
      <c r="F1141" s="310"/>
      <c r="G1141" s="310"/>
      <c r="H1141" s="310"/>
      <c r="I1141" s="310"/>
      <c r="J1141" s="310"/>
      <c r="K1141" s="310"/>
      <c r="L1141" s="310"/>
      <c r="M1141" s="310"/>
      <c r="N1141" s="310"/>
      <c r="O1141" s="310"/>
      <c r="P1141" s="310"/>
      <c r="Q1141" s="310"/>
      <c r="R1141" s="310"/>
      <c r="S1141" s="310"/>
      <c r="T1141" s="310"/>
      <c r="U1141" s="310"/>
      <c r="V1141" s="310"/>
      <c r="W1141" s="310"/>
      <c r="X1141" s="310"/>
      <c r="Y1141" s="310"/>
      <c r="Z1141" s="310"/>
      <c r="AA1141" s="310"/>
      <c r="AB1141" s="310"/>
      <c r="AC1141" s="310"/>
      <c r="AD1141" s="310"/>
      <c r="AE1141" s="310"/>
      <c r="AF1141" s="310"/>
      <c r="AG1141" s="310"/>
      <c r="AH1141" s="310"/>
      <c r="AI1141" s="310"/>
      <c r="AJ1141" s="310"/>
      <c r="AK1141" s="310"/>
      <c r="AL1141" s="310"/>
      <c r="AM1141" s="310"/>
      <c r="AN1141" s="310"/>
      <c r="AO1141" s="310"/>
      <c r="AP1141" s="12"/>
      <c r="AQ1141" s="3"/>
      <c r="AR1141" s="3"/>
      <c r="AS1141" s="3"/>
      <c r="AT1141" s="3"/>
      <c r="AU1141" s="3"/>
      <c r="AV1141" s="3"/>
      <c r="AW1141" s="3"/>
      <c r="AX1141" s="3"/>
      <c r="AY1141" s="3"/>
      <c r="AZ1141" s="3"/>
      <c r="BA1141" s="3"/>
      <c r="BB1141" s="3"/>
      <c r="BC1141" s="3"/>
    </row>
    <row r="1142" ht="15.75" customHeight="1">
      <c r="A1142" s="12"/>
      <c r="B1142" s="310"/>
      <c r="C1142" s="310"/>
      <c r="D1142" s="310"/>
      <c r="E1142" s="310"/>
      <c r="F1142" s="310"/>
      <c r="G1142" s="310"/>
      <c r="H1142" s="310"/>
      <c r="I1142" s="310"/>
      <c r="J1142" s="310"/>
      <c r="K1142" s="310"/>
      <c r="L1142" s="310"/>
      <c r="M1142" s="310"/>
      <c r="N1142" s="310"/>
      <c r="O1142" s="310"/>
      <c r="P1142" s="310"/>
      <c r="Q1142" s="310"/>
      <c r="R1142" s="310"/>
      <c r="S1142" s="310"/>
      <c r="T1142" s="310"/>
      <c r="U1142" s="310"/>
      <c r="V1142" s="310"/>
      <c r="W1142" s="310"/>
      <c r="X1142" s="310"/>
      <c r="Y1142" s="310"/>
      <c r="Z1142" s="310"/>
      <c r="AA1142" s="310"/>
      <c r="AB1142" s="310"/>
      <c r="AC1142" s="310"/>
      <c r="AD1142" s="310"/>
      <c r="AE1142" s="310"/>
      <c r="AF1142" s="310"/>
      <c r="AG1142" s="310"/>
      <c r="AH1142" s="310"/>
      <c r="AI1142" s="310"/>
      <c r="AJ1142" s="310"/>
      <c r="AK1142" s="310"/>
      <c r="AL1142" s="310"/>
      <c r="AM1142" s="310"/>
      <c r="AN1142" s="310"/>
      <c r="AO1142" s="310"/>
      <c r="AP1142" s="12"/>
      <c r="AQ1142" s="3"/>
      <c r="AR1142" s="3"/>
      <c r="AS1142" s="3"/>
      <c r="AT1142" s="3"/>
      <c r="AU1142" s="3"/>
      <c r="AV1142" s="3"/>
      <c r="AW1142" s="3"/>
      <c r="AX1142" s="3"/>
      <c r="AY1142" s="3"/>
      <c r="AZ1142" s="3"/>
      <c r="BA1142" s="3"/>
      <c r="BB1142" s="3"/>
      <c r="BC1142" s="3"/>
    </row>
    <row r="1143" ht="15.75" customHeight="1">
      <c r="A1143" s="12"/>
      <c r="B1143" s="310"/>
      <c r="C1143" s="310"/>
      <c r="D1143" s="310"/>
      <c r="E1143" s="310"/>
      <c r="F1143" s="310"/>
      <c r="G1143" s="310"/>
      <c r="H1143" s="310"/>
      <c r="I1143" s="310"/>
      <c r="J1143" s="310"/>
      <c r="K1143" s="310"/>
      <c r="L1143" s="310"/>
      <c r="M1143" s="310"/>
      <c r="N1143" s="310"/>
      <c r="O1143" s="310"/>
      <c r="P1143" s="310"/>
      <c r="Q1143" s="310"/>
      <c r="R1143" s="310"/>
      <c r="S1143" s="310"/>
      <c r="T1143" s="310"/>
      <c r="U1143" s="310"/>
      <c r="V1143" s="310"/>
      <c r="W1143" s="310"/>
      <c r="X1143" s="310"/>
      <c r="Y1143" s="310"/>
      <c r="Z1143" s="310"/>
      <c r="AA1143" s="310"/>
      <c r="AB1143" s="310"/>
      <c r="AC1143" s="310"/>
      <c r="AD1143" s="310"/>
      <c r="AE1143" s="310"/>
      <c r="AF1143" s="310"/>
      <c r="AG1143" s="310"/>
      <c r="AH1143" s="310"/>
      <c r="AI1143" s="310"/>
      <c r="AJ1143" s="310"/>
      <c r="AK1143" s="310"/>
      <c r="AL1143" s="310"/>
      <c r="AM1143" s="310"/>
      <c r="AN1143" s="310"/>
      <c r="AO1143" s="310"/>
      <c r="AP1143" s="12"/>
      <c r="AQ1143" s="3"/>
      <c r="AR1143" s="3"/>
      <c r="AS1143" s="3"/>
      <c r="AT1143" s="3"/>
      <c r="AU1143" s="3"/>
      <c r="AV1143" s="3"/>
      <c r="AW1143" s="3"/>
      <c r="AX1143" s="3"/>
      <c r="AY1143" s="3"/>
      <c r="AZ1143" s="3"/>
      <c r="BA1143" s="3"/>
      <c r="BB1143" s="3"/>
      <c r="BC1143" s="3"/>
    </row>
    <row r="1144" ht="15.75" customHeight="1">
      <c r="A1144" s="12"/>
      <c r="B1144" s="310"/>
      <c r="C1144" s="310"/>
      <c r="D1144" s="310"/>
      <c r="E1144" s="310"/>
      <c r="F1144" s="310"/>
      <c r="G1144" s="310"/>
      <c r="H1144" s="310"/>
      <c r="I1144" s="310"/>
      <c r="J1144" s="310"/>
      <c r="K1144" s="310"/>
      <c r="L1144" s="310"/>
      <c r="M1144" s="310"/>
      <c r="N1144" s="310"/>
      <c r="O1144" s="310"/>
      <c r="P1144" s="310"/>
      <c r="Q1144" s="310"/>
      <c r="R1144" s="310"/>
      <c r="S1144" s="310"/>
      <c r="T1144" s="310"/>
      <c r="U1144" s="310"/>
      <c r="V1144" s="310"/>
      <c r="W1144" s="310"/>
      <c r="X1144" s="310"/>
      <c r="Y1144" s="310"/>
      <c r="Z1144" s="310"/>
      <c r="AA1144" s="310"/>
      <c r="AB1144" s="310"/>
      <c r="AC1144" s="310"/>
      <c r="AD1144" s="310"/>
      <c r="AE1144" s="310"/>
      <c r="AF1144" s="310"/>
      <c r="AG1144" s="310"/>
      <c r="AH1144" s="310"/>
      <c r="AI1144" s="310"/>
      <c r="AJ1144" s="310"/>
      <c r="AK1144" s="310"/>
      <c r="AL1144" s="310"/>
      <c r="AM1144" s="310"/>
      <c r="AN1144" s="310"/>
      <c r="AO1144" s="310"/>
      <c r="AP1144" s="12"/>
      <c r="AQ1144" s="3"/>
      <c r="AR1144" s="3"/>
      <c r="AS1144" s="3"/>
      <c r="AT1144" s="3"/>
      <c r="AU1144" s="3"/>
      <c r="AV1144" s="3"/>
      <c r="AW1144" s="3"/>
      <c r="AX1144" s="3"/>
      <c r="AY1144" s="3"/>
      <c r="AZ1144" s="3"/>
      <c r="BA1144" s="3"/>
      <c r="BB1144" s="3"/>
      <c r="BC1144" s="3"/>
    </row>
    <row r="1145" ht="15.75" customHeight="1">
      <c r="A1145" s="12"/>
      <c r="B1145" s="310"/>
      <c r="C1145" s="310"/>
      <c r="D1145" s="310"/>
      <c r="E1145" s="310"/>
      <c r="F1145" s="310"/>
      <c r="G1145" s="310"/>
      <c r="H1145" s="310"/>
      <c r="I1145" s="310"/>
      <c r="J1145" s="310"/>
      <c r="K1145" s="310"/>
      <c r="L1145" s="310"/>
      <c r="M1145" s="310"/>
      <c r="N1145" s="310"/>
      <c r="O1145" s="310"/>
      <c r="P1145" s="310"/>
      <c r="Q1145" s="310"/>
      <c r="R1145" s="310"/>
      <c r="S1145" s="310"/>
      <c r="T1145" s="310"/>
      <c r="U1145" s="310"/>
      <c r="V1145" s="310"/>
      <c r="W1145" s="310"/>
      <c r="X1145" s="310"/>
      <c r="Y1145" s="310"/>
      <c r="Z1145" s="310"/>
      <c r="AA1145" s="310"/>
      <c r="AB1145" s="310"/>
      <c r="AC1145" s="310"/>
      <c r="AD1145" s="310"/>
      <c r="AE1145" s="310"/>
      <c r="AF1145" s="310"/>
      <c r="AG1145" s="310"/>
      <c r="AH1145" s="310"/>
      <c r="AI1145" s="310"/>
      <c r="AJ1145" s="310"/>
      <c r="AK1145" s="310"/>
      <c r="AL1145" s="310"/>
      <c r="AM1145" s="310"/>
      <c r="AN1145" s="310"/>
      <c r="AO1145" s="310"/>
      <c r="AP1145" s="12"/>
      <c r="AQ1145" s="3"/>
      <c r="AR1145" s="3"/>
      <c r="AS1145" s="3"/>
      <c r="AT1145" s="3"/>
      <c r="AU1145" s="3"/>
      <c r="AV1145" s="3"/>
      <c r="AW1145" s="3"/>
      <c r="AX1145" s="3"/>
      <c r="AY1145" s="3"/>
      <c r="AZ1145" s="3"/>
      <c r="BA1145" s="3"/>
      <c r="BB1145" s="3"/>
      <c r="BC1145" s="3"/>
    </row>
    <row r="1146" ht="15.75" customHeight="1">
      <c r="A1146" s="12"/>
      <c r="B1146" s="310"/>
      <c r="C1146" s="310"/>
      <c r="D1146" s="310"/>
      <c r="E1146" s="310"/>
      <c r="F1146" s="310"/>
      <c r="G1146" s="310"/>
      <c r="H1146" s="310"/>
      <c r="I1146" s="310"/>
      <c r="J1146" s="310"/>
      <c r="K1146" s="310"/>
      <c r="L1146" s="310"/>
      <c r="M1146" s="310"/>
      <c r="N1146" s="310"/>
      <c r="O1146" s="310"/>
      <c r="P1146" s="310"/>
      <c r="Q1146" s="310"/>
      <c r="R1146" s="310"/>
      <c r="S1146" s="310"/>
      <c r="T1146" s="310"/>
      <c r="U1146" s="310"/>
      <c r="V1146" s="310"/>
      <c r="W1146" s="310"/>
      <c r="X1146" s="310"/>
      <c r="Y1146" s="310"/>
      <c r="Z1146" s="310"/>
      <c r="AA1146" s="310"/>
      <c r="AB1146" s="310"/>
      <c r="AC1146" s="310"/>
      <c r="AD1146" s="310"/>
      <c r="AE1146" s="310"/>
      <c r="AF1146" s="310"/>
      <c r="AG1146" s="310"/>
      <c r="AH1146" s="310"/>
      <c r="AI1146" s="310"/>
      <c r="AJ1146" s="310"/>
      <c r="AK1146" s="310"/>
      <c r="AL1146" s="310"/>
      <c r="AM1146" s="310"/>
      <c r="AN1146" s="310"/>
      <c r="AO1146" s="310"/>
      <c r="AP1146" s="12"/>
      <c r="AQ1146" s="3"/>
      <c r="AR1146" s="3"/>
      <c r="AS1146" s="3"/>
      <c r="AT1146" s="3"/>
      <c r="AU1146" s="3"/>
      <c r="AV1146" s="3"/>
      <c r="AW1146" s="3"/>
      <c r="AX1146" s="3"/>
      <c r="AY1146" s="3"/>
      <c r="AZ1146" s="3"/>
      <c r="BA1146" s="3"/>
      <c r="BB1146" s="3"/>
      <c r="BC1146" s="3"/>
    </row>
    <row r="1147" ht="15.75" customHeight="1">
      <c r="A1147" s="12"/>
      <c r="B1147" s="310"/>
      <c r="C1147" s="310"/>
      <c r="D1147" s="310"/>
      <c r="E1147" s="310"/>
      <c r="F1147" s="310"/>
      <c r="G1147" s="310"/>
      <c r="H1147" s="310"/>
      <c r="I1147" s="310"/>
      <c r="J1147" s="310"/>
      <c r="K1147" s="310"/>
      <c r="L1147" s="310"/>
      <c r="M1147" s="310"/>
      <c r="N1147" s="310"/>
      <c r="O1147" s="310"/>
      <c r="P1147" s="310"/>
      <c r="Q1147" s="310"/>
      <c r="R1147" s="310"/>
      <c r="S1147" s="310"/>
      <c r="T1147" s="310"/>
      <c r="U1147" s="310"/>
      <c r="V1147" s="310"/>
      <c r="W1147" s="310"/>
      <c r="X1147" s="310"/>
      <c r="Y1147" s="310"/>
      <c r="Z1147" s="310"/>
      <c r="AA1147" s="310"/>
      <c r="AB1147" s="310"/>
      <c r="AC1147" s="310"/>
      <c r="AD1147" s="310"/>
      <c r="AE1147" s="310"/>
      <c r="AF1147" s="310"/>
      <c r="AG1147" s="310"/>
      <c r="AH1147" s="310"/>
      <c r="AI1147" s="310"/>
      <c r="AJ1147" s="310"/>
      <c r="AK1147" s="310"/>
      <c r="AL1147" s="310"/>
      <c r="AM1147" s="310"/>
      <c r="AN1147" s="310"/>
      <c r="AO1147" s="310"/>
      <c r="AP1147" s="12"/>
      <c r="AQ1147" s="3"/>
      <c r="AR1147" s="3"/>
      <c r="AS1147" s="3"/>
      <c r="AT1147" s="3"/>
      <c r="AU1147" s="3"/>
      <c r="AV1147" s="3"/>
      <c r="AW1147" s="3"/>
      <c r="AX1147" s="3"/>
      <c r="AY1147" s="3"/>
      <c r="AZ1147" s="3"/>
      <c r="BA1147" s="3"/>
      <c r="BB1147" s="3"/>
      <c r="BC1147" s="3"/>
    </row>
    <row r="1148" ht="15.75" customHeight="1">
      <c r="A1148" s="12"/>
      <c r="B1148" s="310"/>
      <c r="C1148" s="310"/>
      <c r="D1148" s="310"/>
      <c r="E1148" s="310"/>
      <c r="F1148" s="310"/>
      <c r="G1148" s="310"/>
      <c r="H1148" s="310"/>
      <c r="I1148" s="310"/>
      <c r="J1148" s="310"/>
      <c r="K1148" s="310"/>
      <c r="L1148" s="310"/>
      <c r="M1148" s="310"/>
      <c r="N1148" s="310"/>
      <c r="O1148" s="310"/>
      <c r="P1148" s="310"/>
      <c r="Q1148" s="310"/>
      <c r="R1148" s="310"/>
      <c r="S1148" s="310"/>
      <c r="T1148" s="310"/>
      <c r="U1148" s="310"/>
      <c r="V1148" s="310"/>
      <c r="W1148" s="310"/>
      <c r="X1148" s="310"/>
      <c r="Y1148" s="310"/>
      <c r="Z1148" s="310"/>
      <c r="AA1148" s="310"/>
      <c r="AB1148" s="310"/>
      <c r="AC1148" s="310"/>
      <c r="AD1148" s="310"/>
      <c r="AE1148" s="310"/>
      <c r="AF1148" s="310"/>
      <c r="AG1148" s="310"/>
      <c r="AH1148" s="310"/>
      <c r="AI1148" s="310"/>
      <c r="AJ1148" s="310"/>
      <c r="AK1148" s="310"/>
      <c r="AL1148" s="310"/>
      <c r="AM1148" s="310"/>
      <c r="AN1148" s="310"/>
      <c r="AO1148" s="310"/>
      <c r="AP1148" s="12"/>
      <c r="AQ1148" s="3"/>
      <c r="AR1148" s="3"/>
      <c r="AS1148" s="3"/>
      <c r="AT1148" s="3"/>
      <c r="AU1148" s="3"/>
      <c r="AV1148" s="3"/>
      <c r="AW1148" s="3"/>
      <c r="AX1148" s="3"/>
      <c r="AY1148" s="3"/>
      <c r="AZ1148" s="3"/>
      <c r="BA1148" s="3"/>
      <c r="BB1148" s="3"/>
      <c r="BC1148" s="3"/>
    </row>
    <row r="1149" ht="15.75" customHeight="1">
      <c r="A1149" s="12"/>
      <c r="B1149" s="310"/>
      <c r="C1149" s="310"/>
      <c r="D1149" s="310"/>
      <c r="E1149" s="310"/>
      <c r="F1149" s="310"/>
      <c r="G1149" s="310"/>
      <c r="H1149" s="310"/>
      <c r="I1149" s="310"/>
      <c r="J1149" s="310"/>
      <c r="K1149" s="310"/>
      <c r="L1149" s="310"/>
      <c r="M1149" s="310"/>
      <c r="N1149" s="310"/>
      <c r="O1149" s="310"/>
      <c r="P1149" s="310"/>
      <c r="Q1149" s="310"/>
      <c r="R1149" s="310"/>
      <c r="S1149" s="310"/>
      <c r="T1149" s="310"/>
      <c r="U1149" s="310"/>
      <c r="V1149" s="310"/>
      <c r="W1149" s="310"/>
      <c r="X1149" s="310"/>
      <c r="Y1149" s="310"/>
      <c r="Z1149" s="310"/>
      <c r="AA1149" s="310"/>
      <c r="AB1149" s="310"/>
      <c r="AC1149" s="310"/>
      <c r="AD1149" s="310"/>
      <c r="AE1149" s="310"/>
      <c r="AF1149" s="310"/>
      <c r="AG1149" s="310"/>
      <c r="AH1149" s="310"/>
      <c r="AI1149" s="310"/>
      <c r="AJ1149" s="310"/>
      <c r="AK1149" s="310"/>
      <c r="AL1149" s="310"/>
      <c r="AM1149" s="310"/>
      <c r="AN1149" s="310"/>
      <c r="AO1149" s="310"/>
      <c r="AP1149" s="12"/>
      <c r="AQ1149" s="3"/>
      <c r="AR1149" s="3"/>
      <c r="AS1149" s="3"/>
      <c r="AT1149" s="3"/>
      <c r="AU1149" s="3"/>
      <c r="AV1149" s="3"/>
      <c r="AW1149" s="3"/>
      <c r="AX1149" s="3"/>
      <c r="AY1149" s="3"/>
      <c r="AZ1149" s="3"/>
      <c r="BA1149" s="3"/>
      <c r="BB1149" s="3"/>
      <c r="BC1149" s="3"/>
    </row>
    <row r="1150" ht="15.75" customHeight="1">
      <c r="A1150" s="12"/>
      <c r="B1150" s="310"/>
      <c r="C1150" s="310"/>
      <c r="D1150" s="310"/>
      <c r="E1150" s="310"/>
      <c r="F1150" s="310"/>
      <c r="G1150" s="310"/>
      <c r="H1150" s="310"/>
      <c r="I1150" s="310"/>
      <c r="J1150" s="310"/>
      <c r="K1150" s="310"/>
      <c r="L1150" s="310"/>
      <c r="M1150" s="310"/>
      <c r="N1150" s="310"/>
      <c r="O1150" s="310"/>
      <c r="P1150" s="310"/>
      <c r="Q1150" s="310"/>
      <c r="R1150" s="310"/>
      <c r="S1150" s="310"/>
      <c r="T1150" s="310"/>
      <c r="U1150" s="310"/>
      <c r="V1150" s="310"/>
      <c r="W1150" s="310"/>
      <c r="X1150" s="310"/>
      <c r="Y1150" s="310"/>
      <c r="Z1150" s="310"/>
      <c r="AA1150" s="310"/>
      <c r="AB1150" s="310"/>
      <c r="AC1150" s="310"/>
      <c r="AD1150" s="310"/>
      <c r="AE1150" s="310"/>
      <c r="AF1150" s="310"/>
      <c r="AG1150" s="310"/>
      <c r="AH1150" s="310"/>
      <c r="AI1150" s="310"/>
      <c r="AJ1150" s="310"/>
      <c r="AK1150" s="310"/>
      <c r="AL1150" s="310"/>
      <c r="AM1150" s="310"/>
      <c r="AN1150" s="310"/>
      <c r="AO1150" s="310"/>
      <c r="AP1150" s="12"/>
      <c r="AQ1150" s="3"/>
      <c r="AR1150" s="3"/>
      <c r="AS1150" s="3"/>
      <c r="AT1150" s="3"/>
      <c r="AU1150" s="3"/>
      <c r="AV1150" s="3"/>
      <c r="AW1150" s="3"/>
      <c r="AX1150" s="3"/>
      <c r="AY1150" s="3"/>
      <c r="AZ1150" s="3"/>
      <c r="BA1150" s="3"/>
      <c r="BB1150" s="3"/>
      <c r="BC1150" s="3"/>
    </row>
    <row r="1151" ht="15.75" customHeight="1">
      <c r="A1151" s="12"/>
      <c r="B1151" s="310"/>
      <c r="C1151" s="310"/>
      <c r="D1151" s="310"/>
      <c r="E1151" s="310"/>
      <c r="F1151" s="310"/>
      <c r="G1151" s="310"/>
      <c r="H1151" s="310"/>
      <c r="I1151" s="310"/>
      <c r="J1151" s="310"/>
      <c r="K1151" s="310"/>
      <c r="L1151" s="310"/>
      <c r="M1151" s="310"/>
      <c r="N1151" s="310"/>
      <c r="O1151" s="310"/>
      <c r="P1151" s="310"/>
      <c r="Q1151" s="310"/>
      <c r="R1151" s="310"/>
      <c r="S1151" s="310"/>
      <c r="T1151" s="310"/>
      <c r="U1151" s="310"/>
      <c r="V1151" s="310"/>
      <c r="W1151" s="310"/>
      <c r="X1151" s="310"/>
      <c r="Y1151" s="310"/>
      <c r="Z1151" s="310"/>
      <c r="AA1151" s="310"/>
      <c r="AB1151" s="310"/>
      <c r="AC1151" s="310"/>
      <c r="AD1151" s="310"/>
      <c r="AE1151" s="310"/>
      <c r="AF1151" s="310"/>
      <c r="AG1151" s="310"/>
      <c r="AH1151" s="310"/>
      <c r="AI1151" s="310"/>
      <c r="AJ1151" s="310"/>
      <c r="AK1151" s="310"/>
      <c r="AL1151" s="310"/>
      <c r="AM1151" s="310"/>
      <c r="AN1151" s="310"/>
      <c r="AO1151" s="310"/>
      <c r="AP1151" s="12"/>
      <c r="AQ1151" s="3"/>
      <c r="AR1151" s="3"/>
      <c r="AS1151" s="3"/>
      <c r="AT1151" s="3"/>
      <c r="AU1151" s="3"/>
      <c r="AV1151" s="3"/>
      <c r="AW1151" s="3"/>
      <c r="AX1151" s="3"/>
      <c r="AY1151" s="3"/>
      <c r="AZ1151" s="3"/>
      <c r="BA1151" s="3"/>
      <c r="BB1151" s="3"/>
      <c r="BC1151" s="3"/>
    </row>
    <row r="1152" ht="15.75" customHeight="1">
      <c r="A1152" s="12"/>
      <c r="B1152" s="310"/>
      <c r="C1152" s="310"/>
      <c r="D1152" s="310"/>
      <c r="E1152" s="310"/>
      <c r="F1152" s="310"/>
      <c r="G1152" s="310"/>
      <c r="H1152" s="310"/>
      <c r="I1152" s="310"/>
      <c r="J1152" s="310"/>
      <c r="K1152" s="310"/>
      <c r="L1152" s="310"/>
      <c r="M1152" s="310"/>
      <c r="N1152" s="310"/>
      <c r="O1152" s="310"/>
      <c r="P1152" s="310"/>
      <c r="Q1152" s="310"/>
      <c r="R1152" s="310"/>
      <c r="S1152" s="310"/>
      <c r="T1152" s="310"/>
      <c r="U1152" s="310"/>
      <c r="V1152" s="310"/>
      <c r="W1152" s="310"/>
      <c r="X1152" s="310"/>
      <c r="Y1152" s="310"/>
      <c r="Z1152" s="310"/>
      <c r="AA1152" s="310"/>
      <c r="AB1152" s="310"/>
      <c r="AC1152" s="310"/>
      <c r="AD1152" s="310"/>
      <c r="AE1152" s="310"/>
      <c r="AF1152" s="310"/>
      <c r="AG1152" s="310"/>
      <c r="AH1152" s="310"/>
      <c r="AI1152" s="310"/>
      <c r="AJ1152" s="310"/>
      <c r="AK1152" s="310"/>
      <c r="AL1152" s="310"/>
      <c r="AM1152" s="310"/>
      <c r="AN1152" s="310"/>
      <c r="AO1152" s="310"/>
      <c r="AP1152" s="12"/>
      <c r="AQ1152" s="3"/>
      <c r="AR1152" s="3"/>
      <c r="AS1152" s="3"/>
      <c r="AT1152" s="3"/>
      <c r="AU1152" s="3"/>
      <c r="AV1152" s="3"/>
      <c r="AW1152" s="3"/>
      <c r="AX1152" s="3"/>
      <c r="AY1152" s="3"/>
      <c r="AZ1152" s="3"/>
      <c r="BA1152" s="3"/>
      <c r="BB1152" s="3"/>
      <c r="BC1152" s="3"/>
    </row>
    <row r="1153" ht="15.75" customHeight="1">
      <c r="A1153" s="12"/>
      <c r="B1153" s="310"/>
      <c r="C1153" s="310"/>
      <c r="D1153" s="310"/>
      <c r="E1153" s="310"/>
      <c r="F1153" s="310"/>
      <c r="G1153" s="310"/>
      <c r="H1153" s="310"/>
      <c r="I1153" s="310"/>
      <c r="J1153" s="310"/>
      <c r="K1153" s="310"/>
      <c r="L1153" s="310"/>
      <c r="M1153" s="310"/>
      <c r="N1153" s="310"/>
      <c r="O1153" s="310"/>
      <c r="P1153" s="310"/>
      <c r="Q1153" s="310"/>
      <c r="R1153" s="310"/>
      <c r="S1153" s="310"/>
      <c r="T1153" s="310"/>
      <c r="U1153" s="310"/>
      <c r="V1153" s="310"/>
      <c r="W1153" s="310"/>
      <c r="X1153" s="310"/>
      <c r="Y1153" s="310"/>
      <c r="Z1153" s="310"/>
      <c r="AA1153" s="310"/>
      <c r="AB1153" s="310"/>
      <c r="AC1153" s="310"/>
      <c r="AD1153" s="310"/>
      <c r="AE1153" s="310"/>
      <c r="AF1153" s="310"/>
      <c r="AG1153" s="310"/>
      <c r="AH1153" s="310"/>
      <c r="AI1153" s="310"/>
      <c r="AJ1153" s="310"/>
      <c r="AK1153" s="310"/>
      <c r="AL1153" s="310"/>
      <c r="AM1153" s="310"/>
      <c r="AN1153" s="310"/>
      <c r="AO1153" s="310"/>
      <c r="AP1153" s="12"/>
      <c r="AQ1153" s="3"/>
      <c r="AR1153" s="3"/>
      <c r="AS1153" s="3"/>
      <c r="AT1153" s="3"/>
      <c r="AU1153" s="3"/>
      <c r="AV1153" s="3"/>
      <c r="AW1153" s="3"/>
      <c r="AX1153" s="3"/>
      <c r="AY1153" s="3"/>
      <c r="AZ1153" s="3"/>
      <c r="BA1153" s="3"/>
      <c r="BB1153" s="3"/>
      <c r="BC1153" s="3"/>
    </row>
    <row r="1154" ht="15.75" customHeight="1">
      <c r="A1154" s="12"/>
      <c r="B1154" s="310"/>
      <c r="C1154" s="310"/>
      <c r="D1154" s="310"/>
      <c r="E1154" s="310"/>
      <c r="F1154" s="310"/>
      <c r="G1154" s="310"/>
      <c r="H1154" s="310"/>
      <c r="I1154" s="310"/>
      <c r="J1154" s="310"/>
      <c r="K1154" s="310"/>
      <c r="L1154" s="310"/>
      <c r="M1154" s="310"/>
      <c r="N1154" s="310"/>
      <c r="O1154" s="310"/>
      <c r="P1154" s="310"/>
      <c r="Q1154" s="310"/>
      <c r="R1154" s="310"/>
      <c r="S1154" s="310"/>
      <c r="T1154" s="310"/>
      <c r="U1154" s="310"/>
      <c r="V1154" s="310"/>
      <c r="W1154" s="310"/>
      <c r="X1154" s="310"/>
      <c r="Y1154" s="310"/>
      <c r="Z1154" s="310"/>
      <c r="AA1154" s="310"/>
      <c r="AB1154" s="310"/>
      <c r="AC1154" s="310"/>
      <c r="AD1154" s="310"/>
      <c r="AE1154" s="310"/>
      <c r="AF1154" s="310"/>
      <c r="AG1154" s="310"/>
      <c r="AH1154" s="310"/>
      <c r="AI1154" s="310"/>
      <c r="AJ1154" s="310"/>
      <c r="AK1154" s="310"/>
      <c r="AL1154" s="310"/>
      <c r="AM1154" s="310"/>
      <c r="AN1154" s="310"/>
      <c r="AO1154" s="310"/>
      <c r="AP1154" s="12"/>
      <c r="AQ1154" s="3"/>
      <c r="AR1154" s="3"/>
      <c r="AS1154" s="3"/>
      <c r="AT1154" s="3"/>
      <c r="AU1154" s="3"/>
      <c r="AV1154" s="3"/>
      <c r="AW1154" s="3"/>
      <c r="AX1154" s="3"/>
      <c r="AY1154" s="3"/>
      <c r="AZ1154" s="3"/>
      <c r="BA1154" s="3"/>
      <c r="BB1154" s="3"/>
      <c r="BC1154" s="3"/>
    </row>
    <row r="1155" ht="15.75" customHeight="1">
      <c r="A1155" s="12"/>
      <c r="B1155" s="310"/>
      <c r="C1155" s="310"/>
      <c r="D1155" s="310"/>
      <c r="E1155" s="310"/>
      <c r="F1155" s="310"/>
      <c r="G1155" s="310"/>
      <c r="H1155" s="310"/>
      <c r="I1155" s="310"/>
      <c r="J1155" s="310"/>
      <c r="K1155" s="310"/>
      <c r="L1155" s="310"/>
      <c r="M1155" s="310"/>
      <c r="N1155" s="310"/>
      <c r="O1155" s="310"/>
      <c r="P1155" s="310"/>
      <c r="Q1155" s="310"/>
      <c r="R1155" s="310"/>
      <c r="S1155" s="310"/>
      <c r="T1155" s="310"/>
      <c r="U1155" s="310"/>
      <c r="V1155" s="310"/>
      <c r="W1155" s="310"/>
      <c r="X1155" s="310"/>
      <c r="Y1155" s="310"/>
      <c r="Z1155" s="310"/>
      <c r="AA1155" s="310"/>
      <c r="AB1155" s="310"/>
      <c r="AC1155" s="310"/>
      <c r="AD1155" s="310"/>
      <c r="AE1155" s="310"/>
      <c r="AF1155" s="310"/>
      <c r="AG1155" s="310"/>
      <c r="AH1155" s="310"/>
      <c r="AI1155" s="310"/>
      <c r="AJ1155" s="310"/>
      <c r="AK1155" s="310"/>
      <c r="AL1155" s="310"/>
      <c r="AM1155" s="310"/>
      <c r="AN1155" s="310"/>
      <c r="AO1155" s="310"/>
      <c r="AP1155" s="12"/>
      <c r="AQ1155" s="3"/>
      <c r="AR1155" s="3"/>
      <c r="AS1155" s="3"/>
      <c r="AT1155" s="3"/>
      <c r="AU1155" s="3"/>
      <c r="AV1155" s="3"/>
      <c r="AW1155" s="3"/>
      <c r="AX1155" s="3"/>
      <c r="AY1155" s="3"/>
      <c r="AZ1155" s="3"/>
      <c r="BA1155" s="3"/>
      <c r="BB1155" s="3"/>
      <c r="BC1155" s="3"/>
    </row>
    <row r="1156" ht="15.75" customHeight="1">
      <c r="A1156" s="12"/>
      <c r="B1156" s="310"/>
      <c r="C1156" s="310"/>
      <c r="D1156" s="310"/>
      <c r="E1156" s="310"/>
      <c r="F1156" s="310"/>
      <c r="G1156" s="310"/>
      <c r="H1156" s="310"/>
      <c r="I1156" s="310"/>
      <c r="J1156" s="310"/>
      <c r="K1156" s="310"/>
      <c r="L1156" s="310"/>
      <c r="M1156" s="310"/>
      <c r="N1156" s="310"/>
      <c r="O1156" s="310"/>
      <c r="P1156" s="310"/>
      <c r="Q1156" s="310"/>
      <c r="R1156" s="310"/>
      <c r="S1156" s="310"/>
      <c r="T1156" s="310"/>
      <c r="U1156" s="310"/>
      <c r="V1156" s="310"/>
      <c r="W1156" s="310"/>
      <c r="X1156" s="310"/>
      <c r="Y1156" s="310"/>
      <c r="Z1156" s="310"/>
      <c r="AA1156" s="310"/>
      <c r="AB1156" s="310"/>
      <c r="AC1156" s="310"/>
      <c r="AD1156" s="310"/>
      <c r="AE1156" s="310"/>
      <c r="AF1156" s="310"/>
      <c r="AG1156" s="310"/>
      <c r="AH1156" s="310"/>
      <c r="AI1156" s="310"/>
      <c r="AJ1156" s="310"/>
      <c r="AK1156" s="310"/>
      <c r="AL1156" s="310"/>
      <c r="AM1156" s="310"/>
      <c r="AN1156" s="310"/>
      <c r="AO1156" s="310"/>
      <c r="AP1156" s="12"/>
      <c r="AQ1156" s="3"/>
      <c r="AR1156" s="3"/>
      <c r="AS1156" s="3"/>
      <c r="AT1156" s="3"/>
      <c r="AU1156" s="3"/>
      <c r="AV1156" s="3"/>
      <c r="AW1156" s="3"/>
      <c r="AX1156" s="3"/>
      <c r="AY1156" s="3"/>
      <c r="AZ1156" s="3"/>
      <c r="BA1156" s="3"/>
      <c r="BB1156" s="3"/>
      <c r="BC1156" s="3"/>
    </row>
    <row r="1157" ht="15.75" customHeight="1">
      <c r="A1157" s="12"/>
      <c r="B1157" s="310"/>
      <c r="C1157" s="310"/>
      <c r="D1157" s="310"/>
      <c r="E1157" s="310"/>
      <c r="F1157" s="310"/>
      <c r="G1157" s="310"/>
      <c r="H1157" s="310"/>
      <c r="I1157" s="310"/>
      <c r="J1157" s="310"/>
      <c r="K1157" s="310"/>
      <c r="L1157" s="310"/>
      <c r="M1157" s="310"/>
      <c r="N1157" s="310"/>
      <c r="O1157" s="310"/>
      <c r="P1157" s="310"/>
      <c r="Q1157" s="310"/>
      <c r="R1157" s="310"/>
      <c r="S1157" s="310"/>
      <c r="T1157" s="310"/>
      <c r="U1157" s="310"/>
      <c r="V1157" s="310"/>
      <c r="W1157" s="310"/>
      <c r="X1157" s="310"/>
      <c r="Y1157" s="310"/>
      <c r="Z1157" s="310"/>
      <c r="AA1157" s="310"/>
      <c r="AB1157" s="310"/>
      <c r="AC1157" s="310"/>
      <c r="AD1157" s="310"/>
      <c r="AE1157" s="310"/>
      <c r="AF1157" s="310"/>
      <c r="AG1157" s="310"/>
      <c r="AH1157" s="310"/>
      <c r="AI1157" s="310"/>
      <c r="AJ1157" s="310"/>
      <c r="AK1157" s="310"/>
      <c r="AL1157" s="310"/>
      <c r="AM1157" s="310"/>
      <c r="AN1157" s="310"/>
      <c r="AO1157" s="310"/>
      <c r="AP1157" s="12"/>
      <c r="AQ1157" s="3"/>
      <c r="AR1157" s="3"/>
      <c r="AS1157" s="3"/>
      <c r="AT1157" s="3"/>
      <c r="AU1157" s="3"/>
      <c r="AV1157" s="3"/>
      <c r="AW1157" s="3"/>
      <c r="AX1157" s="3"/>
      <c r="AY1157" s="3"/>
      <c r="AZ1157" s="3"/>
      <c r="BA1157" s="3"/>
      <c r="BB1157" s="3"/>
      <c r="BC1157" s="3"/>
    </row>
    <row r="1158" ht="15.75" customHeight="1">
      <c r="A1158" s="12"/>
      <c r="B1158" s="310"/>
      <c r="C1158" s="310"/>
      <c r="D1158" s="310"/>
      <c r="E1158" s="310"/>
      <c r="F1158" s="310"/>
      <c r="G1158" s="310"/>
      <c r="H1158" s="310"/>
      <c r="I1158" s="310"/>
      <c r="J1158" s="310"/>
      <c r="K1158" s="310"/>
      <c r="L1158" s="310"/>
      <c r="M1158" s="310"/>
      <c r="N1158" s="310"/>
      <c r="O1158" s="310"/>
      <c r="P1158" s="310"/>
      <c r="Q1158" s="310"/>
      <c r="R1158" s="310"/>
      <c r="S1158" s="310"/>
      <c r="T1158" s="310"/>
      <c r="U1158" s="310"/>
      <c r="V1158" s="310"/>
      <c r="W1158" s="310"/>
      <c r="X1158" s="310"/>
      <c r="Y1158" s="310"/>
      <c r="Z1158" s="310"/>
      <c r="AA1158" s="310"/>
      <c r="AB1158" s="310"/>
      <c r="AC1158" s="310"/>
      <c r="AD1158" s="310"/>
      <c r="AE1158" s="310"/>
      <c r="AF1158" s="310"/>
      <c r="AG1158" s="310"/>
      <c r="AH1158" s="310"/>
      <c r="AI1158" s="310"/>
      <c r="AJ1158" s="310"/>
      <c r="AK1158" s="310"/>
      <c r="AL1158" s="310"/>
      <c r="AM1158" s="310"/>
      <c r="AN1158" s="310"/>
      <c r="AO1158" s="310"/>
      <c r="AP1158" s="12"/>
      <c r="AQ1158" s="3"/>
      <c r="AR1158" s="3"/>
      <c r="AS1158" s="3"/>
      <c r="AT1158" s="3"/>
      <c r="AU1158" s="3"/>
      <c r="AV1158" s="3"/>
      <c r="AW1158" s="3"/>
      <c r="AX1158" s="3"/>
      <c r="AY1158" s="3"/>
      <c r="AZ1158" s="3"/>
      <c r="BA1158" s="3"/>
      <c r="BB1158" s="3"/>
      <c r="BC1158" s="3"/>
    </row>
    <row r="1159" ht="15.75" customHeight="1">
      <c r="A1159" s="12"/>
      <c r="B1159" s="310"/>
      <c r="C1159" s="310"/>
      <c r="D1159" s="310"/>
      <c r="E1159" s="310"/>
      <c r="F1159" s="310"/>
      <c r="G1159" s="310"/>
      <c r="H1159" s="310"/>
      <c r="I1159" s="310"/>
      <c r="J1159" s="310"/>
      <c r="K1159" s="310"/>
      <c r="L1159" s="310"/>
      <c r="M1159" s="310"/>
      <c r="N1159" s="310"/>
      <c r="O1159" s="310"/>
      <c r="P1159" s="310"/>
      <c r="Q1159" s="310"/>
      <c r="R1159" s="310"/>
      <c r="S1159" s="310"/>
      <c r="T1159" s="310"/>
      <c r="U1159" s="310"/>
      <c r="V1159" s="310"/>
      <c r="W1159" s="310"/>
      <c r="X1159" s="310"/>
      <c r="Y1159" s="310"/>
      <c r="Z1159" s="310"/>
      <c r="AA1159" s="310"/>
      <c r="AB1159" s="310"/>
      <c r="AC1159" s="310"/>
      <c r="AD1159" s="310"/>
      <c r="AE1159" s="310"/>
      <c r="AF1159" s="310"/>
      <c r="AG1159" s="310"/>
      <c r="AH1159" s="310"/>
      <c r="AI1159" s="310"/>
      <c r="AJ1159" s="310"/>
      <c r="AK1159" s="310"/>
      <c r="AL1159" s="310"/>
      <c r="AM1159" s="310"/>
      <c r="AN1159" s="310"/>
      <c r="AO1159" s="310"/>
      <c r="AP1159" s="12"/>
      <c r="AQ1159" s="3"/>
      <c r="AR1159" s="3"/>
      <c r="AS1159" s="3"/>
      <c r="AT1159" s="3"/>
      <c r="AU1159" s="3"/>
      <c r="AV1159" s="3"/>
      <c r="AW1159" s="3"/>
      <c r="AX1159" s="3"/>
      <c r="AY1159" s="3"/>
      <c r="AZ1159" s="3"/>
      <c r="BA1159" s="3"/>
      <c r="BB1159" s="3"/>
      <c r="BC1159" s="3"/>
    </row>
    <row r="1160" ht="15.75" customHeight="1">
      <c r="A1160" s="12"/>
      <c r="B1160" s="310"/>
      <c r="C1160" s="310"/>
      <c r="D1160" s="310"/>
      <c r="E1160" s="310"/>
      <c r="F1160" s="310"/>
      <c r="G1160" s="310"/>
      <c r="H1160" s="310"/>
      <c r="I1160" s="310"/>
      <c r="J1160" s="310"/>
      <c r="K1160" s="310"/>
      <c r="L1160" s="310"/>
      <c r="M1160" s="310"/>
      <c r="N1160" s="310"/>
      <c r="O1160" s="310"/>
      <c r="P1160" s="310"/>
      <c r="Q1160" s="310"/>
      <c r="R1160" s="310"/>
      <c r="S1160" s="310"/>
      <c r="T1160" s="310"/>
      <c r="U1160" s="310"/>
      <c r="V1160" s="310"/>
      <c r="W1160" s="310"/>
      <c r="X1160" s="310"/>
      <c r="Y1160" s="310"/>
      <c r="Z1160" s="310"/>
      <c r="AA1160" s="310"/>
      <c r="AB1160" s="310"/>
      <c r="AC1160" s="310"/>
      <c r="AD1160" s="310"/>
      <c r="AE1160" s="310"/>
      <c r="AF1160" s="310"/>
      <c r="AG1160" s="310"/>
      <c r="AH1160" s="310"/>
      <c r="AI1160" s="310"/>
      <c r="AJ1160" s="310"/>
      <c r="AK1160" s="310"/>
      <c r="AL1160" s="310"/>
      <c r="AM1160" s="310"/>
      <c r="AN1160" s="310"/>
      <c r="AO1160" s="310"/>
      <c r="AP1160" s="12"/>
      <c r="AQ1160" s="3"/>
      <c r="AR1160" s="3"/>
      <c r="AS1160" s="3"/>
      <c r="AT1160" s="3"/>
      <c r="AU1160" s="3"/>
      <c r="AV1160" s="3"/>
      <c r="AW1160" s="3"/>
      <c r="AX1160" s="3"/>
      <c r="AY1160" s="3"/>
      <c r="AZ1160" s="3"/>
      <c r="BA1160" s="3"/>
      <c r="BB1160" s="3"/>
      <c r="BC1160" s="3"/>
    </row>
    <row r="1161" ht="15.75" customHeight="1">
      <c r="A1161" s="12"/>
      <c r="B1161" s="310"/>
      <c r="C1161" s="310"/>
      <c r="D1161" s="310"/>
      <c r="E1161" s="310"/>
      <c r="F1161" s="310"/>
      <c r="G1161" s="310"/>
      <c r="H1161" s="310"/>
      <c r="I1161" s="310"/>
      <c r="J1161" s="310"/>
      <c r="K1161" s="310"/>
      <c r="L1161" s="310"/>
      <c r="M1161" s="310"/>
      <c r="N1161" s="310"/>
      <c r="O1161" s="310"/>
      <c r="P1161" s="310"/>
      <c r="Q1161" s="310"/>
      <c r="R1161" s="310"/>
      <c r="S1161" s="310"/>
      <c r="T1161" s="310"/>
      <c r="U1161" s="310"/>
      <c r="V1161" s="310"/>
      <c r="W1161" s="310"/>
      <c r="X1161" s="310"/>
      <c r="Y1161" s="310"/>
      <c r="Z1161" s="310"/>
      <c r="AA1161" s="310"/>
      <c r="AB1161" s="310"/>
      <c r="AC1161" s="310"/>
      <c r="AD1161" s="310"/>
      <c r="AE1161" s="310"/>
      <c r="AF1161" s="310"/>
      <c r="AG1161" s="310"/>
      <c r="AH1161" s="310"/>
      <c r="AI1161" s="310"/>
      <c r="AJ1161" s="310"/>
      <c r="AK1161" s="310"/>
      <c r="AL1161" s="310"/>
      <c r="AM1161" s="310"/>
      <c r="AN1161" s="310"/>
      <c r="AO1161" s="310"/>
      <c r="AP1161" s="12"/>
      <c r="AQ1161" s="3"/>
      <c r="AR1161" s="3"/>
      <c r="AS1161" s="3"/>
      <c r="AT1161" s="3"/>
      <c r="AU1161" s="3"/>
      <c r="AV1161" s="3"/>
      <c r="AW1161" s="3"/>
      <c r="AX1161" s="3"/>
      <c r="AY1161" s="3"/>
      <c r="AZ1161" s="3"/>
      <c r="BA1161" s="3"/>
      <c r="BB1161" s="3"/>
      <c r="BC1161" s="3"/>
    </row>
    <row r="1162" ht="15.75" customHeight="1">
      <c r="A1162" s="12"/>
      <c r="B1162" s="310"/>
      <c r="C1162" s="310"/>
      <c r="D1162" s="310"/>
      <c r="E1162" s="310"/>
      <c r="F1162" s="310"/>
      <c r="G1162" s="310"/>
      <c r="H1162" s="310"/>
      <c r="I1162" s="310"/>
      <c r="J1162" s="310"/>
      <c r="K1162" s="310"/>
      <c r="L1162" s="310"/>
      <c r="M1162" s="310"/>
      <c r="N1162" s="310"/>
      <c r="O1162" s="310"/>
      <c r="P1162" s="310"/>
      <c r="Q1162" s="310"/>
      <c r="R1162" s="310"/>
      <c r="S1162" s="310"/>
      <c r="T1162" s="310"/>
      <c r="U1162" s="310"/>
      <c r="V1162" s="310"/>
      <c r="W1162" s="310"/>
      <c r="X1162" s="310"/>
      <c r="Y1162" s="310"/>
      <c r="Z1162" s="310"/>
      <c r="AA1162" s="310"/>
      <c r="AB1162" s="310"/>
      <c r="AC1162" s="310"/>
      <c r="AD1162" s="310"/>
      <c r="AE1162" s="310"/>
      <c r="AF1162" s="310"/>
      <c r="AG1162" s="310"/>
      <c r="AH1162" s="310"/>
      <c r="AI1162" s="310"/>
      <c r="AJ1162" s="310"/>
      <c r="AK1162" s="310"/>
      <c r="AL1162" s="310"/>
      <c r="AM1162" s="310"/>
      <c r="AN1162" s="310"/>
      <c r="AO1162" s="310"/>
      <c r="AP1162" s="12"/>
      <c r="AQ1162" s="3"/>
      <c r="AR1162" s="3"/>
      <c r="AS1162" s="3"/>
      <c r="AT1162" s="3"/>
      <c r="AU1162" s="3"/>
      <c r="AV1162" s="3"/>
      <c r="AW1162" s="3"/>
      <c r="AX1162" s="3"/>
      <c r="AY1162" s="3"/>
      <c r="AZ1162" s="3"/>
      <c r="BA1162" s="3"/>
      <c r="BB1162" s="3"/>
      <c r="BC1162" s="3"/>
    </row>
    <row r="1163" ht="15.75" customHeight="1">
      <c r="A1163" s="12"/>
      <c r="B1163" s="310"/>
      <c r="C1163" s="310"/>
      <c r="D1163" s="310"/>
      <c r="E1163" s="310"/>
      <c r="F1163" s="310"/>
      <c r="G1163" s="310"/>
      <c r="H1163" s="310"/>
      <c r="I1163" s="310"/>
      <c r="J1163" s="310"/>
      <c r="K1163" s="310"/>
      <c r="L1163" s="310"/>
      <c r="M1163" s="310"/>
      <c r="N1163" s="310"/>
      <c r="O1163" s="310"/>
      <c r="P1163" s="310"/>
      <c r="Q1163" s="310"/>
      <c r="R1163" s="310"/>
      <c r="S1163" s="310"/>
      <c r="T1163" s="310"/>
      <c r="U1163" s="310"/>
      <c r="V1163" s="310"/>
      <c r="W1163" s="310"/>
      <c r="X1163" s="310"/>
      <c r="Y1163" s="310"/>
      <c r="Z1163" s="310"/>
      <c r="AA1163" s="310"/>
      <c r="AB1163" s="310"/>
      <c r="AC1163" s="310"/>
      <c r="AD1163" s="310"/>
      <c r="AE1163" s="310"/>
      <c r="AF1163" s="310"/>
      <c r="AG1163" s="310"/>
      <c r="AH1163" s="310"/>
      <c r="AI1163" s="310"/>
      <c r="AJ1163" s="310"/>
      <c r="AK1163" s="310"/>
      <c r="AL1163" s="310"/>
      <c r="AM1163" s="310"/>
      <c r="AN1163" s="310"/>
      <c r="AO1163" s="310"/>
      <c r="AP1163" s="12"/>
      <c r="AQ1163" s="3"/>
      <c r="AR1163" s="3"/>
      <c r="AS1163" s="3"/>
      <c r="AT1163" s="3"/>
      <c r="AU1163" s="3"/>
      <c r="AV1163" s="3"/>
      <c r="AW1163" s="3"/>
      <c r="AX1163" s="3"/>
      <c r="AY1163" s="3"/>
      <c r="AZ1163" s="3"/>
      <c r="BA1163" s="3"/>
      <c r="BB1163" s="3"/>
      <c r="BC1163" s="3"/>
    </row>
    <row r="1164" ht="15.75" customHeight="1">
      <c r="A1164" s="12"/>
      <c r="B1164" s="310"/>
      <c r="C1164" s="310"/>
      <c r="D1164" s="310"/>
      <c r="E1164" s="310"/>
      <c r="F1164" s="310"/>
      <c r="G1164" s="310"/>
      <c r="H1164" s="310"/>
      <c r="I1164" s="310"/>
      <c r="J1164" s="310"/>
      <c r="K1164" s="310"/>
      <c r="L1164" s="310"/>
      <c r="M1164" s="310"/>
      <c r="N1164" s="310"/>
      <c r="O1164" s="310"/>
      <c r="P1164" s="310"/>
      <c r="Q1164" s="310"/>
      <c r="R1164" s="310"/>
      <c r="S1164" s="310"/>
      <c r="T1164" s="310"/>
      <c r="U1164" s="310"/>
      <c r="V1164" s="310"/>
      <c r="W1164" s="310"/>
      <c r="X1164" s="310"/>
      <c r="Y1164" s="310"/>
      <c r="Z1164" s="310"/>
      <c r="AA1164" s="310"/>
      <c r="AB1164" s="310"/>
      <c r="AC1164" s="310"/>
      <c r="AD1164" s="310"/>
      <c r="AE1164" s="310"/>
      <c r="AF1164" s="310"/>
      <c r="AG1164" s="310"/>
      <c r="AH1164" s="310"/>
      <c r="AI1164" s="310"/>
      <c r="AJ1164" s="310"/>
      <c r="AK1164" s="310"/>
      <c r="AL1164" s="310"/>
      <c r="AM1164" s="310"/>
      <c r="AN1164" s="310"/>
      <c r="AO1164" s="310"/>
      <c r="AP1164" s="12"/>
      <c r="AQ1164" s="3"/>
      <c r="AR1164" s="3"/>
      <c r="AS1164" s="3"/>
      <c r="AT1164" s="3"/>
      <c r="AU1164" s="3"/>
      <c r="AV1164" s="3"/>
      <c r="AW1164" s="3"/>
      <c r="AX1164" s="3"/>
      <c r="AY1164" s="3"/>
      <c r="AZ1164" s="3"/>
      <c r="BA1164" s="3"/>
      <c r="BB1164" s="3"/>
      <c r="BC1164" s="3"/>
    </row>
    <row r="1165" ht="15.75" customHeight="1">
      <c r="A1165" s="12"/>
      <c r="B1165" s="310"/>
      <c r="C1165" s="310"/>
      <c r="D1165" s="310"/>
      <c r="E1165" s="310"/>
      <c r="F1165" s="310"/>
      <c r="G1165" s="310"/>
      <c r="H1165" s="310"/>
      <c r="I1165" s="310"/>
      <c r="J1165" s="310"/>
      <c r="K1165" s="310"/>
      <c r="L1165" s="310"/>
      <c r="M1165" s="310"/>
      <c r="N1165" s="310"/>
      <c r="O1165" s="310"/>
      <c r="P1165" s="310"/>
      <c r="Q1165" s="310"/>
      <c r="R1165" s="310"/>
      <c r="S1165" s="310"/>
      <c r="T1165" s="310"/>
      <c r="U1165" s="310"/>
      <c r="V1165" s="310"/>
      <c r="W1165" s="310"/>
      <c r="X1165" s="310"/>
      <c r="Y1165" s="310"/>
      <c r="Z1165" s="310"/>
      <c r="AA1165" s="310"/>
      <c r="AB1165" s="310"/>
      <c r="AC1165" s="310"/>
      <c r="AD1165" s="310"/>
      <c r="AE1165" s="310"/>
      <c r="AF1165" s="310"/>
      <c r="AG1165" s="310"/>
      <c r="AH1165" s="310"/>
      <c r="AI1165" s="310"/>
      <c r="AJ1165" s="310"/>
      <c r="AK1165" s="310"/>
      <c r="AL1165" s="310"/>
      <c r="AM1165" s="310"/>
      <c r="AN1165" s="310"/>
      <c r="AO1165" s="310"/>
      <c r="AP1165" s="12"/>
      <c r="AQ1165" s="3"/>
      <c r="AR1165" s="3"/>
      <c r="AS1165" s="3"/>
      <c r="AT1165" s="3"/>
      <c r="AU1165" s="3"/>
      <c r="AV1165" s="3"/>
      <c r="AW1165" s="3"/>
      <c r="AX1165" s="3"/>
      <c r="AY1165" s="3"/>
      <c r="AZ1165" s="3"/>
      <c r="BA1165" s="3"/>
      <c r="BB1165" s="3"/>
      <c r="BC1165" s="3"/>
    </row>
    <row r="1166" ht="15.75" customHeight="1">
      <c r="A1166" s="12"/>
      <c r="B1166" s="310"/>
      <c r="C1166" s="310"/>
      <c r="D1166" s="310"/>
      <c r="E1166" s="310"/>
      <c r="F1166" s="310"/>
      <c r="G1166" s="310"/>
      <c r="H1166" s="310"/>
      <c r="I1166" s="310"/>
      <c r="J1166" s="310"/>
      <c r="K1166" s="310"/>
      <c r="L1166" s="310"/>
      <c r="M1166" s="310"/>
      <c r="N1166" s="310"/>
      <c r="O1166" s="310"/>
      <c r="P1166" s="310"/>
      <c r="Q1166" s="310"/>
      <c r="R1166" s="310"/>
      <c r="S1166" s="310"/>
      <c r="T1166" s="310"/>
      <c r="U1166" s="310"/>
      <c r="V1166" s="310"/>
      <c r="W1166" s="310"/>
      <c r="X1166" s="310"/>
      <c r="Y1166" s="310"/>
      <c r="Z1166" s="310"/>
      <c r="AA1166" s="310"/>
      <c r="AB1166" s="310"/>
      <c r="AC1166" s="310"/>
      <c r="AD1166" s="310"/>
      <c r="AE1166" s="310"/>
      <c r="AF1166" s="310"/>
      <c r="AG1166" s="310"/>
      <c r="AH1166" s="310"/>
      <c r="AI1166" s="310"/>
      <c r="AJ1166" s="310"/>
      <c r="AK1166" s="310"/>
      <c r="AL1166" s="310"/>
      <c r="AM1166" s="310"/>
      <c r="AN1166" s="310"/>
      <c r="AO1166" s="310"/>
      <c r="AP1166" s="12"/>
      <c r="AQ1166" s="3"/>
      <c r="AR1166" s="3"/>
      <c r="AS1166" s="3"/>
      <c r="AT1166" s="3"/>
      <c r="AU1166" s="3"/>
      <c r="AV1166" s="3"/>
      <c r="AW1166" s="3"/>
      <c r="AX1166" s="3"/>
      <c r="AY1166" s="3"/>
      <c r="AZ1166" s="3"/>
      <c r="BA1166" s="3"/>
      <c r="BB1166" s="3"/>
      <c r="BC1166" s="3"/>
    </row>
    <row r="1167" ht="15.75" customHeight="1">
      <c r="A1167" s="12"/>
      <c r="B1167" s="310"/>
      <c r="C1167" s="310"/>
      <c r="D1167" s="310"/>
      <c r="E1167" s="310"/>
      <c r="F1167" s="310"/>
      <c r="G1167" s="310"/>
      <c r="H1167" s="310"/>
      <c r="I1167" s="310"/>
      <c r="J1167" s="310"/>
      <c r="K1167" s="310"/>
      <c r="L1167" s="310"/>
      <c r="M1167" s="310"/>
      <c r="N1167" s="310"/>
      <c r="O1167" s="310"/>
      <c r="P1167" s="310"/>
      <c r="Q1167" s="310"/>
      <c r="R1167" s="310"/>
      <c r="S1167" s="310"/>
      <c r="T1167" s="310"/>
      <c r="U1167" s="310"/>
      <c r="V1167" s="310"/>
      <c r="W1167" s="310"/>
      <c r="X1167" s="310"/>
      <c r="Y1167" s="310"/>
      <c r="Z1167" s="310"/>
      <c r="AA1167" s="310"/>
      <c r="AB1167" s="310"/>
      <c r="AC1167" s="310"/>
      <c r="AD1167" s="310"/>
      <c r="AE1167" s="310"/>
      <c r="AF1167" s="310"/>
      <c r="AG1167" s="310"/>
      <c r="AH1167" s="310"/>
      <c r="AI1167" s="310"/>
      <c r="AJ1167" s="310"/>
      <c r="AK1167" s="310"/>
      <c r="AL1167" s="310"/>
      <c r="AM1167" s="310"/>
      <c r="AN1167" s="310"/>
      <c r="AO1167" s="310"/>
      <c r="AP1167" s="12"/>
      <c r="AQ1167" s="3"/>
      <c r="AR1167" s="3"/>
      <c r="AS1167" s="3"/>
      <c r="AT1167" s="3"/>
      <c r="AU1167" s="3"/>
      <c r="AV1167" s="3"/>
      <c r="AW1167" s="3"/>
      <c r="AX1167" s="3"/>
      <c r="AY1167" s="3"/>
      <c r="AZ1167" s="3"/>
      <c r="BA1167" s="3"/>
      <c r="BB1167" s="3"/>
      <c r="BC1167" s="3"/>
    </row>
    <row r="1168" ht="15.75" customHeight="1">
      <c r="A1168" s="12"/>
      <c r="B1168" s="310"/>
      <c r="C1168" s="310"/>
      <c r="D1168" s="310"/>
      <c r="E1168" s="310"/>
      <c r="F1168" s="310"/>
      <c r="G1168" s="310"/>
      <c r="H1168" s="310"/>
      <c r="I1168" s="310"/>
      <c r="J1168" s="310"/>
      <c r="K1168" s="310"/>
      <c r="L1168" s="310"/>
      <c r="M1168" s="310"/>
      <c r="N1168" s="310"/>
      <c r="O1168" s="310"/>
      <c r="P1168" s="310"/>
      <c r="Q1168" s="310"/>
      <c r="R1168" s="310"/>
      <c r="S1168" s="310"/>
      <c r="T1168" s="310"/>
      <c r="U1168" s="310"/>
      <c r="V1168" s="310"/>
      <c r="W1168" s="310"/>
      <c r="X1168" s="310"/>
      <c r="Y1168" s="310"/>
      <c r="Z1168" s="310"/>
      <c r="AA1168" s="310"/>
      <c r="AB1168" s="310"/>
      <c r="AC1168" s="310"/>
      <c r="AD1168" s="310"/>
      <c r="AE1168" s="310"/>
      <c r="AF1168" s="310"/>
      <c r="AG1168" s="310"/>
      <c r="AH1168" s="310"/>
      <c r="AI1168" s="310"/>
      <c r="AJ1168" s="310"/>
      <c r="AK1168" s="310"/>
      <c r="AL1168" s="310"/>
      <c r="AM1168" s="310"/>
      <c r="AN1168" s="310"/>
      <c r="AO1168" s="310"/>
      <c r="AP1168" s="12"/>
      <c r="AQ1168" s="3"/>
      <c r="AR1168" s="3"/>
      <c r="AS1168" s="3"/>
      <c r="AT1168" s="3"/>
      <c r="AU1168" s="3"/>
      <c r="AV1168" s="3"/>
      <c r="AW1168" s="3"/>
      <c r="AX1168" s="3"/>
      <c r="AY1168" s="3"/>
      <c r="AZ1168" s="3"/>
      <c r="BA1168" s="3"/>
      <c r="BB1168" s="3"/>
      <c r="BC1168" s="3"/>
    </row>
    <row r="1169" ht="15.75" customHeight="1">
      <c r="A1169" s="12"/>
      <c r="B1169" s="310"/>
      <c r="C1169" s="310"/>
      <c r="D1169" s="310"/>
      <c r="E1169" s="310"/>
      <c r="F1169" s="310"/>
      <c r="G1169" s="310"/>
      <c r="H1169" s="310"/>
      <c r="I1169" s="310"/>
      <c r="J1169" s="310"/>
      <c r="K1169" s="310"/>
      <c r="L1169" s="310"/>
      <c r="M1169" s="310"/>
      <c r="N1169" s="310"/>
      <c r="O1169" s="310"/>
      <c r="P1169" s="310"/>
      <c r="Q1169" s="310"/>
      <c r="R1169" s="310"/>
      <c r="S1169" s="310"/>
      <c r="T1169" s="310"/>
      <c r="U1169" s="310"/>
      <c r="V1169" s="310"/>
      <c r="W1169" s="310"/>
      <c r="X1169" s="310"/>
      <c r="Y1169" s="310"/>
      <c r="Z1169" s="310"/>
      <c r="AA1169" s="310"/>
      <c r="AB1169" s="310"/>
      <c r="AC1169" s="310"/>
      <c r="AD1169" s="310"/>
      <c r="AE1169" s="310"/>
      <c r="AF1169" s="310"/>
      <c r="AG1169" s="310"/>
      <c r="AH1169" s="310"/>
      <c r="AI1169" s="310"/>
      <c r="AJ1169" s="310"/>
      <c r="AK1169" s="310"/>
      <c r="AL1169" s="310"/>
      <c r="AM1169" s="310"/>
      <c r="AN1169" s="310"/>
      <c r="AO1169" s="310"/>
      <c r="AP1169" s="12"/>
      <c r="AQ1169" s="3"/>
      <c r="AR1169" s="3"/>
      <c r="AS1169" s="3"/>
      <c r="AT1169" s="3"/>
      <c r="AU1169" s="3"/>
      <c r="AV1169" s="3"/>
      <c r="AW1169" s="3"/>
      <c r="AX1169" s="3"/>
      <c r="AY1169" s="3"/>
      <c r="AZ1169" s="3"/>
      <c r="BA1169" s="3"/>
      <c r="BB1169" s="3"/>
      <c r="BC1169" s="3"/>
    </row>
    <row r="1170" ht="15.75" customHeight="1">
      <c r="A1170" s="12"/>
      <c r="B1170" s="310"/>
      <c r="C1170" s="310"/>
      <c r="D1170" s="310"/>
      <c r="E1170" s="310"/>
      <c r="F1170" s="310"/>
      <c r="G1170" s="310"/>
      <c r="H1170" s="310"/>
      <c r="I1170" s="310"/>
      <c r="J1170" s="310"/>
      <c r="K1170" s="310"/>
      <c r="L1170" s="310"/>
      <c r="M1170" s="310"/>
      <c r="N1170" s="310"/>
      <c r="O1170" s="310"/>
      <c r="P1170" s="310"/>
      <c r="Q1170" s="310"/>
      <c r="R1170" s="310"/>
      <c r="S1170" s="310"/>
      <c r="T1170" s="310"/>
      <c r="U1170" s="310"/>
      <c r="V1170" s="310"/>
      <c r="W1170" s="310"/>
      <c r="X1170" s="310"/>
      <c r="Y1170" s="310"/>
      <c r="Z1170" s="310"/>
      <c r="AA1170" s="310"/>
      <c r="AB1170" s="310"/>
      <c r="AC1170" s="310"/>
      <c r="AD1170" s="310"/>
      <c r="AE1170" s="310"/>
      <c r="AF1170" s="310"/>
      <c r="AG1170" s="310"/>
      <c r="AH1170" s="310"/>
      <c r="AI1170" s="310"/>
      <c r="AJ1170" s="310"/>
      <c r="AK1170" s="310"/>
      <c r="AL1170" s="310"/>
      <c r="AM1170" s="310"/>
      <c r="AN1170" s="310"/>
      <c r="AO1170" s="310"/>
      <c r="AP1170" s="12"/>
      <c r="AQ1170" s="3"/>
      <c r="AR1170" s="3"/>
      <c r="AS1170" s="3"/>
      <c r="AT1170" s="3"/>
      <c r="AU1170" s="3"/>
      <c r="AV1170" s="3"/>
      <c r="AW1170" s="3"/>
      <c r="AX1170" s="3"/>
      <c r="AY1170" s="3"/>
      <c r="AZ1170" s="3"/>
      <c r="BA1170" s="3"/>
      <c r="BB1170" s="3"/>
      <c r="BC1170" s="3"/>
    </row>
    <row r="1171" ht="15.75" customHeight="1">
      <c r="A1171" s="12"/>
      <c r="B1171" s="310"/>
      <c r="C1171" s="310"/>
      <c r="D1171" s="310"/>
      <c r="E1171" s="310"/>
      <c r="F1171" s="310"/>
      <c r="G1171" s="310"/>
      <c r="H1171" s="310"/>
      <c r="I1171" s="310"/>
      <c r="J1171" s="310"/>
      <c r="K1171" s="310"/>
      <c r="L1171" s="310"/>
      <c r="M1171" s="310"/>
      <c r="N1171" s="310"/>
      <c r="O1171" s="310"/>
      <c r="P1171" s="310"/>
      <c r="Q1171" s="310"/>
      <c r="R1171" s="310"/>
      <c r="S1171" s="310"/>
      <c r="T1171" s="310"/>
      <c r="U1171" s="310"/>
      <c r="V1171" s="310"/>
      <c r="W1171" s="310"/>
      <c r="X1171" s="310"/>
      <c r="Y1171" s="310"/>
      <c r="Z1171" s="310"/>
      <c r="AA1171" s="310"/>
      <c r="AB1171" s="310"/>
      <c r="AC1171" s="310"/>
      <c r="AD1171" s="310"/>
      <c r="AE1171" s="310"/>
      <c r="AF1171" s="310"/>
      <c r="AG1171" s="310"/>
      <c r="AH1171" s="310"/>
      <c r="AI1171" s="310"/>
      <c r="AJ1171" s="310"/>
      <c r="AK1171" s="310"/>
      <c r="AL1171" s="310"/>
      <c r="AM1171" s="310"/>
      <c r="AN1171" s="310"/>
      <c r="AO1171" s="310"/>
      <c r="AP1171" s="12"/>
      <c r="AQ1171" s="3"/>
      <c r="AR1171" s="3"/>
      <c r="AS1171" s="3"/>
      <c r="AT1171" s="3"/>
      <c r="AU1171" s="3"/>
      <c r="AV1171" s="3"/>
      <c r="AW1171" s="3"/>
      <c r="AX1171" s="3"/>
      <c r="AY1171" s="3"/>
      <c r="AZ1171" s="3"/>
      <c r="BA1171" s="3"/>
      <c r="BB1171" s="3"/>
      <c r="BC1171" s="3"/>
    </row>
    <row r="1172" ht="15.75" customHeight="1">
      <c r="A1172" s="12"/>
      <c r="B1172" s="310"/>
      <c r="C1172" s="310"/>
      <c r="D1172" s="310"/>
      <c r="E1172" s="310"/>
      <c r="F1172" s="310"/>
      <c r="G1172" s="310"/>
      <c r="H1172" s="310"/>
      <c r="I1172" s="310"/>
      <c r="J1172" s="310"/>
      <c r="K1172" s="310"/>
      <c r="L1172" s="310"/>
      <c r="M1172" s="310"/>
      <c r="N1172" s="310"/>
      <c r="O1172" s="310"/>
      <c r="P1172" s="310"/>
      <c r="Q1172" s="310"/>
      <c r="R1172" s="310"/>
      <c r="S1172" s="310"/>
      <c r="T1172" s="310"/>
      <c r="U1172" s="310"/>
      <c r="V1172" s="310"/>
      <c r="W1172" s="310"/>
      <c r="X1172" s="310"/>
      <c r="Y1172" s="310"/>
      <c r="Z1172" s="310"/>
      <c r="AA1172" s="310"/>
      <c r="AB1172" s="310"/>
      <c r="AC1172" s="310"/>
      <c r="AD1172" s="310"/>
      <c r="AE1172" s="310"/>
      <c r="AF1172" s="310"/>
      <c r="AG1172" s="310"/>
      <c r="AH1172" s="310"/>
      <c r="AI1172" s="310"/>
      <c r="AJ1172" s="310"/>
      <c r="AK1172" s="310"/>
      <c r="AL1172" s="310"/>
      <c r="AM1172" s="310"/>
      <c r="AN1172" s="310"/>
      <c r="AO1172" s="310"/>
      <c r="AP1172" s="12"/>
      <c r="AQ1172" s="3"/>
      <c r="AR1172" s="3"/>
      <c r="AS1172" s="3"/>
      <c r="AT1172" s="3"/>
      <c r="AU1172" s="3"/>
      <c r="AV1172" s="3"/>
      <c r="AW1172" s="3"/>
      <c r="AX1172" s="3"/>
      <c r="AY1172" s="3"/>
      <c r="AZ1172" s="3"/>
      <c r="BA1172" s="3"/>
      <c r="BB1172" s="3"/>
      <c r="BC1172" s="3"/>
    </row>
    <row r="1173" ht="15.75" customHeight="1">
      <c r="A1173" s="12"/>
      <c r="B1173" s="310"/>
      <c r="C1173" s="310"/>
      <c r="D1173" s="310"/>
      <c r="E1173" s="310"/>
      <c r="F1173" s="310"/>
      <c r="G1173" s="310"/>
      <c r="H1173" s="310"/>
      <c r="I1173" s="310"/>
      <c r="J1173" s="310"/>
      <c r="K1173" s="310"/>
      <c r="L1173" s="310"/>
      <c r="M1173" s="310"/>
      <c r="N1173" s="310"/>
      <c r="O1173" s="310"/>
      <c r="P1173" s="310"/>
      <c r="Q1173" s="310"/>
      <c r="R1173" s="310"/>
      <c r="S1173" s="310"/>
      <c r="T1173" s="310"/>
      <c r="U1173" s="310"/>
      <c r="V1173" s="310"/>
      <c r="W1173" s="310"/>
      <c r="X1173" s="310"/>
      <c r="Y1173" s="310"/>
      <c r="Z1173" s="310"/>
      <c r="AA1173" s="310"/>
      <c r="AB1173" s="310"/>
      <c r="AC1173" s="310"/>
      <c r="AD1173" s="310"/>
      <c r="AE1173" s="310"/>
      <c r="AF1173" s="310"/>
      <c r="AG1173" s="310"/>
      <c r="AH1173" s="310"/>
      <c r="AI1173" s="310"/>
      <c r="AJ1173" s="310"/>
      <c r="AK1173" s="310"/>
      <c r="AL1173" s="310"/>
      <c r="AM1173" s="310"/>
      <c r="AN1173" s="310"/>
      <c r="AO1173" s="310"/>
      <c r="AP1173" s="12"/>
      <c r="AQ1173" s="3"/>
      <c r="AR1173" s="3"/>
      <c r="AS1173" s="3"/>
      <c r="AT1173" s="3"/>
      <c r="AU1173" s="3"/>
      <c r="AV1173" s="3"/>
      <c r="AW1173" s="3"/>
      <c r="AX1173" s="3"/>
      <c r="AY1173" s="3"/>
      <c r="AZ1173" s="3"/>
      <c r="BA1173" s="3"/>
      <c r="BB1173" s="3"/>
      <c r="BC1173" s="3"/>
    </row>
    <row r="1174" ht="15.75" customHeight="1">
      <c r="A1174" s="12"/>
      <c r="B1174" s="310"/>
      <c r="C1174" s="310"/>
      <c r="D1174" s="310"/>
      <c r="E1174" s="310"/>
      <c r="F1174" s="310"/>
      <c r="G1174" s="310"/>
      <c r="H1174" s="310"/>
      <c r="I1174" s="310"/>
      <c r="J1174" s="310"/>
      <c r="K1174" s="310"/>
      <c r="L1174" s="310"/>
      <c r="M1174" s="310"/>
      <c r="N1174" s="310"/>
      <c r="O1174" s="310"/>
      <c r="P1174" s="310"/>
      <c r="Q1174" s="310"/>
      <c r="R1174" s="310"/>
      <c r="S1174" s="310"/>
      <c r="T1174" s="310"/>
      <c r="U1174" s="310"/>
      <c r="V1174" s="310"/>
      <c r="W1174" s="310"/>
      <c r="X1174" s="310"/>
      <c r="Y1174" s="310"/>
      <c r="Z1174" s="310"/>
      <c r="AA1174" s="310"/>
      <c r="AB1174" s="310"/>
      <c r="AC1174" s="310"/>
      <c r="AD1174" s="310"/>
      <c r="AE1174" s="310"/>
      <c r="AF1174" s="310"/>
      <c r="AG1174" s="310"/>
      <c r="AH1174" s="310"/>
      <c r="AI1174" s="310"/>
      <c r="AJ1174" s="310"/>
      <c r="AK1174" s="310"/>
      <c r="AL1174" s="310"/>
      <c r="AM1174" s="310"/>
      <c r="AN1174" s="310"/>
      <c r="AO1174" s="310"/>
      <c r="AP1174" s="12"/>
      <c r="AQ1174" s="3"/>
      <c r="AR1174" s="3"/>
      <c r="AS1174" s="3"/>
      <c r="AT1174" s="3"/>
      <c r="AU1174" s="3"/>
      <c r="AV1174" s="3"/>
      <c r="AW1174" s="3"/>
      <c r="AX1174" s="3"/>
      <c r="AY1174" s="3"/>
      <c r="AZ1174" s="3"/>
      <c r="BA1174" s="3"/>
      <c r="BB1174" s="3"/>
      <c r="BC1174" s="3"/>
    </row>
    <row r="1175" ht="15.75" customHeight="1">
      <c r="A1175" s="12"/>
      <c r="B1175" s="310"/>
      <c r="C1175" s="310"/>
      <c r="D1175" s="310"/>
      <c r="E1175" s="310"/>
      <c r="F1175" s="310"/>
      <c r="G1175" s="310"/>
      <c r="H1175" s="310"/>
      <c r="I1175" s="310"/>
      <c r="J1175" s="310"/>
      <c r="K1175" s="310"/>
      <c r="L1175" s="310"/>
      <c r="M1175" s="310"/>
      <c r="N1175" s="310"/>
      <c r="O1175" s="310"/>
      <c r="P1175" s="310"/>
      <c r="Q1175" s="310"/>
      <c r="R1175" s="310"/>
      <c r="S1175" s="310"/>
      <c r="T1175" s="310"/>
      <c r="U1175" s="310"/>
      <c r="V1175" s="310"/>
      <c r="W1175" s="310"/>
      <c r="X1175" s="310"/>
      <c r="Y1175" s="310"/>
      <c r="Z1175" s="310"/>
      <c r="AA1175" s="310"/>
      <c r="AB1175" s="310"/>
      <c r="AC1175" s="310"/>
      <c r="AD1175" s="310"/>
      <c r="AE1175" s="310"/>
      <c r="AF1175" s="310"/>
      <c r="AG1175" s="310"/>
      <c r="AH1175" s="310"/>
      <c r="AI1175" s="310"/>
      <c r="AJ1175" s="310"/>
      <c r="AK1175" s="310"/>
      <c r="AL1175" s="310"/>
      <c r="AM1175" s="310"/>
      <c r="AN1175" s="310"/>
      <c r="AO1175" s="310"/>
      <c r="AP1175" s="12"/>
      <c r="AQ1175" s="3"/>
      <c r="AR1175" s="3"/>
      <c r="AS1175" s="3"/>
      <c r="AT1175" s="3"/>
      <c r="AU1175" s="3"/>
      <c r="AV1175" s="3"/>
      <c r="AW1175" s="3"/>
      <c r="AX1175" s="3"/>
      <c r="AY1175" s="3"/>
      <c r="AZ1175" s="3"/>
      <c r="BA1175" s="3"/>
      <c r="BB1175" s="3"/>
      <c r="BC1175" s="3"/>
    </row>
    <row r="1176" ht="15.75" customHeight="1">
      <c r="A1176" s="12"/>
      <c r="B1176" s="310"/>
      <c r="C1176" s="310"/>
      <c r="D1176" s="310"/>
      <c r="E1176" s="310"/>
      <c r="F1176" s="310"/>
      <c r="G1176" s="310"/>
      <c r="H1176" s="310"/>
      <c r="I1176" s="310"/>
      <c r="J1176" s="310"/>
      <c r="K1176" s="310"/>
      <c r="L1176" s="310"/>
      <c r="M1176" s="310"/>
      <c r="N1176" s="310"/>
      <c r="O1176" s="310"/>
      <c r="P1176" s="310"/>
      <c r="Q1176" s="310"/>
      <c r="R1176" s="310"/>
      <c r="S1176" s="310"/>
      <c r="T1176" s="310"/>
      <c r="U1176" s="310"/>
      <c r="V1176" s="310"/>
      <c r="W1176" s="310"/>
      <c r="X1176" s="310"/>
      <c r="Y1176" s="310"/>
      <c r="Z1176" s="310"/>
      <c r="AA1176" s="310"/>
      <c r="AB1176" s="310"/>
      <c r="AC1176" s="310"/>
      <c r="AD1176" s="310"/>
      <c r="AE1176" s="310"/>
      <c r="AF1176" s="310"/>
      <c r="AG1176" s="310"/>
      <c r="AH1176" s="310"/>
      <c r="AI1176" s="310"/>
      <c r="AJ1176" s="310"/>
      <c r="AK1176" s="310"/>
      <c r="AL1176" s="310"/>
      <c r="AM1176" s="310"/>
      <c r="AN1176" s="310"/>
      <c r="AO1176" s="310"/>
      <c r="AP1176" s="12"/>
      <c r="AQ1176" s="3"/>
      <c r="AR1176" s="3"/>
      <c r="AS1176" s="3"/>
      <c r="AT1176" s="3"/>
      <c r="AU1176" s="3"/>
      <c r="AV1176" s="3"/>
      <c r="AW1176" s="3"/>
      <c r="AX1176" s="3"/>
      <c r="AY1176" s="3"/>
      <c r="AZ1176" s="3"/>
      <c r="BA1176" s="3"/>
      <c r="BB1176" s="3"/>
      <c r="BC1176" s="3"/>
    </row>
    <row r="1177" ht="15.75" customHeight="1">
      <c r="A1177" s="12"/>
      <c r="B1177" s="310"/>
      <c r="C1177" s="310"/>
      <c r="D1177" s="310"/>
      <c r="E1177" s="310"/>
      <c r="F1177" s="310"/>
      <c r="G1177" s="310"/>
      <c r="H1177" s="310"/>
      <c r="I1177" s="310"/>
      <c r="J1177" s="310"/>
      <c r="K1177" s="310"/>
      <c r="L1177" s="310"/>
      <c r="M1177" s="310"/>
      <c r="N1177" s="310"/>
      <c r="O1177" s="310"/>
      <c r="P1177" s="310"/>
      <c r="Q1177" s="310"/>
      <c r="R1177" s="310"/>
      <c r="S1177" s="310"/>
      <c r="T1177" s="310"/>
      <c r="U1177" s="310"/>
      <c r="V1177" s="310"/>
      <c r="W1177" s="310"/>
      <c r="X1177" s="310"/>
      <c r="Y1177" s="310"/>
      <c r="Z1177" s="310"/>
      <c r="AA1177" s="310"/>
      <c r="AB1177" s="310"/>
      <c r="AC1177" s="310"/>
      <c r="AD1177" s="310"/>
      <c r="AE1177" s="310"/>
      <c r="AF1177" s="310"/>
      <c r="AG1177" s="310"/>
      <c r="AH1177" s="310"/>
      <c r="AI1177" s="310"/>
      <c r="AJ1177" s="310"/>
      <c r="AK1177" s="310"/>
      <c r="AL1177" s="310"/>
      <c r="AM1177" s="310"/>
      <c r="AN1177" s="310"/>
      <c r="AO1177" s="310"/>
      <c r="AP1177" s="12"/>
      <c r="AQ1177" s="3"/>
      <c r="AR1177" s="3"/>
      <c r="AS1177" s="3"/>
      <c r="AT1177" s="3"/>
      <c r="AU1177" s="3"/>
      <c r="AV1177" s="3"/>
      <c r="AW1177" s="3"/>
      <c r="AX1177" s="3"/>
      <c r="AY1177" s="3"/>
      <c r="AZ1177" s="3"/>
      <c r="BA1177" s="3"/>
      <c r="BB1177" s="3"/>
      <c r="BC1177" s="3"/>
    </row>
    <row r="1178" ht="15.75" customHeight="1">
      <c r="A1178" s="12"/>
      <c r="B1178" s="310"/>
      <c r="C1178" s="310"/>
      <c r="D1178" s="310"/>
      <c r="E1178" s="310"/>
      <c r="F1178" s="310"/>
      <c r="G1178" s="310"/>
      <c r="H1178" s="310"/>
      <c r="I1178" s="310"/>
      <c r="J1178" s="310"/>
      <c r="K1178" s="310"/>
      <c r="L1178" s="310"/>
      <c r="M1178" s="310"/>
      <c r="N1178" s="310"/>
      <c r="O1178" s="310"/>
      <c r="P1178" s="310"/>
      <c r="Q1178" s="310"/>
      <c r="R1178" s="310"/>
      <c r="S1178" s="310"/>
      <c r="T1178" s="310"/>
      <c r="U1178" s="310"/>
      <c r="V1178" s="310"/>
      <c r="W1178" s="310"/>
      <c r="X1178" s="310"/>
      <c r="Y1178" s="310"/>
      <c r="Z1178" s="310"/>
      <c r="AA1178" s="310"/>
      <c r="AB1178" s="310"/>
      <c r="AC1178" s="310"/>
      <c r="AD1178" s="310"/>
      <c r="AE1178" s="310"/>
      <c r="AF1178" s="310"/>
      <c r="AG1178" s="310"/>
      <c r="AH1178" s="310"/>
      <c r="AI1178" s="310"/>
      <c r="AJ1178" s="310"/>
      <c r="AK1178" s="310"/>
      <c r="AL1178" s="310"/>
      <c r="AM1178" s="310"/>
      <c r="AN1178" s="310"/>
      <c r="AO1178" s="310"/>
      <c r="AP1178" s="12"/>
      <c r="AQ1178" s="3"/>
      <c r="AR1178" s="3"/>
      <c r="AS1178" s="3"/>
      <c r="AT1178" s="3"/>
      <c r="AU1178" s="3"/>
      <c r="AV1178" s="3"/>
      <c r="AW1178" s="3"/>
      <c r="AX1178" s="3"/>
      <c r="AY1178" s="3"/>
      <c r="AZ1178" s="3"/>
      <c r="BA1178" s="3"/>
      <c r="BB1178" s="3"/>
      <c r="BC1178" s="3"/>
    </row>
    <row r="1179" ht="15.75" customHeight="1">
      <c r="A1179" s="12"/>
      <c r="B1179" s="310"/>
      <c r="C1179" s="310"/>
      <c r="D1179" s="310"/>
      <c r="E1179" s="310"/>
      <c r="F1179" s="310"/>
      <c r="G1179" s="310"/>
      <c r="H1179" s="310"/>
      <c r="I1179" s="310"/>
      <c r="J1179" s="310"/>
      <c r="K1179" s="310"/>
      <c r="L1179" s="310"/>
      <c r="M1179" s="310"/>
      <c r="N1179" s="310"/>
      <c r="O1179" s="310"/>
      <c r="P1179" s="310"/>
      <c r="Q1179" s="310"/>
      <c r="R1179" s="310"/>
      <c r="S1179" s="310"/>
      <c r="T1179" s="310"/>
      <c r="U1179" s="310"/>
      <c r="V1179" s="310"/>
      <c r="W1179" s="310"/>
      <c r="X1179" s="310"/>
      <c r="Y1179" s="310"/>
      <c r="Z1179" s="310"/>
      <c r="AA1179" s="310"/>
      <c r="AB1179" s="310"/>
      <c r="AC1179" s="310"/>
      <c r="AD1179" s="310"/>
      <c r="AE1179" s="310"/>
      <c r="AF1179" s="310"/>
      <c r="AG1179" s="310"/>
      <c r="AH1179" s="310"/>
      <c r="AI1179" s="310"/>
      <c r="AJ1179" s="310"/>
      <c r="AK1179" s="310"/>
      <c r="AL1179" s="310"/>
      <c r="AM1179" s="310"/>
      <c r="AN1179" s="310"/>
      <c r="AO1179" s="310"/>
      <c r="AP1179" s="12"/>
      <c r="AQ1179" s="3"/>
      <c r="AR1179" s="3"/>
      <c r="AS1179" s="3"/>
      <c r="AT1179" s="3"/>
      <c r="AU1179" s="3"/>
      <c r="AV1179" s="3"/>
      <c r="AW1179" s="3"/>
      <c r="AX1179" s="3"/>
      <c r="AY1179" s="3"/>
      <c r="AZ1179" s="3"/>
      <c r="BA1179" s="3"/>
      <c r="BB1179" s="3"/>
      <c r="BC1179" s="3"/>
    </row>
    <row r="1180" ht="15.75" customHeight="1">
      <c r="A1180" s="12"/>
      <c r="B1180" s="310"/>
      <c r="C1180" s="310"/>
      <c r="D1180" s="310"/>
      <c r="E1180" s="310"/>
      <c r="F1180" s="310"/>
      <c r="G1180" s="310"/>
      <c r="H1180" s="310"/>
      <c r="I1180" s="310"/>
      <c r="J1180" s="310"/>
      <c r="K1180" s="310"/>
      <c r="L1180" s="310"/>
      <c r="M1180" s="310"/>
      <c r="N1180" s="310"/>
      <c r="O1180" s="310"/>
      <c r="P1180" s="310"/>
      <c r="Q1180" s="310"/>
      <c r="R1180" s="310"/>
      <c r="S1180" s="310"/>
      <c r="T1180" s="310"/>
      <c r="U1180" s="310"/>
      <c r="V1180" s="310"/>
      <c r="W1180" s="310"/>
      <c r="X1180" s="310"/>
      <c r="Y1180" s="310"/>
      <c r="Z1180" s="310"/>
      <c r="AA1180" s="310"/>
      <c r="AB1180" s="310"/>
      <c r="AC1180" s="310"/>
      <c r="AD1180" s="310"/>
      <c r="AE1180" s="310"/>
      <c r="AF1180" s="310"/>
      <c r="AG1180" s="310"/>
      <c r="AH1180" s="310"/>
      <c r="AI1180" s="310"/>
      <c r="AJ1180" s="310"/>
      <c r="AK1180" s="310"/>
      <c r="AL1180" s="310"/>
      <c r="AM1180" s="310"/>
      <c r="AN1180" s="310"/>
      <c r="AO1180" s="310"/>
      <c r="AP1180" s="12"/>
      <c r="AQ1180" s="3"/>
      <c r="AR1180" s="3"/>
      <c r="AS1180" s="3"/>
      <c r="AT1180" s="3"/>
      <c r="AU1180" s="3"/>
      <c r="AV1180" s="3"/>
      <c r="AW1180" s="3"/>
      <c r="AX1180" s="3"/>
      <c r="AY1180" s="3"/>
      <c r="AZ1180" s="3"/>
      <c r="BA1180" s="3"/>
      <c r="BB1180" s="3"/>
      <c r="BC1180" s="3"/>
    </row>
  </sheetData>
  <mergeCells count="619">
    <mergeCell ref="R11:S11"/>
    <mergeCell ref="R15:S15"/>
    <mergeCell ref="H11:I12"/>
    <mergeCell ref="J11:J12"/>
    <mergeCell ref="V11:W11"/>
    <mergeCell ref="X11:X15"/>
    <mergeCell ref="Y11:Y15"/>
    <mergeCell ref="Z11:AA11"/>
    <mergeCell ref="C15:D15"/>
    <mergeCell ref="T5:AD5"/>
    <mergeCell ref="AE5:AJ5"/>
    <mergeCell ref="AK5:AK8"/>
    <mergeCell ref="AL5:AM5"/>
    <mergeCell ref="AL6:AM7"/>
    <mergeCell ref="AL8:AM8"/>
    <mergeCell ref="T6:AD6"/>
    <mergeCell ref="AE6:AJ6"/>
    <mergeCell ref="T7:AD7"/>
    <mergeCell ref="AE7:AG7"/>
    <mergeCell ref="A1:AP1"/>
    <mergeCell ref="AQ1:AR1"/>
    <mergeCell ref="T2:AM2"/>
    <mergeCell ref="T3:AM3"/>
    <mergeCell ref="S4:AN4"/>
    <mergeCell ref="AO4:AO8"/>
    <mergeCell ref="AN5:AN8"/>
    <mergeCell ref="AE11:AI11"/>
    <mergeCell ref="AJ11:AN11"/>
    <mergeCell ref="AH7:AJ7"/>
    <mergeCell ref="T8:AD8"/>
    <mergeCell ref="AE8:AG8"/>
    <mergeCell ref="AH8:AJ8"/>
    <mergeCell ref="S9:AN9"/>
    <mergeCell ref="Q10:AB10"/>
    <mergeCell ref="AD10:AO10"/>
    <mergeCell ref="Z12:AA13"/>
    <mergeCell ref="AE12:AN12"/>
    <mergeCell ref="AE13:AN13"/>
    <mergeCell ref="V15:W15"/>
    <mergeCell ref="Z15:AA15"/>
    <mergeCell ref="R14:S14"/>
    <mergeCell ref="R16:T16"/>
    <mergeCell ref="AE15:AN15"/>
    <mergeCell ref="AE16:AN16"/>
    <mergeCell ref="R17:AA18"/>
    <mergeCell ref="AE17:AN17"/>
    <mergeCell ref="AE18:AN18"/>
    <mergeCell ref="R19:AA19"/>
    <mergeCell ref="AE19:AN19"/>
    <mergeCell ref="R20:T20"/>
    <mergeCell ref="U20:AA20"/>
    <mergeCell ref="O10:O47"/>
    <mergeCell ref="Q11:Q28"/>
    <mergeCell ref="H14:I15"/>
    <mergeCell ref="J14:J15"/>
    <mergeCell ref="H43:N43"/>
    <mergeCell ref="V12:W13"/>
    <mergeCell ref="V14:W14"/>
    <mergeCell ref="V24:V28"/>
    <mergeCell ref="W24:W28"/>
    <mergeCell ref="B10:E10"/>
    <mergeCell ref="C17:D17"/>
    <mergeCell ref="J17:N17"/>
    <mergeCell ref="C18:D19"/>
    <mergeCell ref="AE23:AN23"/>
    <mergeCell ref="AE24:AN24"/>
    <mergeCell ref="Q29:AB29"/>
    <mergeCell ref="B42:E42"/>
    <mergeCell ref="B44:B47"/>
    <mergeCell ref="E44:E47"/>
    <mergeCell ref="C45:D46"/>
    <mergeCell ref="F45:N46"/>
    <mergeCell ref="C12:D12"/>
    <mergeCell ref="C13:D14"/>
    <mergeCell ref="C33:D34"/>
    <mergeCell ref="C35:D35"/>
    <mergeCell ref="C37:D37"/>
    <mergeCell ref="C38:D39"/>
    <mergeCell ref="C40:D40"/>
    <mergeCell ref="G10:G44"/>
    <mergeCell ref="E11:E41"/>
    <mergeCell ref="A2:R5"/>
    <mergeCell ref="B6:B7"/>
    <mergeCell ref="C6:R7"/>
    <mergeCell ref="A8:R9"/>
    <mergeCell ref="K11:N12"/>
    <mergeCell ref="K14:N15"/>
    <mergeCell ref="Q30:Q58"/>
    <mergeCell ref="J18:N18"/>
    <mergeCell ref="J19:N19"/>
    <mergeCell ref="C20:D20"/>
    <mergeCell ref="J20:N20"/>
    <mergeCell ref="J21:N21"/>
    <mergeCell ref="C22:D22"/>
    <mergeCell ref="J22:N22"/>
    <mergeCell ref="C23:D24"/>
    <mergeCell ref="H23:N23"/>
    <mergeCell ref="C25:D25"/>
    <mergeCell ref="C27:D27"/>
    <mergeCell ref="C28:D29"/>
    <mergeCell ref="C30:D30"/>
    <mergeCell ref="B11:B41"/>
    <mergeCell ref="C32:D32"/>
    <mergeCell ref="AC33:AN33"/>
    <mergeCell ref="AC34:AN34"/>
    <mergeCell ref="AC35:AN35"/>
    <mergeCell ref="AC36:AN36"/>
    <mergeCell ref="Y35:AA35"/>
    <mergeCell ref="Y36:AA36"/>
    <mergeCell ref="R37:AN37"/>
    <mergeCell ref="R38:AN38"/>
    <mergeCell ref="R39:AN39"/>
    <mergeCell ref="R40:AN40"/>
    <mergeCell ref="R41:AN41"/>
    <mergeCell ref="C69:N69"/>
    <mergeCell ref="P69:AA69"/>
    <mergeCell ref="C70:N70"/>
    <mergeCell ref="P70:AA70"/>
    <mergeCell ref="C71:N71"/>
    <mergeCell ref="P71:AA71"/>
    <mergeCell ref="C72:N72"/>
    <mergeCell ref="P72:AA72"/>
    <mergeCell ref="C73:N73"/>
    <mergeCell ref="P73:AA73"/>
    <mergeCell ref="C74:N74"/>
    <mergeCell ref="P74:AA74"/>
    <mergeCell ref="C75:N75"/>
    <mergeCell ref="P75:AA75"/>
    <mergeCell ref="C76:N76"/>
    <mergeCell ref="P76:AA76"/>
    <mergeCell ref="C77:N77"/>
    <mergeCell ref="P77:AA77"/>
    <mergeCell ref="C78:N78"/>
    <mergeCell ref="P78:AA78"/>
    <mergeCell ref="C79:N79"/>
    <mergeCell ref="P79:AA79"/>
    <mergeCell ref="C80:N80"/>
    <mergeCell ref="P80:AA80"/>
    <mergeCell ref="C81:N81"/>
    <mergeCell ref="P81:AA81"/>
    <mergeCell ref="C82:N82"/>
    <mergeCell ref="P82:AA82"/>
    <mergeCell ref="R35:W35"/>
    <mergeCell ref="P59:AA59"/>
    <mergeCell ref="C83:N83"/>
    <mergeCell ref="P83:AA83"/>
    <mergeCell ref="C84:N84"/>
    <mergeCell ref="P84:AA84"/>
    <mergeCell ref="R32:W32"/>
    <mergeCell ref="R33:W33"/>
    <mergeCell ref="Y33:AA33"/>
    <mergeCell ref="R34:W34"/>
    <mergeCell ref="Y34:AA34"/>
    <mergeCell ref="B48:B86"/>
    <mergeCell ref="O59:O85"/>
    <mergeCell ref="P85:AA85"/>
    <mergeCell ref="A87:R90"/>
    <mergeCell ref="U90:X90"/>
    <mergeCell ref="C91:R92"/>
    <mergeCell ref="U91:X92"/>
    <mergeCell ref="A93:R94"/>
    <mergeCell ref="U93:X93"/>
    <mergeCell ref="D100:J100"/>
    <mergeCell ref="D101:J101"/>
    <mergeCell ref="N104:T104"/>
    <mergeCell ref="N106:T106"/>
    <mergeCell ref="B133:B136"/>
    <mergeCell ref="B137:B140"/>
    <mergeCell ref="C137:D140"/>
    <mergeCell ref="B141:B144"/>
    <mergeCell ref="B148:B151"/>
    <mergeCell ref="B154:B172"/>
    <mergeCell ref="B173:B179"/>
    <mergeCell ref="B100:B105"/>
    <mergeCell ref="B106:B111"/>
    <mergeCell ref="C106:D109"/>
    <mergeCell ref="B112:B117"/>
    <mergeCell ref="B118:B122"/>
    <mergeCell ref="C118:D121"/>
    <mergeCell ref="B123:B127"/>
    <mergeCell ref="I129:J130"/>
    <mergeCell ref="D133:J133"/>
    <mergeCell ref="K133:L135"/>
    <mergeCell ref="D134:J134"/>
    <mergeCell ref="D135:J135"/>
    <mergeCell ref="E137:F137"/>
    <mergeCell ref="G137:H140"/>
    <mergeCell ref="E138:F139"/>
    <mergeCell ref="D141:J141"/>
    <mergeCell ref="K141:L143"/>
    <mergeCell ref="D142:J142"/>
    <mergeCell ref="D143:J143"/>
    <mergeCell ref="B147:O147"/>
    <mergeCell ref="C148:E148"/>
    <mergeCell ref="L148:N148"/>
    <mergeCell ref="F150:H150"/>
    <mergeCell ref="I150:K150"/>
    <mergeCell ref="F148:H148"/>
    <mergeCell ref="I148:K148"/>
    <mergeCell ref="C149:E149"/>
    <mergeCell ref="F149:H149"/>
    <mergeCell ref="I149:K149"/>
    <mergeCell ref="L149:N149"/>
    <mergeCell ref="L150:N150"/>
    <mergeCell ref="C150:E150"/>
    <mergeCell ref="C151:E151"/>
    <mergeCell ref="F151:H151"/>
    <mergeCell ref="I151:K151"/>
    <mergeCell ref="L151:N151"/>
    <mergeCell ref="B152:O152"/>
    <mergeCell ref="C154:N154"/>
    <mergeCell ref="C176:H176"/>
    <mergeCell ref="I176:N176"/>
    <mergeCell ref="C177:H177"/>
    <mergeCell ref="I177:N177"/>
    <mergeCell ref="C178:N178"/>
    <mergeCell ref="C155:N170"/>
    <mergeCell ref="C171:N171"/>
    <mergeCell ref="C172:N172"/>
    <mergeCell ref="C174:H174"/>
    <mergeCell ref="I174:N174"/>
    <mergeCell ref="C175:H175"/>
    <mergeCell ref="I175:N175"/>
    <mergeCell ref="B91:B92"/>
    <mergeCell ref="B95:B99"/>
    <mergeCell ref="C96:E99"/>
    <mergeCell ref="K96:K99"/>
    <mergeCell ref="F97:J98"/>
    <mergeCell ref="K100:L104"/>
    <mergeCell ref="D104:J104"/>
    <mergeCell ref="D102:J102"/>
    <mergeCell ref="D103:J103"/>
    <mergeCell ref="E106:F106"/>
    <mergeCell ref="G106:H109"/>
    <mergeCell ref="I106:J106"/>
    <mergeCell ref="K106:K109"/>
    <mergeCell ref="E107:F108"/>
    <mergeCell ref="I107:J108"/>
    <mergeCell ref="D112:J112"/>
    <mergeCell ref="K112:L116"/>
    <mergeCell ref="D113:J113"/>
    <mergeCell ref="D114:J114"/>
    <mergeCell ref="D115:J115"/>
    <mergeCell ref="D116:J116"/>
    <mergeCell ref="D123:J123"/>
    <mergeCell ref="D124:J124"/>
    <mergeCell ref="D125:J125"/>
    <mergeCell ref="D126:J126"/>
    <mergeCell ref="E118:F118"/>
    <mergeCell ref="G118:H121"/>
    <mergeCell ref="I118:J118"/>
    <mergeCell ref="K118:K121"/>
    <mergeCell ref="E119:F120"/>
    <mergeCell ref="I119:J120"/>
    <mergeCell ref="K123:L126"/>
    <mergeCell ref="B128:B132"/>
    <mergeCell ref="C128:D131"/>
    <mergeCell ref="E128:F128"/>
    <mergeCell ref="G128:H131"/>
    <mergeCell ref="I128:J128"/>
    <mergeCell ref="K128:K131"/>
    <mergeCell ref="E129:F130"/>
    <mergeCell ref="I137:J137"/>
    <mergeCell ref="K137:K140"/>
    <mergeCell ref="I138:J139"/>
    <mergeCell ref="N142:T142"/>
    <mergeCell ref="N143:T143"/>
    <mergeCell ref="Q146:Q179"/>
    <mergeCell ref="O148:O151"/>
    <mergeCell ref="O154:O172"/>
    <mergeCell ref="O173:O179"/>
    <mergeCell ref="N133:T133"/>
    <mergeCell ref="N134:T134"/>
    <mergeCell ref="N135:T135"/>
    <mergeCell ref="N137:T137"/>
    <mergeCell ref="N138:T138"/>
    <mergeCell ref="N139:T139"/>
    <mergeCell ref="N141:T141"/>
    <mergeCell ref="N102:T102"/>
    <mergeCell ref="N103:T103"/>
    <mergeCell ref="N96:T96"/>
    <mergeCell ref="U96:V98"/>
    <mergeCell ref="N97:T97"/>
    <mergeCell ref="N98:T98"/>
    <mergeCell ref="N100:T100"/>
    <mergeCell ref="U100:V104"/>
    <mergeCell ref="N101:T101"/>
    <mergeCell ref="N113:T113"/>
    <mergeCell ref="N114:T114"/>
    <mergeCell ref="U106:V110"/>
    <mergeCell ref="N107:T107"/>
    <mergeCell ref="N108:T108"/>
    <mergeCell ref="N109:T109"/>
    <mergeCell ref="N110:T110"/>
    <mergeCell ref="N112:T112"/>
    <mergeCell ref="U112:V116"/>
    <mergeCell ref="U118:V121"/>
    <mergeCell ref="U123:V126"/>
    <mergeCell ref="U128:V131"/>
    <mergeCell ref="U133:V135"/>
    <mergeCell ref="U137:V139"/>
    <mergeCell ref="U141:V143"/>
    <mergeCell ref="N115:T115"/>
    <mergeCell ref="N116:T116"/>
    <mergeCell ref="N118:T118"/>
    <mergeCell ref="N119:T119"/>
    <mergeCell ref="N120:T120"/>
    <mergeCell ref="N121:T121"/>
    <mergeCell ref="N123:T123"/>
    <mergeCell ref="N124:T124"/>
    <mergeCell ref="N125:T125"/>
    <mergeCell ref="N126:T126"/>
    <mergeCell ref="N128:T128"/>
    <mergeCell ref="N129:T129"/>
    <mergeCell ref="N130:T130"/>
    <mergeCell ref="N131:T131"/>
    <mergeCell ref="AF90:AF93"/>
    <mergeCell ref="AB93:AE93"/>
    <mergeCell ref="AA90:AA93"/>
    <mergeCell ref="AG90:AG93"/>
    <mergeCell ref="AH90:AH93"/>
    <mergeCell ref="AI90:AL90"/>
    <mergeCell ref="AM90:AM93"/>
    <mergeCell ref="AN90:AN93"/>
    <mergeCell ref="AI91:AL92"/>
    <mergeCell ref="AI93:AL93"/>
    <mergeCell ref="AK100:AL100"/>
    <mergeCell ref="AM100:AN103"/>
    <mergeCell ref="AK101:AL102"/>
    <mergeCell ref="AB90:AE90"/>
    <mergeCell ref="AB91:AE92"/>
    <mergeCell ref="AE96:AF98"/>
    <mergeCell ref="AH96:AN96"/>
    <mergeCell ref="AH97:AN97"/>
    <mergeCell ref="AH98:AN98"/>
    <mergeCell ref="AF100:AF103"/>
    <mergeCell ref="AG101:AH102"/>
    <mergeCell ref="AH108:AN108"/>
    <mergeCell ref="AH109:AN109"/>
    <mergeCell ref="AG100:AH100"/>
    <mergeCell ref="AI100:AJ103"/>
    <mergeCell ref="AG104:AJ104"/>
    <mergeCell ref="AK104:AN104"/>
    <mergeCell ref="AH106:AN106"/>
    <mergeCell ref="AH107:AN107"/>
    <mergeCell ref="AH110:AN110"/>
    <mergeCell ref="AE106:AF110"/>
    <mergeCell ref="AF112:AF115"/>
    <mergeCell ref="AI112:AJ115"/>
    <mergeCell ref="AM112:AN115"/>
    <mergeCell ref="AG113:AH114"/>
    <mergeCell ref="AK113:AL114"/>
    <mergeCell ref="AE118:AF121"/>
    <mergeCell ref="AF123:AF126"/>
    <mergeCell ref="AE128:AF131"/>
    <mergeCell ref="AF133:AF136"/>
    <mergeCell ref="AE137:AF139"/>
    <mergeCell ref="AF141:AF144"/>
    <mergeCell ref="AC147:AC162"/>
    <mergeCell ref="AD149:AD158"/>
    <mergeCell ref="AO123:AO127"/>
    <mergeCell ref="AO128:AO132"/>
    <mergeCell ref="AO133:AO136"/>
    <mergeCell ref="AO137:AO140"/>
    <mergeCell ref="AO141:AO144"/>
    <mergeCell ref="AO146:AO179"/>
    <mergeCell ref="AN149:AN158"/>
    <mergeCell ref="AH120:AN120"/>
    <mergeCell ref="AH121:AN121"/>
    <mergeCell ref="AI123:AJ126"/>
    <mergeCell ref="AM123:AN126"/>
    <mergeCell ref="AG124:AH125"/>
    <mergeCell ref="AK124:AL125"/>
    <mergeCell ref="AH128:AN128"/>
    <mergeCell ref="AH129:AN129"/>
    <mergeCell ref="AH130:AN130"/>
    <mergeCell ref="AH131:AN131"/>
    <mergeCell ref="AI133:AJ136"/>
    <mergeCell ref="AM133:AN136"/>
    <mergeCell ref="AG134:AH135"/>
    <mergeCell ref="AK134:AL135"/>
    <mergeCell ref="AD147:AN148"/>
    <mergeCell ref="AF149:AL149"/>
    <mergeCell ref="AE150:AM158"/>
    <mergeCell ref="AD159:AN160"/>
    <mergeCell ref="AD161:AN161"/>
    <mergeCell ref="AD162:AN162"/>
    <mergeCell ref="AH137:AN137"/>
    <mergeCell ref="AH138:AN138"/>
    <mergeCell ref="AH139:AN139"/>
    <mergeCell ref="AI141:AJ144"/>
    <mergeCell ref="AM141:AN144"/>
    <mergeCell ref="AG142:AH143"/>
    <mergeCell ref="AK142:AL143"/>
    <mergeCell ref="AC45:AN45"/>
    <mergeCell ref="AC59:AN59"/>
    <mergeCell ref="AC78:AN78"/>
    <mergeCell ref="AC79:AN79"/>
    <mergeCell ref="AC80:AN80"/>
    <mergeCell ref="AC81:AN81"/>
    <mergeCell ref="AC82:AN82"/>
    <mergeCell ref="AC83:AN83"/>
    <mergeCell ref="AO30:AO86"/>
    <mergeCell ref="AO89:AO93"/>
    <mergeCell ref="AO95:AO99"/>
    <mergeCell ref="AO100:AO105"/>
    <mergeCell ref="AO106:AO111"/>
    <mergeCell ref="AO112:AO117"/>
    <mergeCell ref="AO118:AO122"/>
    <mergeCell ref="AE28:AI28"/>
    <mergeCell ref="AJ28:AN28"/>
    <mergeCell ref="AD29:AO29"/>
    <mergeCell ref="AA44:AB58"/>
    <mergeCell ref="AC44:AN44"/>
    <mergeCell ref="AB59:AB85"/>
    <mergeCell ref="AC84:AN84"/>
    <mergeCell ref="AH118:AN118"/>
    <mergeCell ref="AH119:AN119"/>
    <mergeCell ref="Z90:Z93"/>
    <mergeCell ref="S94:AN94"/>
    <mergeCell ref="AC76:AN76"/>
    <mergeCell ref="AC77:AN77"/>
    <mergeCell ref="C86:AN86"/>
    <mergeCell ref="S89:AN89"/>
    <mergeCell ref="S90:S93"/>
    <mergeCell ref="T90:T93"/>
    <mergeCell ref="Y90:Y93"/>
    <mergeCell ref="AC64:AN64"/>
    <mergeCell ref="AC65:AN65"/>
    <mergeCell ref="AC66:AN66"/>
    <mergeCell ref="AC67:AN67"/>
    <mergeCell ref="AC68:AN68"/>
    <mergeCell ref="AC69:AN69"/>
    <mergeCell ref="AC70:AN70"/>
    <mergeCell ref="AC71:AN71"/>
    <mergeCell ref="AC72:AN72"/>
    <mergeCell ref="AC73:AN73"/>
    <mergeCell ref="AC74:AN74"/>
    <mergeCell ref="AC75:AN75"/>
    <mergeCell ref="C95:AN95"/>
    <mergeCell ref="X96:AD96"/>
    <mergeCell ref="X97:AD97"/>
    <mergeCell ref="X98:AD98"/>
    <mergeCell ref="X100:AD100"/>
    <mergeCell ref="X101:AD101"/>
    <mergeCell ref="X102:AD102"/>
    <mergeCell ref="X24:AA24"/>
    <mergeCell ref="AE25:AN25"/>
    <mergeCell ref="Z14:AA14"/>
    <mergeCell ref="AE14:AN14"/>
    <mergeCell ref="AE21:AN21"/>
    <mergeCell ref="AE22:AN22"/>
    <mergeCell ref="R23:AA23"/>
    <mergeCell ref="R24:U24"/>
    <mergeCell ref="R25:U26"/>
    <mergeCell ref="AE20:AN20"/>
    <mergeCell ref="R21:AA22"/>
    <mergeCell ref="AE26:AN26"/>
    <mergeCell ref="R27:U27"/>
    <mergeCell ref="X27:AA27"/>
    <mergeCell ref="AE27:AN27"/>
    <mergeCell ref="T11:T15"/>
    <mergeCell ref="U11:U15"/>
    <mergeCell ref="AB11:AB28"/>
    <mergeCell ref="AD11:AD28"/>
    <mergeCell ref="AO11:AO28"/>
    <mergeCell ref="R12:S13"/>
    <mergeCell ref="U16:AA16"/>
    <mergeCell ref="R28:U28"/>
    <mergeCell ref="X28:AA28"/>
    <mergeCell ref="R31:W31"/>
    <mergeCell ref="Y31:AA31"/>
    <mergeCell ref="AC31:AN31"/>
    <mergeCell ref="Y32:AA32"/>
    <mergeCell ref="AC32:AN32"/>
    <mergeCell ref="R42:AN42"/>
    <mergeCell ref="R43:AN43"/>
    <mergeCell ref="R45:Y45"/>
    <mergeCell ref="R46:Z46"/>
    <mergeCell ref="R47:Z47"/>
    <mergeCell ref="AC46:AN46"/>
    <mergeCell ref="AC47:AN47"/>
    <mergeCell ref="AC48:AN48"/>
    <mergeCell ref="AC49:AN49"/>
    <mergeCell ref="O48:O57"/>
    <mergeCell ref="R48:Z48"/>
    <mergeCell ref="R49:Z49"/>
    <mergeCell ref="R50:Z50"/>
    <mergeCell ref="R51:Z51"/>
    <mergeCell ref="R52:Z52"/>
    <mergeCell ref="R53:Z53"/>
    <mergeCell ref="C49:H49"/>
    <mergeCell ref="I49:N49"/>
    <mergeCell ref="C50:H50"/>
    <mergeCell ref="I50:N50"/>
    <mergeCell ref="C51:H51"/>
    <mergeCell ref="I51:N51"/>
    <mergeCell ref="C52:H52"/>
    <mergeCell ref="I52:N52"/>
    <mergeCell ref="C53:H53"/>
    <mergeCell ref="I53:N53"/>
    <mergeCell ref="C54:H54"/>
    <mergeCell ref="I54:N54"/>
    <mergeCell ref="R36:W36"/>
    <mergeCell ref="C48:N48"/>
    <mergeCell ref="R54:Z54"/>
    <mergeCell ref="C55:H55"/>
    <mergeCell ref="I55:N55"/>
    <mergeCell ref="R55:Z55"/>
    <mergeCell ref="C56:N56"/>
    <mergeCell ref="R56:Z56"/>
    <mergeCell ref="C57:N57"/>
    <mergeCell ref="R57:Z57"/>
    <mergeCell ref="C58:P58"/>
    <mergeCell ref="C59:N59"/>
    <mergeCell ref="C60:N60"/>
    <mergeCell ref="P60:AA60"/>
    <mergeCell ref="C61:N61"/>
    <mergeCell ref="P61:AA61"/>
    <mergeCell ref="AC50:AN50"/>
    <mergeCell ref="AC51:AN51"/>
    <mergeCell ref="AC52:AN52"/>
    <mergeCell ref="AC53:AN53"/>
    <mergeCell ref="AC54:AN54"/>
    <mergeCell ref="AC55:AN55"/>
    <mergeCell ref="AC56:AN56"/>
    <mergeCell ref="AC57:AN57"/>
    <mergeCell ref="BA61:BA68"/>
    <mergeCell ref="BB61:BB68"/>
    <mergeCell ref="BC61:BC68"/>
    <mergeCell ref="AC60:AN60"/>
    <mergeCell ref="AC61:AN61"/>
    <mergeCell ref="AV61:AV68"/>
    <mergeCell ref="AW61:AW68"/>
    <mergeCell ref="AX61:AX68"/>
    <mergeCell ref="AY61:AY68"/>
    <mergeCell ref="AZ61:AZ68"/>
    <mergeCell ref="AC62:AN62"/>
    <mergeCell ref="AC63:AN63"/>
    <mergeCell ref="C62:N62"/>
    <mergeCell ref="P62:AA62"/>
    <mergeCell ref="C63:N63"/>
    <mergeCell ref="P63:AA63"/>
    <mergeCell ref="C64:N64"/>
    <mergeCell ref="P64:AA64"/>
    <mergeCell ref="C65:N65"/>
    <mergeCell ref="P65:AA65"/>
    <mergeCell ref="C66:N66"/>
    <mergeCell ref="P66:AA66"/>
    <mergeCell ref="C67:N67"/>
    <mergeCell ref="P67:AA67"/>
    <mergeCell ref="C68:N68"/>
    <mergeCell ref="P68:AA68"/>
    <mergeCell ref="R162:AB162"/>
    <mergeCell ref="R163:AN163"/>
    <mergeCell ref="R165:AN165"/>
    <mergeCell ref="R166:AN166"/>
    <mergeCell ref="R167:AN167"/>
    <mergeCell ref="R168:AN168"/>
    <mergeCell ref="R169:AN169"/>
    <mergeCell ref="R177:AN177"/>
    <mergeCell ref="R178:AN178"/>
    <mergeCell ref="B180:AO180"/>
    <mergeCell ref="R170:AN170"/>
    <mergeCell ref="R171:AN171"/>
    <mergeCell ref="R172:AN172"/>
    <mergeCell ref="R173:AN173"/>
    <mergeCell ref="R174:AN174"/>
    <mergeCell ref="R175:AN175"/>
    <mergeCell ref="R176:AN176"/>
    <mergeCell ref="X103:AD103"/>
    <mergeCell ref="X104:AD104"/>
    <mergeCell ref="X106:AD106"/>
    <mergeCell ref="X107:AD107"/>
    <mergeCell ref="X108:AD108"/>
    <mergeCell ref="X109:AD109"/>
    <mergeCell ref="X110:AD110"/>
    <mergeCell ref="X112:AD112"/>
    <mergeCell ref="X113:AD113"/>
    <mergeCell ref="X114:AD114"/>
    <mergeCell ref="X115:AD115"/>
    <mergeCell ref="X116:AD116"/>
    <mergeCell ref="X118:AD118"/>
    <mergeCell ref="X119:AD119"/>
    <mergeCell ref="X120:AD120"/>
    <mergeCell ref="X121:AD121"/>
    <mergeCell ref="X123:AD123"/>
    <mergeCell ref="X124:AD124"/>
    <mergeCell ref="X125:AD125"/>
    <mergeCell ref="X126:AD126"/>
    <mergeCell ref="X128:AD128"/>
    <mergeCell ref="X129:AD129"/>
    <mergeCell ref="X130:AD130"/>
    <mergeCell ref="X131:AD131"/>
    <mergeCell ref="X133:AD133"/>
    <mergeCell ref="X134:AD134"/>
    <mergeCell ref="X135:AD135"/>
    <mergeCell ref="X137:AD137"/>
    <mergeCell ref="X138:AD138"/>
    <mergeCell ref="X139:AD139"/>
    <mergeCell ref="X141:AD141"/>
    <mergeCell ref="X142:AD142"/>
    <mergeCell ref="X143:AD143"/>
    <mergeCell ref="B145:AO145"/>
    <mergeCell ref="R147:AB147"/>
    <mergeCell ref="R148:AB148"/>
    <mergeCell ref="R149:AB149"/>
    <mergeCell ref="R150:AB150"/>
    <mergeCell ref="R151:AB151"/>
    <mergeCell ref="R152:AB152"/>
    <mergeCell ref="R153:AB153"/>
    <mergeCell ref="R154:AB154"/>
    <mergeCell ref="R155:AB155"/>
    <mergeCell ref="R156:AB156"/>
    <mergeCell ref="R157:AB157"/>
    <mergeCell ref="R158:AB158"/>
    <mergeCell ref="R159:AB159"/>
    <mergeCell ref="R160:AB160"/>
    <mergeCell ref="R161:AB161"/>
  </mergeCells>
  <conditionalFormatting sqref="R17">
    <cfRule type="cellIs" dxfId="0" priority="1" operator="equal">
      <formula>0</formula>
    </cfRule>
  </conditionalFormatting>
  <conditionalFormatting sqref="R17">
    <cfRule type="expression" dxfId="1" priority="2">
      <formula>R17&lt;(U16/4)</formula>
    </cfRule>
  </conditionalFormatting>
  <conditionalFormatting sqref="R17:AA18">
    <cfRule type="expression" dxfId="2" priority="3">
      <formula>R17&lt;(U16/2)</formula>
    </cfRule>
  </conditionalFormatting>
  <conditionalFormatting sqref="AC57:AN57">
    <cfRule type="notContainsText" dxfId="3" priority="4" operator="notContains" text="EQUIPPED ITEMS">
      <formula>ISERROR(SEARCH(("EQUIPPED ITEMS"),(AC57)))</formula>
    </cfRule>
  </conditionalFormatting>
  <conditionalFormatting sqref="R43">
    <cfRule type="notContainsText" dxfId="3" priority="5" operator="notContains" text="ATTACKS &amp; NOTES">
      <formula>ISERROR(SEARCH(("ATTACKS &amp; NOTES"),(R43)))</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0" priority="6">
      <formula>or($I$174="Red",isnumber(find("rouge",$T$5)))</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4" priority="7">
      <formula>$I$174="Orange"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5" priority="8">
      <formula>$I$174="Yellow"</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6" priority="9">
      <formula>$I$174="Green"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7" priority="10">
      <formula>$I$174="Cyan"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8" priority="11">
      <formula>$I$174="Blue"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9" priority="12">
      <formula>$I$174="Purple"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10" priority="13">
      <formula>$I$174="Magenta"</formula>
    </cfRule>
  </conditionalFormatting>
  <conditionalFormatting sqref="H17:H42 I174">
    <cfRule type="expression" dxfId="1" priority="14">
      <formula>and($I$174="Red",H17="e")</formula>
    </cfRule>
  </conditionalFormatting>
  <conditionalFormatting sqref="H17:H42 I174">
    <cfRule type="expression" dxfId="11" priority="15">
      <formula>and($I$174="Orange",H17="e")</formula>
    </cfRule>
  </conditionalFormatting>
  <conditionalFormatting sqref="H17:H42 I174">
    <cfRule type="expression" dxfId="5" priority="16">
      <formula>and($I$174="Yellow",H17="e")</formula>
    </cfRule>
  </conditionalFormatting>
  <conditionalFormatting sqref="H17:H42 I174">
    <cfRule type="expression" dxfId="6" priority="17">
      <formula>and($I$174="Green",H17="e")</formula>
    </cfRule>
  </conditionalFormatting>
  <conditionalFormatting sqref="H17:H42 I174">
    <cfRule type="expression" dxfId="7" priority="18">
      <formula>and($I$174="Cyan",H17="e")</formula>
    </cfRule>
  </conditionalFormatting>
  <conditionalFormatting sqref="H17:H42 I174">
    <cfRule type="expression" dxfId="8" priority="19">
      <formula>and($I$174="Blue",H17="e")</formula>
    </cfRule>
  </conditionalFormatting>
  <conditionalFormatting sqref="H17:H42 I174">
    <cfRule type="expression" dxfId="9" priority="20">
      <formula>and($I$174="Purple",H17="e")</formula>
    </cfRule>
  </conditionalFormatting>
  <conditionalFormatting sqref="H17:H42 I174">
    <cfRule type="expression" dxfId="10" priority="21">
      <formula>and($I$174="Magenta",H17="e")</formula>
    </cfRule>
  </conditionalFormatting>
  <conditionalFormatting sqref="AG101:AH102 I107 AG113 I119 AG124 I129 AG134 I138 AG142">
    <cfRule type="cellIs" dxfId="12" priority="22" operator="equal">
      <formula>0</formula>
    </cfRule>
  </conditionalFormatting>
  <conditionalFormatting sqref="D100:D104 N100:N104 X100:X104 N106:N110 X106:X110 AH106:AH110 C111 D112:D116 N112:N116 X112:X116 N118:N121 X118:X121 AH118:AH121 D123:D126 N123:N126 X123:X126 N128:N131 X128:X131 AH128:AH131 D133:D135 N133:N135 X133:X135 N137:N139 X137:X139 AH137:AH139 D141:D144 N141:N144 X141:X144">
    <cfRule type="expression" dxfId="13" priority="23">
      <formula>C100=0</formula>
    </cfRule>
  </conditionalFormatting>
  <conditionalFormatting sqref="M96:M98 W96:W98 AG96:AG98 C100:C104 M100:M104 W100:W104 M106:M110 W106:W110 AG106:AG110 C112:C116 M112:M116 W112:W116 M118:M121 W118:W121 AG118:AG121 C123:C126 M123:M126 W123:W126 M128:M131 W128:W131 AG128:AG131 C133:C136 M133:M144 W133:W144 AG137:AG140 L140 V140 AF140 C141:C144">
    <cfRule type="expression" dxfId="13" priority="24">
      <formula>N96=""</formula>
    </cfRule>
  </conditionalFormatting>
  <conditionalFormatting sqref="R17:AA18">
    <cfRule type="cellIs" dxfId="14" priority="25" operator="equal">
      <formula>U16</formula>
    </cfRule>
  </conditionalFormatting>
  <conditionalFormatting sqref="T2:T4 T5 AE7">
    <cfRule type="expression" dxfId="15" priority="26">
      <formula>if(and(sum($AT$6:$AT$15)&lt;&gt;$AL$6,$T$5&lt;&gt;"",$AL$6&lt;&gt;""),1,"")</formula>
    </cfRule>
  </conditionalFormatting>
  <conditionalFormatting sqref="I17:I42">
    <cfRule type="expression" dxfId="14" priority="27">
      <formula>and(or(lower(F17:F42)="a",regexmatch(lower(F17:F42),"adv")),not(regexmatch(lower(F17:F42),"dis")))</formula>
    </cfRule>
  </conditionalFormatting>
  <conditionalFormatting sqref="I17:I42">
    <cfRule type="expression" dxfId="16" priority="28">
      <formula>or(lower(F17)="d",regexmatch(lower(F17),"dis"))</formula>
    </cfRule>
  </conditionalFormatting>
  <conditionalFormatting sqref="I25:I42">
    <cfRule type="expression" dxfId="17" priority="29">
      <formula>H25="e"</formula>
    </cfRule>
  </conditionalFormatting>
  <conditionalFormatting sqref="I25:I42">
    <cfRule type="expression" dxfId="18" priority="30">
      <formula>and($H25=0,$AQ$59&lt;&gt;"")</formula>
    </cfRule>
  </conditionalFormatting>
  <conditionalFormatting sqref="I17:I22 I25:I42">
    <cfRule type="expression" dxfId="12" priority="31">
      <formula>H17=0</formula>
    </cfRule>
  </conditionalFormatting>
  <conditionalFormatting sqref="V12">
    <cfRule type="expression" dxfId="14" priority="32">
      <formula>or($V$11="a",and(regexmatch($V$11,"adv"),not(regexmatch($V$11,"dis"))))</formula>
    </cfRule>
  </conditionalFormatting>
  <conditionalFormatting sqref="V12">
    <cfRule type="expression" dxfId="16" priority="33">
      <formula>or($V$11="d",regexmatch($V$11,"dis"))</formula>
    </cfRule>
  </conditionalFormatting>
  <conditionalFormatting sqref="R17">
    <cfRule type="cellIs" dxfId="0" priority="34" operator="equal">
      <formula>0</formula>
    </cfRule>
  </conditionalFormatting>
  <conditionalFormatting sqref="R17">
    <cfRule type="expression" dxfId="1" priority="35">
      <formula>R17&lt;(U16/4)</formula>
    </cfRule>
  </conditionalFormatting>
  <conditionalFormatting sqref="R17:AA18">
    <cfRule type="expression" dxfId="2" priority="36">
      <formula>R17&lt;(U16/2)</formula>
    </cfRule>
  </conditionalFormatting>
  <conditionalFormatting sqref="AG101:AH102 I107 AG113 I119 AG124 I129 AG134 I138 AG142">
    <cfRule type="cellIs" dxfId="12" priority="37" operator="equal">
      <formula>0</formula>
    </cfRule>
  </conditionalFormatting>
  <conditionalFormatting sqref="R17:AA18">
    <cfRule type="cellIs" dxfId="14" priority="38" operator="equal">
      <formula>U16</formula>
    </cfRule>
  </conditionalFormatting>
  <conditionalFormatting sqref="J17:J42">
    <cfRule type="expression" dxfId="14" priority="39">
      <formula>F17:F42="adv"</formula>
    </cfRule>
  </conditionalFormatting>
  <conditionalFormatting sqref="J17:J42">
    <cfRule type="expression" dxfId="16" priority="40">
      <formula>F17:F42="dis"</formula>
    </cfRule>
  </conditionalFormatting>
  <conditionalFormatting sqref="J25:J42">
    <cfRule type="expression" dxfId="19" priority="41">
      <formula>if(isnumber(find(J25,$AR$16)),and(counta(iferror(filter($J$25:$J$42,isnumber(find($J$25:$J$42,$AR$16)),$H$25:$H$42&lt;&gt;0)))&lt;$AS$18,H25=0,countif($H$25:$H$42,"&lt;&gt;0")&lt;$AS$16+if($AJ$11&lt;&gt;"",2,0)),0)</formula>
    </cfRule>
  </conditionalFormatting>
  <conditionalFormatting sqref="J25:J42">
    <cfRule type="expression" dxfId="20" priority="42">
      <formula>if(isnumber(find(J25,$AQ$16)),and(counta(iferror(filter($J$25:$J$42,isnumber(find($J$25:$J$42,$AQ$16)),$H$25:$H$42&lt;&gt;0)))&lt;2,H25=0,countif($H$25:$H$42,"&lt;&gt;0")&lt;$AS$16+if($AJ$11&lt;&gt;"",2,0)),0)</formula>
    </cfRule>
  </conditionalFormatting>
  <conditionalFormatting sqref="J25:J42">
    <cfRule type="expression" dxfId="21" priority="43">
      <formula>and(if(isnumber(find(J25,$AW$17)),and(counta(iferror(filter($J$25:$J$42,isnumber(find($J$25:$J$42,$AW$17)),$H$25:$H$42&lt;&gt;0)))&lt;$AS$19,H25=0,countif($H$25:$H$42,"&lt;&gt;0")&lt;$AS$16++if($AJ$11&lt;&gt;"",2,0)),0),counta(split($AR$16,","))=18)</formula>
    </cfRule>
  </conditionalFormatting>
  <conditionalFormatting sqref="J25:J42">
    <cfRule type="expression" dxfId="22" priority="44">
      <formula>if(isnumber(find(J25,$AR$16)),and(counta(iferror(filter($J$25:$J$42,isnumber(find($J$25:$J$42,$AR$16)),$H$25:$H$42&lt;&gt;0)))&lt;$AS$17,H25=0,countif($H$25:$H$42,"&lt;&gt;0")&lt;$AS$16+if($AJ$11&lt;&gt;"",2,0)),0)</formula>
    </cfRule>
  </conditionalFormatting>
  <conditionalFormatting sqref="J25:J42">
    <cfRule type="expression" dxfId="21" priority="45">
      <formula>if(isnumber(find(J25,$AW$17)),and(counta(iferror(filter($J$25:$J$42,isnumber(find($J$25:$J$42,$AW$17)),$H$25:$H$42&lt;&gt;0)))&lt;$AS$19,H25=0,countif($H$25:$H$42,"&lt;&gt;0")&lt;$AS$16+if($AJ$11&lt;&gt;"",2,0)),0)</formula>
    </cfRule>
  </conditionalFormatting>
  <conditionalFormatting sqref="T8:AD8">
    <cfRule type="expression" dxfId="23" priority="46">
      <formula>and(T7&lt;&gt;"",AQ5="")</formula>
    </cfRule>
  </conditionalFormatting>
  <conditionalFormatting sqref="C11 D11">
    <cfRule type="expression" dxfId="24" priority="47">
      <formula>countif({$C16,$C21,$C26,$C31,$C36,$C41},"=0")&gt;5</formula>
    </cfRule>
  </conditionalFormatting>
  <conditionalFormatting sqref="D16 D21 D26 D31 D36 D41">
    <cfRule type="expression" dxfId="25" priority="48">
      <formula>if(isnumber(find("choose",lower($AR$5))),if(and(regexmatch(mid($AR$5,find("choose",$AR$5),len($AR$5)),lower(C12)&amp;" \+[0-9]"),sum($D$16,$D$21,$D$26,$D$31,$D$36,$D$41)&lt;int(right(regexextract(lower($AR$5),"choose [0-9]"),1))),int(right(regexextract(mid($AR$5,find("choose",$AR$5),len($AR$5)),lower(C12)&amp;" \+[0-9]"),1)),0))</formula>
    </cfRule>
  </conditionalFormatting>
  <conditionalFormatting sqref="D11">
    <cfRule type="expression" dxfId="25" priority="49">
      <formula>sum($D$16,$D$21,$D$26,$D$31,$D$36,$D$41)&lt;int(right(regexextract(lower($AR$5),"choose [0-9]"),1))</formula>
    </cfRule>
  </conditionalFormatting>
  <conditionalFormatting sqref="C16 C21 C26 C31 C36 C41">
    <cfRule type="expression" dxfId="26" priority="50">
      <formula>or(C16&lt;1,C16="")</formula>
    </cfRule>
  </conditionalFormatting>
  <conditionalFormatting sqref="T5 T7 AE7">
    <cfRule type="containsBlanks" dxfId="27" priority="51">
      <formula>LEN(TRIM(T5))=0</formula>
    </cfRule>
  </conditionalFormatting>
  <conditionalFormatting sqref="H25:H42">
    <cfRule type="expression" dxfId="27" priority="52">
      <formula>and(isnumber(find(J25,textjoin(", ",True,$AQ$16,$AR$16,$AW$17))),H25=0,and($AW$16&lt;&gt;"",countif($H$25:$H$42,"&lt;&gt;0")&lt;if($AJ$11&lt;&gt;"",2,0)+$AS$16))</formula>
    </cfRule>
  </conditionalFormatting>
  <conditionalFormatting sqref="I51:N53">
    <cfRule type="containsBlanks" dxfId="28" priority="53">
      <formula>LEN(TRIM(I51))=0</formula>
    </cfRule>
  </conditionalFormatting>
  <dataValidations>
    <dataValidation type="list" allowBlank="1" sqref="C91">
      <formula1>v2.1!$AQ$91:$AQ$100</formula1>
    </dataValidation>
    <dataValidation type="list" allowBlank="1" sqref="R48">
      <formula1>v2.1!$BC$69:$BC180</formula1>
    </dataValidation>
    <dataValidation type="list" allowBlank="1" sqref="R54">
      <formula1>v2.1!$BC$69:$BC180</formula1>
    </dataValidation>
    <dataValidation type="list" allowBlank="1" sqref="AC46:AC56">
      <formula1>'Gear Info'!$B$7:$B$201</formula1>
    </dataValidation>
    <dataValidation type="list" allowBlank="1" sqref="R52">
      <formula1>v2.1!$BC$69:$BC180</formula1>
    </dataValidation>
    <dataValidation type="list" allowBlank="1" sqref="R50">
      <formula1>v2.1!$BC$69:$BC180</formula1>
    </dataValidation>
    <dataValidation type="list" allowBlank="1" sqref="AJ28">
      <formula1>"Lawful Good,Lawful Neutral,Lawful Evil,Neutral Good,True Neutral,Neutral Evil,Chaotic Good,Chaotic Neutral,Chaotic Evil,Lawful Jerk,Chaotic Stupid,Neutral Wuss"</formula1>
    </dataValidation>
    <dataValidation type="list" allowBlank="1" sqref="R55">
      <formula1>v2.1!$BC$69:$BC180</formula1>
    </dataValidation>
    <dataValidation type="list" allowBlank="1" sqref="R51">
      <formula1>v2.1!$BC$69:$BC180</formula1>
    </dataValidation>
    <dataValidation type="list" allowBlank="1" sqref="R49">
      <formula1>v2.1!$BC$69:$BC180</formula1>
    </dataValidation>
    <dataValidation type="list" allowBlank="1" sqref="R56">
      <formula1>v2.1!$BC$69:$BC180</formula1>
    </dataValidation>
    <dataValidation type="list" allowBlank="1" showErrorMessage="1" sqref="I174">
      <formula1>"Black,Red,Orange,Yellow,Green,Cyan,Blue,Purple,Magenta"</formula1>
    </dataValidation>
    <dataValidation type="list" allowBlank="1" sqref="R32:R36">
      <formula1>'Attack Info'!$B$7:$B$201</formula1>
    </dataValidation>
    <dataValidation type="list" allowBlank="1" sqref="AJ11">
      <formula1>v2.1!$AX$69:$AX180</formula1>
    </dataValidation>
    <dataValidation type="list" allowBlank="1" sqref="R47">
      <formula1>v2.1!$BC$69:$BC180</formula1>
    </dataValidation>
    <dataValidation type="list" allowBlank="1" sqref="C174">
      <formula1>$AQ$156:$AQ$178</formula1>
    </dataValidation>
    <dataValidation type="list" allowBlank="1" sqref="R53">
      <formula1>v2.1!$BC$69:$BC180</formula1>
    </dataValidation>
    <dataValidation type="list" allowBlank="1" sqref="T7">
      <formula1>'Race Info'!$B$7:$B1180</formula1>
    </dataValidation>
    <dataValidation type="list" allowBlank="1" sqref="AC45">
      <formula1>'Gear Info'!$B$7:$B201</formula1>
    </dataValidation>
    <dataValidation type="list" allowBlank="1" sqref="R46">
      <formula1>v2.1!$BC$69:$BC180</formula1>
    </dataValidation>
  </dataValidations>
  <hyperlinks>
    <hyperlink r:id="rId2" ref="AR156"/>
    <hyperlink r:id="rId3" ref="AS156"/>
    <hyperlink r:id="rId4" ref="AR157"/>
    <hyperlink r:id="rId5" ref="AS157"/>
    <hyperlink r:id="rId6" ref="AR158"/>
    <hyperlink r:id="rId7" ref="AS158"/>
    <hyperlink r:id="rId8" ref="AR159"/>
    <hyperlink r:id="rId9" ref="AS159"/>
    <hyperlink r:id="rId10" ref="AR160"/>
    <hyperlink r:id="rId11" ref="AS160"/>
    <hyperlink r:id="rId12" ref="AR161"/>
    <hyperlink r:id="rId13" ref="AS161"/>
    <hyperlink r:id="rId14" ref="AR162"/>
    <hyperlink r:id="rId15" ref="AS162"/>
    <hyperlink r:id="rId16" ref="AR163"/>
    <hyperlink r:id="rId17" ref="AS163"/>
    <hyperlink r:id="rId18" ref="AR164"/>
    <hyperlink r:id="rId19" ref="AS164"/>
    <hyperlink r:id="rId20" ref="AR165"/>
    <hyperlink r:id="rId21" ref="AS165"/>
    <hyperlink r:id="rId22" ref="AR166"/>
    <hyperlink r:id="rId23" ref="AS166"/>
    <hyperlink r:id="rId24" ref="AR167"/>
    <hyperlink r:id="rId25" ref="AS167"/>
    <hyperlink r:id="rId26" ref="AR168"/>
    <hyperlink r:id="rId27" ref="AS168"/>
    <hyperlink r:id="rId28" ref="AR169"/>
    <hyperlink r:id="rId29" ref="AS169"/>
    <hyperlink r:id="rId30" ref="AR170"/>
    <hyperlink r:id="rId31" ref="AS170"/>
    <hyperlink r:id="rId32" ref="AR171"/>
    <hyperlink r:id="rId33" ref="AS171"/>
    <hyperlink r:id="rId34" ref="AR172"/>
    <hyperlink r:id="rId35" ref="AS172"/>
    <hyperlink r:id="rId36" ref="AR173"/>
    <hyperlink r:id="rId37" ref="AS173"/>
    <hyperlink r:id="rId38" ref="AR174"/>
    <hyperlink r:id="rId39" ref="AS174"/>
    <hyperlink r:id="rId40" ref="AR175"/>
    <hyperlink r:id="rId41" ref="AS175"/>
  </hyperlinks>
  <drawing r:id="rId42"/>
  <legacy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hidden="1" min="43" max="55" width="3.0"/>
  </cols>
  <sheetData>
    <row r="1" ht="15.75" customHeight="1">
      <c r="A1" s="311" t="str">
        <f>IMAGE("https://i.imgur.com/dLCrlMP.png",1)</f>
        <v/>
      </c>
      <c r="B1" s="311"/>
      <c r="C1" s="311"/>
      <c r="D1" s="311"/>
      <c r="E1" s="311"/>
      <c r="F1" s="311"/>
      <c r="G1" s="311"/>
      <c r="H1" s="311"/>
      <c r="I1" s="311"/>
      <c r="J1" s="311"/>
      <c r="K1" s="311"/>
      <c r="L1" s="311"/>
      <c r="M1" s="311"/>
      <c r="N1" s="311"/>
      <c r="O1" s="311"/>
      <c r="P1" s="311"/>
      <c r="Q1" s="312"/>
      <c r="R1" s="312"/>
      <c r="S1" s="312"/>
      <c r="T1" s="312"/>
      <c r="U1" s="12" t="str">
        <f>IMAGE("https://i.imgur.com/d8lzxuU.png",2)</f>
        <v/>
      </c>
      <c r="W1" s="311"/>
      <c r="X1" s="311"/>
      <c r="Y1" s="311"/>
      <c r="Z1" s="311"/>
      <c r="AA1" s="311"/>
      <c r="AB1" s="311"/>
      <c r="AC1" s="311"/>
      <c r="AD1" s="311"/>
      <c r="AE1" s="311"/>
      <c r="AF1" s="311"/>
      <c r="AG1" s="311"/>
      <c r="AH1" s="311"/>
      <c r="AI1" s="311"/>
      <c r="AJ1" s="311"/>
      <c r="AK1" s="311"/>
      <c r="AL1" s="312"/>
      <c r="AM1" s="312"/>
      <c r="AN1" s="312"/>
      <c r="AO1" s="312"/>
      <c r="AP1" s="311" t="str">
        <f>IMAGE("https://i.imgur.com/UEkMpNa.png",1)</f>
        <v/>
      </c>
      <c r="AQ1" s="3"/>
      <c r="AR1" s="3"/>
      <c r="AS1" s="3"/>
      <c r="AT1" s="3"/>
      <c r="AU1" s="3"/>
      <c r="AV1" s="3"/>
      <c r="AW1" s="3"/>
      <c r="AX1" s="3"/>
      <c r="AY1" s="3"/>
      <c r="AZ1" s="3"/>
      <c r="BA1" s="3"/>
      <c r="BB1" s="3"/>
      <c r="BC1" s="3"/>
    </row>
    <row r="2" ht="15.75" customHeight="1">
      <c r="B2" s="313" t="s">
        <v>59</v>
      </c>
      <c r="C2" s="25"/>
      <c r="D2" s="25"/>
      <c r="E2" s="25"/>
      <c r="F2" s="25"/>
      <c r="G2" s="25"/>
      <c r="H2" s="314"/>
      <c r="I2" s="313" t="s">
        <v>60</v>
      </c>
      <c r="J2" s="25"/>
      <c r="K2" s="25"/>
      <c r="L2" s="315"/>
      <c r="M2" s="313" t="s">
        <v>61</v>
      </c>
      <c r="N2" s="25"/>
      <c r="O2" s="25"/>
      <c r="P2" s="25"/>
      <c r="Q2" s="311"/>
      <c r="R2" s="311"/>
      <c r="S2" s="311"/>
      <c r="T2" s="311"/>
      <c r="W2" s="313" t="s">
        <v>59</v>
      </c>
      <c r="X2" s="25"/>
      <c r="Y2" s="25"/>
      <c r="Z2" s="25"/>
      <c r="AA2" s="25"/>
      <c r="AB2" s="25"/>
      <c r="AC2" s="314"/>
      <c r="AD2" s="313" t="s">
        <v>60</v>
      </c>
      <c r="AE2" s="25"/>
      <c r="AF2" s="25"/>
      <c r="AG2" s="315"/>
      <c r="AH2" s="313" t="s">
        <v>61</v>
      </c>
      <c r="AI2" s="25"/>
      <c r="AJ2" s="25"/>
      <c r="AK2" s="25"/>
      <c r="AL2" s="311"/>
      <c r="AM2" s="311"/>
      <c r="AN2" s="311"/>
      <c r="AO2" s="311"/>
      <c r="AQ2" s="3"/>
      <c r="AR2" s="3"/>
      <c r="AS2" s="3"/>
      <c r="AT2" s="3"/>
      <c r="AU2" s="3"/>
      <c r="AV2" s="3"/>
      <c r="AW2" s="3"/>
      <c r="AX2" s="3"/>
      <c r="AY2" s="3"/>
      <c r="AZ2" s="3"/>
      <c r="BA2" s="3"/>
      <c r="BB2" s="3"/>
      <c r="BC2" s="3"/>
    </row>
    <row r="3" ht="15.75" customHeight="1">
      <c r="B3" s="155"/>
      <c r="C3" s="156"/>
      <c r="D3" s="156"/>
      <c r="E3" s="156"/>
      <c r="F3" s="156"/>
      <c r="G3" s="156"/>
      <c r="H3" s="157" t="str">
        <f t="shared" ref="H3:H13" si="1">IMAGE("http://i.imgur.com/qlVxTyw.png",3)</f>
        <v/>
      </c>
      <c r="I3" s="158" t="str">
        <f>IFERROR(__xludf.DUMMYFUNCTION("if(and(proficiencyBonus,$AQ3&lt;&gt;"""",$BC3&lt;&gt;""-""),
        if(or(
              isnumber(find(""unarmed"",lower($AT3))),
              isnumber(find(""natural"",lower($AT3))),
              isnumber(find(""spell"",lower($AT3))),
              and(isnumber(f"&amp;"ind(""improvised"",lower($AQ3))),isnumber(find(""brawler"",feats))),
              isnumber(find(lower($AT3),lower(weaponProficiencies))),
              not(isna(filter(arrayformula(trim(split(lower(weaponProficiencies),"",""))),isnumber(find(arrayformula"&amp;"(trim(split(lower(weaponProficiencies),"",""))),lower($AQ3))))))
           ),
           proficiencyBonus,
           0
        )
        +if(lower($AU3)=""ranged"",archery+closeQuarters,0)
        +if(isnumber(find(""spell"",lower($AT3))),v2.1!$AR$91,0)"&amp;"
        +$BC3,
        ""-""
    )"),"-")</f>
        <v>-</v>
      </c>
      <c r="J3" s="156"/>
      <c r="K3" s="156"/>
      <c r="L3" s="157" t="str">
        <f t="shared" ref="L3:L13" si="2">IMAGE("http://i.imgur.com/qlVxTyw.png",3)</f>
        <v/>
      </c>
      <c r="M3" s="159" t="str">
        <f>IFERROR(__xludf.DUMMYFUNCTION("substitute(if(and($AQ3&lt;&gt;"""",proficiencyBonus&lt;&gt;""""),
 $AR3&amp;if(and(""melee""=lower($AU3),lower($AT3)&lt;&gt;""unarmed"",isnumber(find(""two-handed"",lower($R3&amp;$BA3)))),greatWeaponFighting,"""")
&amp;if($AR3&lt;&gt;0,""+""
&amp;if($BB3&lt;&gt;""〇"",$BC3,if($AW3&lt;&gt;""-"",$AW3,0))
+int"&amp;"(iferror(regexextract(regexextract(Additional!$AR$79,""proficiency with[a-z ]+""&amp;lower(array_constrain(filter('Attack Info'!$B$7:$B81,'Attack Info'!$B$7:$B81&lt;&gt;"""",isnumber(find(lower('Attack Info'!$B$7:$B81),lower($AQ3)))),1,1))&amp;""[a-z, ]+\+[0-9]+ bonus "&amp;"to damage[a-z ]+with such weapons""),""[0-9]+?""),0))
+int(iferror(regexextract(regexextract(Additional!$AR$79,""\+[0-9] bonus to damage[a-z ]+""&amp;lower(array_constrain(filter('Attack Info'!$B$7:$B81,'Attack Info'!$B$7:$B81&lt;&gt;"""",isnumber(find(lower('Attac"&amp;"k Info'!$B$7:$B81),lower($AQ3)))),1,1))),""[0-9]+?""),0))
+if(and(isnumber(find(""melee"",lower($AU3))),iserror(find(""unarmed"",lower($AT3))),iserror(find(""natural"",lower($AT3))),iserror(find(""two-handed"",lower($R3&amp;$BA3)))),dueling,0)
+if(isnumber(fi"&amp;"nd(""thrown"",lower($BA3))),thrown,0)
&amp;""[""&amp;$AS3&amp;""]"","""")
&amp;if(and(PaladinLevel&gt;=11,isnumber(find(""melee"",lower($AU3))),isnumber(find(lower($AT3),""simplemartial""))),""+1d8[radiant]"","""")
&amp;if($AX3&lt;&gt;""-"",""+""&amp;$AX3&amp;""[""&amp;$AY3&amp;""]"","""")
&amp;if(and(i"&amp;"snumber(find(""pact"",lower($AQ3))),isnumber(find(""lifedrinker"",lower(invocations)))),""+""&amp;chaMod&amp;""[necrotic]"","""")
&amp;""|***""&amp;textjoin("" "",True,if(and($AT3&lt;&gt;""-"",$AT3&lt;&gt;""Spell""),$AT3,""""),if($AU3&lt;&gt;""-"",$AU3,""""),if($AT3=""Spell"",$AT3,if(and("&amp;"$AT3&lt;&gt;""Unarmed"",$AT3&lt;&gt;""Natural""),""Weapon"","""")))&amp;"" Attack.***""
&amp;if($BA3&lt;&gt;""-"",""
""&amp;$BA3,"""")
&amp;if(and(isnumber(find(""melee"",lower($AU3))),iserror(find(""unarmed"",lower($AT3))),iserror(find(""natural"",lower($AT3))),iserror(find(""two-handed"&amp;""",lower($R3&amp;$AV3)))),""
""&amp;duelingText,"""")
&amp;if(and(or(lower($AT3)=""unarmed"",lower($AT3)=""natural""),unarmedFighting),""
""&amp;unarmedText,"""")
&amp;if(and(""melee""=lower($AU3),lower($AT3)&lt;&gt;""unarmed"",isnumber(find(""two-handed"",lower($R3&amp;$BA3)))),""
"""&amp;"&amp;gwfText,"""")
&amp;if(and(isnumber(find(""offhand"",lower($R3))),twoWeaponFighting),""
""&amp;twfText,"""")
&amp;if(and(lower($AU3)=""ranged"",lower($AT3)&lt;&gt;""spell""),if(archeryText&lt;&gt;"""",""
""&amp;archeryText,"""")&amp;if(closeQuartersText&lt;&gt;"""",""
""&amp;closeQuartersText,"""&amp;"""),"""")
&amp;if(isnumber(find(""thrown"",lower($BA3))),""
""&amp;thrownText,""""),""                 -""),""+0"","""")"),"                 -")</f>
        <v>                 -</v>
      </c>
      <c r="N3" s="160"/>
      <c r="O3" s="160"/>
      <c r="P3" s="160"/>
      <c r="Q3" s="160"/>
      <c r="R3" s="160"/>
      <c r="S3" s="160"/>
      <c r="T3" s="160"/>
      <c r="W3" s="163"/>
      <c r="X3" s="156"/>
      <c r="Y3" s="156"/>
      <c r="Z3" s="156"/>
      <c r="AA3" s="156"/>
      <c r="AB3" s="156"/>
      <c r="AC3" s="157" t="str">
        <f t="shared" ref="AC3:AC13" si="3">IMAGE("http://i.imgur.com/qlVxTyw.png",3)</f>
        <v/>
      </c>
      <c r="AD3" s="158" t="str">
        <f>IFERROR(__xludf.DUMMYFUNCTION("if(and(proficiencyBonus,$AQ14&lt;&gt;"""",$BC14&lt;&gt;""-""),
        if(or(
              isnumber(find(""unarmed"",lower($AT14))),
              isnumber(find(""natural"",lower($AT14))),
              isnumber(find(""spell"",lower($AT14))),
              and(isnum"&amp;"ber(find(""improvised"",lower($AQ14))),isnumber(find(""brawler"",feats))),
              isnumber(find(lower($AT14),lower(weaponProficiencies))),
              not(isna(filter(arrayformula(trim(split(lower(weaponProficiencies),"",""))),isnumber(find(array"&amp;"formula(trim(split(lower(weaponProficiencies),"",""))),lower($AQ14))))))
           ),
           proficiencyBonus,
           0
        )
        +if(lower($AU14)=""ranged"",archery+closeQuarters,0)
        +if(isnumber(find(""spell"",lower($AT14))),v2.1"&amp;"!$AR$91,0)
        +$BC14,
        ""-""
    )"),"-")</f>
        <v>-</v>
      </c>
      <c r="AE3" s="156"/>
      <c r="AF3" s="156"/>
      <c r="AG3" s="157" t="str">
        <f t="shared" ref="AG3:AG13" si="4">IMAGE("http://i.imgur.com/qlVxTyw.png",3)</f>
        <v/>
      </c>
      <c r="AH3" s="159" t="str">
        <f>IFERROR(__xludf.DUMMYFUNCTION("substitute(if(and($AQ14&lt;&gt;"""",proficiencyBonus&lt;&gt;""""),
 $AR14&amp;if(and(""melee""=lower($AU14),lower($AT14)&lt;&gt;""unarmed"",isnumber(find(""two-handed"",lower($W3&amp;$BA14)))),greatWeaponFighting,"""")
&amp;if($AR14&lt;&gt;0,""+""
&amp;if($BB14&lt;&gt;""〇"",$BC14,if($AW14&lt;&gt;""-"",$AW1"&amp;"4,0))
+int(iferror(regexextract(regexextract(Additional!$AR$79,""proficiency with[a-z ]+""&amp;lower(array_constrain(filter('Attack Info'!$B$7:$B81,'Attack Info'!$B$7:$B81&lt;&gt;"""",isnumber(find(lower('Attack Info'!$B$7:$B81),lower($AQ14)))),1,1))&amp;""[a-z, ]+\+[0"&amp;"-9]+ bonus to damage[a-z ]+with such weapons""),""[0-9]+?""),0))
+int(iferror(regexextract(regexextract(Additional!$AR$79,""\+[0-9] bonus to damage[a-z ]+""&amp;lower(array_constrain(filter('Attack Info'!$B$7:$B81,'Attack Info'!$B$7:$B81&lt;&gt;"""",isnumber(find(l"&amp;"ower('Attack Info'!$B$7:$B81),lower($AQ14)))),1,1))),""[0-9]+?""),0))
+if(and(isnumber(find(""melee"",lower($AU14))),iserror(find(""unarmed"",lower($AT14))),iserror(find(""natural"",lower($AT14))),iserror(find(""two-handed"",lower($W3&amp;$BA14)))),dueling,0)"&amp;"
+if(isnumber(find(""thrown"",lower($BA14))),thrown,0)
&amp;""[""&amp;$AS14&amp;""]"","""")
&amp;if(and(PaladinLevel&gt;=11,isnumber(find(""melee"",lower($AU14))),isnumber(find(lower($AT14),""simplemartial""))),""+1d8[radiant]"","""")
&amp;if($AX14&lt;&gt;""-"",""+""&amp;$AX14&amp;""[""&amp;$AY1"&amp;"4&amp;""]"","""")
&amp;if(and(isnumber(find(""pact"",lower($AQ14))),isnumber(find(""lifedrinker"",lower(invocations)))),""+""&amp;chaMod&amp;""[necrotic]"","""")
&amp;""|***""&amp;textjoin("" "",True,if(and($AT14&lt;&gt;""-"",$AT14&lt;&gt;""Spell""),$AT14,""""),if($AU14&lt;&gt;""-"",$AU14,""""),i"&amp;"f($AT14=""Spell"",$AT14,if(and($AT14&lt;&gt;""Unarmed"",$AT14&lt;&gt;""Natural""),""Weapon"","""")))&amp;"" Attack.***""
&amp;if($BA14&lt;&gt;""-"",""
""&amp;$BA14,"""")
&amp;if(and(isnumber(find(""melee"",lower($AU14))),iserror(find(""unarmed"",lower($AT14))),iserror(find(""natural"",low"&amp;"er($AT14))),iserror(find(""two-handed"",lower($W3&amp;$AV14)))),""
""&amp;duelingText,"""")
&amp;if(and(or(lower($AT14)=""unarmed"",lower($AT14)=""natural""),unarmedFighting),""
""&amp;unarmedText,"""")
&amp;if(and(""melee""=lower($AU14),lower($AT14)&lt;&gt;""unarmed"",isnumber(fi"&amp;"nd(""two-handed"",lower($W3&amp;$BA14)))),""
""&amp;gwfText,"""")
&amp;if(and(isnumber(find(""offhand"",lower($W3))),twoWeaponFighting),""
""&amp;twfText,"""")
&amp;if(and(lower($AU14)=""ranged"",lower($AT14)&lt;&gt;""spell""),if(archeryText&lt;&gt;"""",""
""&amp;archeryText,"""")&amp;if(closeQ"&amp;"uartersText&lt;&gt;"""",""
""&amp;closeQuartersText,""""),"""")
&amp;if(isnumber(find(""thrown"",lower($BA14))),""
""&amp;thrownText,""""),""                 -""),""+0"","""")"),"                 -")</f>
        <v>                 -</v>
      </c>
      <c r="AI3" s="160"/>
      <c r="AJ3" s="160"/>
      <c r="AK3" s="160"/>
      <c r="AL3" s="160"/>
      <c r="AM3" s="160"/>
      <c r="AN3" s="160"/>
      <c r="AO3" s="160"/>
      <c r="AQ3" s="3" t="str">
        <f>IFERROR(__xludf.DUMMYFUNCTION("iferror(array_constrain(split(textjoin(""~"",True,filter('Attack Info'!$B$7:$AN81,'Attack Info'!$B$7:$B81&lt;&gt;"""",lower('Attack Info'!$B$7:$B81)=lower(B3))),""~""),1,12),"""")"),"")</f>
        <v/>
      </c>
      <c r="AR3" s="3"/>
      <c r="AS3" s="3"/>
      <c r="AT3" s="3"/>
      <c r="AU3" s="161"/>
      <c r="AV3" s="3"/>
      <c r="AW3" s="3"/>
      <c r="AX3" s="3"/>
      <c r="AY3" s="3"/>
      <c r="AZ3" s="3"/>
      <c r="BA3" s="3"/>
      <c r="BB3" s="3"/>
      <c r="BC3" s="3" t="str">
        <f t="array" ref="BC3">if(and(strMod&lt;&gt;"-",dexMod&lt;&gt;"-"),if($AQ3&lt;&gt;"",if($AW3&lt;&gt;"-",$AW3,0)
+if(isnumber(find(lower($AZ3),"strdexconintwischa")),if(indirect(lower($AZ3)&amp;"Mod")&lt;&gt;"-",indirect(lower($AZ3)&amp;"Mod"),0),
if(or(isnumber(find("finesse",lower($BA3))),and($AV3&lt;&gt;"〇",MonkLevel&lt;&gt;"",MonkLevel&gt;0)),max(strMod,dexMod),if(lower($AU3)="ranged",dexMod,strMod))),""),"-")</f>
        <v/>
      </c>
    </row>
    <row r="4" ht="15.75" customHeight="1">
      <c r="B4" s="163"/>
      <c r="C4" s="156"/>
      <c r="D4" s="156"/>
      <c r="E4" s="156"/>
      <c r="F4" s="156"/>
      <c r="G4" s="156"/>
      <c r="H4" s="157" t="str">
        <f t="shared" si="1"/>
        <v/>
      </c>
      <c r="I4" s="158" t="str">
        <f>IFERROR(__xludf.DUMMYFUNCTION("if(and(proficiencyBonus,$AQ4&lt;&gt;"""",$BC4&lt;&gt;""-""),
        if(or(
              isnumber(find(""unarmed"",lower($AT4))),
              isnumber(find(""natural"",lower($AT4))),
              isnumber(find(""spell"",lower($AT4))),
              and(isnumber(f"&amp;"ind(""improvised"",lower($AQ4))),isnumber(find(""brawler"",feats))),
              isnumber(find(lower($AT4),lower(weaponProficiencies))),
              not(isna(filter(arrayformula(trim(split(lower(weaponProficiencies),"",""))),isnumber(find(arrayformula"&amp;"(trim(split(lower(weaponProficiencies),"",""))),lower($AQ4))))))
           ),
           proficiencyBonus,
           0
        )
        +if(lower($AU4)=""ranged"",archery+closeQuarters,0)
        +if(isnumber(find(""spell"",lower($AT4))),v2.1!$AR$91,0)"&amp;"
        +$BC4,
        ""-""
    )"),"-")</f>
        <v>-</v>
      </c>
      <c r="J4" s="156"/>
      <c r="K4" s="156"/>
      <c r="L4" s="157" t="str">
        <f t="shared" si="2"/>
        <v/>
      </c>
      <c r="M4" s="159" t="str">
        <f>IFERROR(__xludf.DUMMYFUNCTION("substitute(if(and($AQ4&lt;&gt;"""",proficiencyBonus&lt;&gt;""""),
 $AR4&amp;if(and(""melee""=lower($AU4),lower($AT4)&lt;&gt;""unarmed"",isnumber(find(""two-handed"",lower($R4&amp;$BA4)))),greatWeaponFighting,"""")
&amp;if($AR4&lt;&gt;0,""+""
&amp;if($BB4&lt;&gt;""〇"",$BC4,if($AW4&lt;&gt;""-"",$AW4,0))
+int"&amp;"(iferror(regexextract(regexextract(Additional!$AR$79,""proficiency with[a-z ]+""&amp;lower(array_constrain(filter('Attack Info'!$B$7:$B81,'Attack Info'!$B$7:$B81&lt;&gt;"""",isnumber(find(lower('Attack Info'!$B$7:$B81),lower($AQ4)))),1,1))&amp;""[a-z, ]+\+[0-9]+ bonus "&amp;"to damage[a-z ]+with such weapons""),""[0-9]+?""),0))
+int(iferror(regexextract(regexextract(Additional!$AR$79,""\+[0-9] bonus to damage[a-z ]+""&amp;lower(array_constrain(filter('Attack Info'!$B$7:$B81,'Attack Info'!$B$7:$B81&lt;&gt;"""",isnumber(find(lower('Attac"&amp;"k Info'!$B$7:$B81),lower($AQ4)))),1,1))),""[0-9]+?""),0))
+if(and(isnumber(find(""melee"",lower($AU4))),iserror(find(""unarmed"",lower($AT4))),iserror(find(""natural"",lower($AT4))),iserror(find(""two-handed"",lower($R4&amp;$BA4)))),dueling,0)
+if(isnumber(fi"&amp;"nd(""thrown"",lower($BA4))),thrown,0)
&amp;""[""&amp;$AS4&amp;""]"","""")
&amp;if(and(PaladinLevel&gt;=11,isnumber(find(""melee"",lower($AU4))),isnumber(find(lower($AT4),""simplemartial""))),""+1d8[radiant]"","""")
&amp;if($AX4&lt;&gt;""-"",""+""&amp;$AX4&amp;""[""&amp;$AY4&amp;""]"","""")
&amp;if(and(i"&amp;"snumber(find(""pact"",lower($AQ4))),isnumber(find(""lifedrinker"",lower(invocations)))),""+""&amp;chaMod&amp;""[necrotic]"","""")
&amp;""|***""&amp;textjoin("" "",True,if(and($AT4&lt;&gt;""-"",$AT4&lt;&gt;""Spell""),$AT4,""""),if($AU4&lt;&gt;""-"",$AU4,""""),if($AT4=""Spell"",$AT4,if(and("&amp;"$AT4&lt;&gt;""Unarmed"",$AT4&lt;&gt;""Natural""),""Weapon"","""")))&amp;"" Attack.***""
&amp;if($BA4&lt;&gt;""-"",""
""&amp;$BA4,"""")
&amp;if(and(isnumber(find(""melee"",lower($AU4))),iserror(find(""unarmed"",lower($AT4))),iserror(find(""natural"",lower($AT4))),iserror(find(""two-handed"&amp;""",lower($R4&amp;$AV4)))),""
""&amp;duelingText,"""")
&amp;if(and(or(lower($AT4)=""unarmed"",lower($AT4)=""natural""),unarmedFighting),""
""&amp;unarmedText,"""")
&amp;if(and(""melee""=lower($AU4),lower($AT4)&lt;&gt;""unarmed"",isnumber(find(""two-handed"",lower($R4&amp;$BA4)))),""
"""&amp;"&amp;gwfText,"""")
&amp;if(and(isnumber(find(""offhand"",lower($R4))),twoWeaponFighting),""
""&amp;twfText,"""")
&amp;if(and(lower($AU4)=""ranged"",lower($AT4)&lt;&gt;""spell""),if(archeryText&lt;&gt;"""",""
""&amp;archeryText,"""")&amp;if(closeQuartersText&lt;&gt;"""",""
""&amp;closeQuartersText,"""&amp;"""),"""")
&amp;if(isnumber(find(""thrown"",lower($BA4))),""
""&amp;thrownText,""""),""                 -""),""+0"","""")"),"                 -")</f>
        <v>                 -</v>
      </c>
      <c r="N4" s="160"/>
      <c r="O4" s="160"/>
      <c r="P4" s="160"/>
      <c r="Q4" s="160"/>
      <c r="R4" s="160"/>
      <c r="S4" s="160"/>
      <c r="T4" s="160"/>
      <c r="W4" s="163"/>
      <c r="X4" s="156"/>
      <c r="Y4" s="156"/>
      <c r="Z4" s="156"/>
      <c r="AA4" s="156"/>
      <c r="AB4" s="156"/>
      <c r="AC4" s="157" t="str">
        <f t="shared" si="3"/>
        <v/>
      </c>
      <c r="AD4" s="158" t="str">
        <f>IFERROR(__xludf.DUMMYFUNCTION("if(and(proficiencyBonus,$AQ15&lt;&gt;"""",$BC15&lt;&gt;""-""),
        if(or(
              isnumber(find(""unarmed"",lower($AT15))),
              isnumber(find(""natural"",lower($AT15))),
              isnumber(find(""spell"",lower($AT15))),
              and(isnum"&amp;"ber(find(""improvised"",lower($AQ15))),isnumber(find(""brawler"",feats))),
              isnumber(find(lower($AT15),lower(weaponProficiencies))),
              not(isna(filter(arrayformula(trim(split(lower(weaponProficiencies),"",""))),isnumber(find(array"&amp;"formula(trim(split(lower(weaponProficiencies),"",""))),lower($AQ15))))))
           ),
           proficiencyBonus,
           0
        )
        +if(lower($AU15)=""ranged"",archery+closeQuarters,0)
        +if(isnumber(find(""spell"",lower($AT15))),v2.1"&amp;"!$AR$91,0)
        +$BC15,
        ""-""
    )"),"-")</f>
        <v>-</v>
      </c>
      <c r="AE4" s="156"/>
      <c r="AF4" s="156"/>
      <c r="AG4" s="157" t="str">
        <f t="shared" si="4"/>
        <v/>
      </c>
      <c r="AH4" s="159" t="str">
        <f>IFERROR(__xludf.DUMMYFUNCTION("substitute(if(and($AQ15&lt;&gt;"""",proficiencyBonus&lt;&gt;""""),
 $AR15&amp;if(and(""melee""=lower($AU15),lower($AT15)&lt;&gt;""unarmed"",isnumber(find(""two-handed"",lower($W4&amp;$BA15)))),greatWeaponFighting,"""")
&amp;if($AR15&lt;&gt;0,""+""
&amp;if($BB15&lt;&gt;""〇"",$BC15,if($AW15&lt;&gt;""-"",$AW1"&amp;"5,0))
+int(iferror(regexextract(regexextract(Additional!$AR$79,""proficiency with[a-z ]+""&amp;lower(array_constrain(filter('Attack Info'!$B$7:$B81,'Attack Info'!$B$7:$B81&lt;&gt;"""",isnumber(find(lower('Attack Info'!$B$7:$B81),lower($AQ15)))),1,1))&amp;""[a-z, ]+\+[0"&amp;"-9]+ bonus to damage[a-z ]+with such weapons""),""[0-9]+?""),0))
+int(iferror(regexextract(regexextract(Additional!$AR$79,""\+[0-9] bonus to damage[a-z ]+""&amp;lower(array_constrain(filter('Attack Info'!$B$7:$B81,'Attack Info'!$B$7:$B81&lt;&gt;"""",isnumber(find(l"&amp;"ower('Attack Info'!$B$7:$B81),lower($AQ15)))),1,1))),""[0-9]+?""),0))
+if(and(isnumber(find(""melee"",lower($AU15))),iserror(find(""unarmed"",lower($AT15))),iserror(find(""natural"",lower($AT15))),iserror(find(""two-handed"",lower($W4&amp;$BA15)))),dueling,0)"&amp;"
+if(isnumber(find(""thrown"",lower($BA15))),thrown,0)
&amp;""[""&amp;$AS15&amp;""]"","""")
&amp;if(and(PaladinLevel&gt;=11,isnumber(find(""melee"",lower($AU15))),isnumber(find(lower($AT15),""simplemartial""))),""+1d8[radiant]"","""")
&amp;if($AX15&lt;&gt;""-"",""+""&amp;$AX15&amp;""[""&amp;$AY1"&amp;"5&amp;""]"","""")
&amp;if(and(isnumber(find(""pact"",lower($AQ15))),isnumber(find(""lifedrinker"",lower(invocations)))),""+""&amp;chaMod&amp;""[necrotic]"","""")
&amp;""|***""&amp;textjoin("" "",True,if(and($AT15&lt;&gt;""-"",$AT15&lt;&gt;""Spell""),$AT15,""""),if($AU15&lt;&gt;""-"",$AU15,""""),i"&amp;"f($AT15=""Spell"",$AT15,if(and($AT15&lt;&gt;""Unarmed"",$AT15&lt;&gt;""Natural""),""Weapon"","""")))&amp;"" Attack.***""
&amp;if($BA15&lt;&gt;""-"",""
""&amp;$BA15,"""")
&amp;if(and(isnumber(find(""melee"",lower($AU15))),iserror(find(""unarmed"",lower($AT15))),iserror(find(""natural"",low"&amp;"er($AT15))),iserror(find(""two-handed"",lower($W4&amp;$AV15)))),""
""&amp;duelingText,"""")
&amp;if(and(or(lower($AT15)=""unarmed"",lower($AT15)=""natural""),unarmedFighting),""
""&amp;unarmedText,"""")
&amp;if(and(""melee""=lower($AU15),lower($AT15)&lt;&gt;""unarmed"",isnumber(fi"&amp;"nd(""two-handed"",lower($W4&amp;$BA15)))),""
""&amp;gwfText,"""")
&amp;if(and(isnumber(find(""offhand"",lower($W4))),twoWeaponFighting),""
""&amp;twfText,"""")
&amp;if(and(lower($AU15)=""ranged"",lower($AT15)&lt;&gt;""spell""),if(archeryText&lt;&gt;"""",""
""&amp;archeryText,"""")&amp;if(closeQ"&amp;"uartersText&lt;&gt;"""",""
""&amp;closeQuartersText,""""),"""")
&amp;if(isnumber(find(""thrown"",lower($BA15))),""
""&amp;thrownText,""""),""                 -""),""+0"","""")"),"                 -")</f>
        <v>                 -</v>
      </c>
      <c r="AI4" s="160"/>
      <c r="AJ4" s="160"/>
      <c r="AK4" s="160"/>
      <c r="AL4" s="160"/>
      <c r="AM4" s="160"/>
      <c r="AN4" s="160"/>
      <c r="AO4" s="160"/>
      <c r="AQ4" s="3" t="str">
        <f>IFERROR(__xludf.DUMMYFUNCTION("iferror(array_constrain(split(textjoin(""~"",True,filter('Attack Info'!$B$7:$AN81,'Attack Info'!$B$7:$B81&lt;&gt;"""",lower('Attack Info'!$B$7:$B81)=lower(B4))),""~""),1,12),"""")"),"")</f>
        <v/>
      </c>
      <c r="AR4" s="3"/>
      <c r="AS4" s="3"/>
      <c r="AT4" s="3"/>
      <c r="AU4" s="161"/>
      <c r="AV4" s="3"/>
      <c r="AW4" s="3"/>
      <c r="AX4" s="3"/>
      <c r="AY4" s="3"/>
      <c r="AZ4" s="3"/>
      <c r="BA4" s="3"/>
      <c r="BB4" s="3"/>
      <c r="BC4" s="3" t="str">
        <f t="array" ref="BC4">if(and(strMod&lt;&gt;"-",dexMod&lt;&gt;"-"),if($AQ4&lt;&gt;"",if($AW4&lt;&gt;"-",$AW4,0)
+if(isnumber(find(lower($AZ4),"strdexconintwischa")),if(indirect(lower($AZ4)&amp;"Mod")&lt;&gt;"-",indirect(lower($AZ4)&amp;"Mod"),0),
if(or(isnumber(find("finesse",lower($BA4))),and($AV4&lt;&gt;"〇",MonkLevel&lt;&gt;"",MonkLevel&gt;0)),max(strMod,dexMod),if(lower($AU4)="ranged",dexMod,strMod))),""),"-")</f>
        <v/>
      </c>
    </row>
    <row r="5" ht="15.75" customHeight="1">
      <c r="B5" s="163"/>
      <c r="C5" s="156"/>
      <c r="D5" s="156"/>
      <c r="E5" s="156"/>
      <c r="F5" s="156"/>
      <c r="G5" s="156"/>
      <c r="H5" s="316" t="str">
        <f t="shared" si="1"/>
        <v/>
      </c>
      <c r="I5" s="158" t="str">
        <f>IFERROR(__xludf.DUMMYFUNCTION("if(and(proficiencyBonus,$AQ5&lt;&gt;"""",$BC5&lt;&gt;""-""),
        if(or(
              isnumber(find(""unarmed"",lower($AT5))),
              isnumber(find(""natural"",lower($AT5))),
              isnumber(find(""spell"",lower($AT5))),
              and(isnumber(f"&amp;"ind(""improvised"",lower($AQ5))),isnumber(find(""brawler"",feats))),
              isnumber(find(lower($AT5),lower(weaponProficiencies))),
              not(isna(filter(arrayformula(trim(split(lower(weaponProficiencies),"",""))),isnumber(find(arrayformula"&amp;"(trim(split(lower(weaponProficiencies),"",""))),lower($AQ5))))))
           ),
           proficiencyBonus,
           0
        )
        +if(lower($AU5)=""ranged"",archery+closeQuarters,0)
        +if(isnumber(find(""spell"",lower($AT5))),v2.1!$AR$91,0)"&amp;"
        +$BC5,
        ""-""
    )"),"-")</f>
        <v>-</v>
      </c>
      <c r="J5" s="156"/>
      <c r="K5" s="156"/>
      <c r="L5" s="316" t="str">
        <f t="shared" si="2"/>
        <v/>
      </c>
      <c r="M5" s="159" t="str">
        <f>IFERROR(__xludf.DUMMYFUNCTION("substitute(if(and($AQ5&lt;&gt;"""",proficiencyBonus&lt;&gt;""""),
 $AR5&amp;if(and(""melee""=lower($AU5),lower($AT5)&lt;&gt;""unarmed"",isnumber(find(""two-handed"",lower($R5&amp;$BA5)))),greatWeaponFighting,"""")
&amp;if($AR5&lt;&gt;0,""+""
&amp;if($BB5&lt;&gt;""〇"",$BC5,if($AW5&lt;&gt;""-"",$AW5,0))
+int"&amp;"(iferror(regexextract(regexextract(Additional!$AR$79,""proficiency with[a-z ]+""&amp;lower(array_constrain(filter('Attack Info'!$B$7:$B81,'Attack Info'!$B$7:$B81&lt;&gt;"""",isnumber(find(lower('Attack Info'!$B$7:$B81),lower($AQ5)))),1,1))&amp;""[a-z, ]+\+[0-9]+ bonus "&amp;"to damage[a-z ]+with such weapons""),""[0-9]+?""),0))
+int(iferror(regexextract(regexextract(Additional!$AR$79,""\+[0-9] bonus to damage[a-z ]+""&amp;lower(array_constrain(filter('Attack Info'!$B$7:$B81,'Attack Info'!$B$7:$B81&lt;&gt;"""",isnumber(find(lower('Attac"&amp;"k Info'!$B$7:$B81),lower($AQ5)))),1,1))),""[0-9]+?""),0))
+if(and(isnumber(find(""melee"",lower($AU5))),iserror(find(""unarmed"",lower($AT5))),iserror(find(""natural"",lower($AT5))),iserror(find(""two-handed"",lower($R5&amp;$BA5)))),dueling,0)
+if(isnumber(fi"&amp;"nd(""thrown"",lower($BA5))),thrown,0)
&amp;""[""&amp;$AS5&amp;""]"","""")
&amp;if(and(PaladinLevel&gt;=11,isnumber(find(""melee"",lower($AU5))),isnumber(find(lower($AT5),""simplemartial""))),""+1d8[radiant]"","""")
&amp;if($AX5&lt;&gt;""-"",""+""&amp;$AX5&amp;""[""&amp;$AY5&amp;""]"","""")
&amp;if(and(i"&amp;"snumber(find(""pact"",lower($AQ5))),isnumber(find(""lifedrinker"",lower(invocations)))),""+""&amp;chaMod&amp;""[necrotic]"","""")
&amp;""|***""&amp;textjoin("" "",True,if(and($AT5&lt;&gt;""-"",$AT5&lt;&gt;""Spell""),$AT5,""""),if($AU5&lt;&gt;""-"",$AU5,""""),if($AT5=""Spell"",$AT5,if(and("&amp;"$AT5&lt;&gt;""Unarmed"",$AT5&lt;&gt;""Natural""),""Weapon"","""")))&amp;"" Attack.***""
&amp;if($BA5&lt;&gt;""-"",""
""&amp;$BA5,"""")
&amp;if(and(isnumber(find(""melee"",lower($AU5))),iserror(find(""unarmed"",lower($AT5))),iserror(find(""natural"",lower($AT5))),iserror(find(""two-handed"&amp;""",lower($R5&amp;$AV5)))),""
""&amp;duelingText,"""")
&amp;if(and(or(lower($AT5)=""unarmed"",lower($AT5)=""natural""),unarmedFighting),""
""&amp;unarmedText,"""")
&amp;if(and(""melee""=lower($AU5),lower($AT5)&lt;&gt;""unarmed"",isnumber(find(""two-handed"",lower($R5&amp;$BA5)))),""
"""&amp;"&amp;gwfText,"""")
&amp;if(and(isnumber(find(""offhand"",lower($R5))),twoWeaponFighting),""
""&amp;twfText,"""")
&amp;if(and(lower($AU5)=""ranged"",lower($AT5)&lt;&gt;""spell""),if(archeryText&lt;&gt;"""",""
""&amp;archeryText,"""")&amp;if(closeQuartersText&lt;&gt;"""",""
""&amp;closeQuartersText,"""&amp;"""),"""")
&amp;if(isnumber(find(""thrown"",lower($BA5))),""
""&amp;thrownText,""""),""                 -""),""+0"","""")"),"                 -")</f>
        <v>                 -</v>
      </c>
      <c r="N5" s="160"/>
      <c r="O5" s="160"/>
      <c r="P5" s="160"/>
      <c r="Q5" s="160"/>
      <c r="R5" s="160"/>
      <c r="S5" s="160"/>
      <c r="T5" s="160"/>
      <c r="W5" s="163"/>
      <c r="X5" s="156"/>
      <c r="Y5" s="156"/>
      <c r="Z5" s="156"/>
      <c r="AA5" s="156"/>
      <c r="AB5" s="156"/>
      <c r="AC5" s="316" t="str">
        <f t="shared" si="3"/>
        <v/>
      </c>
      <c r="AD5" s="158" t="str">
        <f>IFERROR(__xludf.DUMMYFUNCTION("if(and(proficiencyBonus,$AQ16&lt;&gt;"""",$BC16&lt;&gt;""-""),
        if(or(
              isnumber(find(""unarmed"",lower($AT16))),
              isnumber(find(""natural"",lower($AT16))),
              isnumber(find(""spell"",lower($AT16))),
              and(isnum"&amp;"ber(find(""improvised"",lower($AQ16))),isnumber(find(""brawler"",feats))),
              isnumber(find(lower($AT16),lower(weaponProficiencies))),
              not(isna(filter(arrayformula(trim(split(lower(weaponProficiencies),"",""))),isnumber(find(array"&amp;"formula(trim(split(lower(weaponProficiencies),"",""))),lower($AQ16))))))
           ),
           proficiencyBonus,
           0
        )
        +if(lower($AU16)=""ranged"",archery+closeQuarters,0)
        +if(isnumber(find(""spell"",lower($AT16))),v2.1"&amp;"!$AR$91,0)
        +$BC16,
        ""-""
    )"),"-")</f>
        <v>-</v>
      </c>
      <c r="AE5" s="156"/>
      <c r="AF5" s="156"/>
      <c r="AG5" s="316" t="str">
        <f t="shared" si="4"/>
        <v/>
      </c>
      <c r="AH5" s="159" t="str">
        <f>IFERROR(__xludf.DUMMYFUNCTION("substitute(if(and($AQ16&lt;&gt;"""",proficiencyBonus&lt;&gt;""""),
 $AR16&amp;if(and(""melee""=lower($AU16),lower($AT16)&lt;&gt;""unarmed"",isnumber(find(""two-handed"",lower($W5&amp;$BA16)))),greatWeaponFighting,"""")
&amp;if($AR16&lt;&gt;0,""+""
&amp;if($BB16&lt;&gt;""〇"",$BC16,if($AW16&lt;&gt;""-"",$AW1"&amp;"6,0))
+int(iferror(regexextract(regexextract(Additional!$AR$79,""proficiency with[a-z ]+""&amp;lower(array_constrain(filter('Attack Info'!$B$7:$B81,'Attack Info'!$B$7:$B81&lt;&gt;"""",isnumber(find(lower('Attack Info'!$B$7:$B81),lower($AQ16)))),1,1))&amp;""[a-z, ]+\+[0"&amp;"-9]+ bonus to damage[a-z ]+with such weapons""),""[0-9]+?""),0))
+int(iferror(regexextract(regexextract(Additional!$AR$79,""\+[0-9] bonus to damage[a-z ]+""&amp;lower(array_constrain(filter('Attack Info'!$B$7:$B81,'Attack Info'!$B$7:$B81&lt;&gt;"""",isnumber(find(l"&amp;"ower('Attack Info'!$B$7:$B81),lower($AQ16)))),1,1))),""[0-9]+?""),0))
+if(and(isnumber(find(""melee"",lower($AU16))),iserror(find(""unarmed"",lower($AT16))),iserror(find(""natural"",lower($AT16))),iserror(find(""two-handed"",lower($W5&amp;$BA16)))),dueling,0)"&amp;"
+if(isnumber(find(""thrown"",lower($BA16))),thrown,0)
&amp;""[""&amp;$AS16&amp;""]"","""")
&amp;if(and(PaladinLevel&gt;=11,isnumber(find(""melee"",lower($AU16))),isnumber(find(lower($AT16),""simplemartial""))),""+1d8[radiant]"","""")
&amp;if($AX16&lt;&gt;""-"",""+""&amp;$AX16&amp;""[""&amp;$AY1"&amp;"6&amp;""]"","""")
&amp;if(and(isnumber(find(""pact"",lower($AQ16))),isnumber(find(""lifedrinker"",lower(invocations)))),""+""&amp;chaMod&amp;""[necrotic]"","""")
&amp;""|***""&amp;textjoin("" "",True,if(and($AT16&lt;&gt;""-"",$AT16&lt;&gt;""Spell""),$AT16,""""),if($AU16&lt;&gt;""-"",$AU16,""""),i"&amp;"f($AT16=""Spell"",$AT16,if(and($AT16&lt;&gt;""Unarmed"",$AT16&lt;&gt;""Natural""),""Weapon"","""")))&amp;"" Attack.***""
&amp;if($BA16&lt;&gt;""-"",""
""&amp;$BA16,"""")
&amp;if(and(isnumber(find(""melee"",lower($AU16))),iserror(find(""unarmed"",lower($AT16))),iserror(find(""natural"",low"&amp;"er($AT16))),iserror(find(""two-handed"",lower($W5&amp;$AV16)))),""
""&amp;duelingText,"""")
&amp;if(and(or(lower($AT16)=""unarmed"",lower($AT16)=""natural""),unarmedFighting),""
""&amp;unarmedText,"""")
&amp;if(and(""melee""=lower($AU16),lower($AT16)&lt;&gt;""unarmed"",isnumber(fi"&amp;"nd(""two-handed"",lower($W5&amp;$BA16)))),""
""&amp;gwfText,"""")
&amp;if(and(isnumber(find(""offhand"",lower($W5))),twoWeaponFighting),""
""&amp;twfText,"""")
&amp;if(and(lower($AU16)=""ranged"",lower($AT16)&lt;&gt;""spell""),if(archeryText&lt;&gt;"""",""
""&amp;archeryText,"""")&amp;if(closeQ"&amp;"uartersText&lt;&gt;"""",""
""&amp;closeQuartersText,""""),"""")
&amp;if(isnumber(find(""thrown"",lower($BA16))),""
""&amp;thrownText,""""),""                 -""),""+0"","""")"),"                 -")</f>
        <v>                 -</v>
      </c>
      <c r="AI5" s="160"/>
      <c r="AJ5" s="160"/>
      <c r="AK5" s="160"/>
      <c r="AL5" s="160"/>
      <c r="AM5" s="160"/>
      <c r="AN5" s="160"/>
      <c r="AO5" s="160"/>
      <c r="AQ5" s="3" t="str">
        <f>IFERROR(__xludf.DUMMYFUNCTION("iferror(array_constrain(split(textjoin(""~"",True,filter('Attack Info'!$B$7:$AN81,'Attack Info'!$B$7:$B81&lt;&gt;"""",lower('Attack Info'!$B$7:$B81)=lower(B5))),""~""),1,12),"""")"),"")</f>
        <v/>
      </c>
      <c r="AR5" s="3"/>
      <c r="AS5" s="3"/>
      <c r="AT5" s="3"/>
      <c r="AU5" s="161"/>
      <c r="AV5" s="3"/>
      <c r="AW5" s="3"/>
      <c r="AX5" s="3"/>
      <c r="AY5" s="3"/>
      <c r="AZ5" s="3"/>
      <c r="BA5" s="3"/>
      <c r="BB5" s="3"/>
      <c r="BC5" s="3" t="str">
        <f t="array" ref="BC5">if(and(strMod&lt;&gt;"-",dexMod&lt;&gt;"-"),if($AQ5&lt;&gt;"",if($AW5&lt;&gt;"-",$AW5,0)
+if(isnumber(find(lower($AZ5),"strdexconintwischa")),if(indirect(lower($AZ5)&amp;"Mod")&lt;&gt;"-",indirect(lower($AZ5)&amp;"Mod"),0),
if(or(isnumber(find("finesse",lower($BA5))),and($AV5&lt;&gt;"〇",MonkLevel&lt;&gt;"",MonkLevel&gt;0)),max(strMod,dexMod),if(lower($AU5)="ranged",dexMod,strMod))),""),"-")</f>
        <v/>
      </c>
    </row>
    <row r="6" ht="15.75" customHeight="1">
      <c r="B6" s="163"/>
      <c r="C6" s="156"/>
      <c r="D6" s="156"/>
      <c r="E6" s="156"/>
      <c r="F6" s="156"/>
      <c r="G6" s="156"/>
      <c r="H6" s="316" t="str">
        <f t="shared" si="1"/>
        <v/>
      </c>
      <c r="I6" s="158" t="str">
        <f>IFERROR(__xludf.DUMMYFUNCTION("if(and(proficiencyBonus,$AQ6&lt;&gt;"""",$BC6&lt;&gt;""-""),
        if(or(
              isnumber(find(""unarmed"",lower($AT6))),
              isnumber(find(""natural"",lower($AT6))),
              isnumber(find(""spell"",lower($AT6))),
              and(isnumber(f"&amp;"ind(""improvised"",lower($AQ6))),isnumber(find(""brawler"",feats))),
              isnumber(find(lower($AT6),lower(weaponProficiencies))),
              not(isna(filter(arrayformula(trim(split(lower(weaponProficiencies),"",""))),isnumber(find(arrayformula"&amp;"(trim(split(lower(weaponProficiencies),"",""))),lower($AQ6))))))
           ),
           proficiencyBonus,
           0
        )
        +if(lower($AU6)=""ranged"",archery+closeQuarters,0)
        +if(isnumber(find(""spell"",lower($AT6))),v2.1!$AR$91,0)"&amp;"
        +$BC6,
        ""-""
    )"),"-")</f>
        <v>-</v>
      </c>
      <c r="J6" s="156"/>
      <c r="K6" s="156"/>
      <c r="L6" s="316" t="str">
        <f t="shared" si="2"/>
        <v/>
      </c>
      <c r="M6" s="159" t="str">
        <f>IFERROR(__xludf.DUMMYFUNCTION("substitute(if(and($AQ6&lt;&gt;"""",proficiencyBonus&lt;&gt;""""),
 $AR6&amp;if(and(""melee""=lower($AU6),lower($AT6)&lt;&gt;""unarmed"",isnumber(find(""two-handed"",lower($R6&amp;$BA6)))),greatWeaponFighting,"""")
&amp;if($AR6&lt;&gt;0,""+""
&amp;if($BB6&lt;&gt;""〇"",$BC6,if($AW6&lt;&gt;""-"",$AW6,0))
+int"&amp;"(iferror(regexextract(regexextract(Additional!$AR$79,""proficiency with[a-z ]+""&amp;lower(array_constrain(filter('Attack Info'!$B$7:$B81,'Attack Info'!$B$7:$B81&lt;&gt;"""",isnumber(find(lower('Attack Info'!$B$7:$B81),lower($AQ6)))),1,1))&amp;""[a-z, ]+\+[0-9]+ bonus "&amp;"to damage[a-z ]+with such weapons""),""[0-9]+?""),0))
+int(iferror(regexextract(regexextract(Additional!$AR$79,""\+[0-9] bonus to damage[a-z ]+""&amp;lower(array_constrain(filter('Attack Info'!$B$7:$B81,'Attack Info'!$B$7:$B81&lt;&gt;"""",isnumber(find(lower('Attac"&amp;"k Info'!$B$7:$B81),lower($AQ6)))),1,1))),""[0-9]+?""),0))
+if(and(isnumber(find(""melee"",lower($AU6))),iserror(find(""unarmed"",lower($AT6))),iserror(find(""natural"",lower($AT6))),iserror(find(""two-handed"",lower($R6&amp;$BA6)))),dueling,0)
+if(isnumber(fi"&amp;"nd(""thrown"",lower($BA6))),thrown,0)
&amp;""[""&amp;$AS6&amp;""]"","""")
&amp;if(and(PaladinLevel&gt;=11,isnumber(find(""melee"",lower($AU6))),isnumber(find(lower($AT6),""simplemartial""))),""+1d8[radiant]"","""")
&amp;if($AX6&lt;&gt;""-"",""+""&amp;$AX6&amp;""[""&amp;$AY6&amp;""]"","""")
&amp;if(and(i"&amp;"snumber(find(""pact"",lower($AQ6))),isnumber(find(""lifedrinker"",lower(invocations)))),""+""&amp;chaMod&amp;""[necrotic]"","""")
&amp;""|***""&amp;textjoin("" "",True,if(and($AT6&lt;&gt;""-"",$AT6&lt;&gt;""Spell""),$AT6,""""),if($AU6&lt;&gt;""-"",$AU6,""""),if($AT6=""Spell"",$AT6,if(and("&amp;"$AT6&lt;&gt;""Unarmed"",$AT6&lt;&gt;""Natural""),""Weapon"","""")))&amp;"" Attack.***""
&amp;if($BA6&lt;&gt;""-"",""
""&amp;$BA6,"""")
&amp;if(and(isnumber(find(""melee"",lower($AU6))),iserror(find(""unarmed"",lower($AT6))),iserror(find(""natural"",lower($AT6))),iserror(find(""two-handed"&amp;""",lower($R6&amp;$AV6)))),""
""&amp;duelingText,"""")
&amp;if(and(or(lower($AT6)=""unarmed"",lower($AT6)=""natural""),unarmedFighting),""
""&amp;unarmedText,"""")
&amp;if(and(""melee""=lower($AU6),lower($AT6)&lt;&gt;""unarmed"",isnumber(find(""two-handed"",lower($R6&amp;$BA6)))),""
"""&amp;"&amp;gwfText,"""")
&amp;if(and(isnumber(find(""offhand"",lower($R6))),twoWeaponFighting),""
""&amp;twfText,"""")
&amp;if(and(lower($AU6)=""ranged"",lower($AT6)&lt;&gt;""spell""),if(archeryText&lt;&gt;"""",""
""&amp;archeryText,"""")&amp;if(closeQuartersText&lt;&gt;"""",""
""&amp;closeQuartersText,"""&amp;"""),"""")
&amp;if(isnumber(find(""thrown"",lower($BA6))),""
""&amp;thrownText,""""),""                 -""),""+0"","""")"),"                 -")</f>
        <v>                 -</v>
      </c>
      <c r="N6" s="160"/>
      <c r="O6" s="160"/>
      <c r="P6" s="160"/>
      <c r="Q6" s="160"/>
      <c r="R6" s="160"/>
      <c r="S6" s="160"/>
      <c r="T6" s="160"/>
      <c r="W6" s="163"/>
      <c r="X6" s="156"/>
      <c r="Y6" s="156"/>
      <c r="Z6" s="156"/>
      <c r="AA6" s="156"/>
      <c r="AB6" s="156"/>
      <c r="AC6" s="316" t="str">
        <f t="shared" si="3"/>
        <v/>
      </c>
      <c r="AD6" s="158" t="str">
        <f>IFERROR(__xludf.DUMMYFUNCTION("if(and(proficiencyBonus,$AQ17&lt;&gt;"""",$BC17&lt;&gt;""-""),
        if(or(
              isnumber(find(""unarmed"",lower($AT17))),
              isnumber(find(""natural"",lower($AT17))),
              isnumber(find(""spell"",lower($AT17))),
              and(isnum"&amp;"ber(find(""improvised"",lower($AQ17))),isnumber(find(""brawler"",feats))),
              isnumber(find(lower($AT17),lower(weaponProficiencies))),
              not(isna(filter(arrayformula(trim(split(lower(weaponProficiencies),"",""))),isnumber(find(array"&amp;"formula(trim(split(lower(weaponProficiencies),"",""))),lower($AQ17))))))
           ),
           proficiencyBonus,
           0
        )
        +if(lower($AU17)=""ranged"",archery+closeQuarters,0)
        +if(isnumber(find(""spell"",lower($AT17))),v2.1"&amp;"!$AR$91,0)
        +$BC17,
        ""-""
    )"),"-")</f>
        <v>-</v>
      </c>
      <c r="AE6" s="156"/>
      <c r="AF6" s="156"/>
      <c r="AG6" s="316" t="str">
        <f t="shared" si="4"/>
        <v/>
      </c>
      <c r="AH6" s="159" t="str">
        <f>IFERROR(__xludf.DUMMYFUNCTION("substitute(if(and($AQ17&lt;&gt;"""",proficiencyBonus&lt;&gt;""""),
 $AR17&amp;if(and(""melee""=lower($AU17),lower($AT17)&lt;&gt;""unarmed"",isnumber(find(""two-handed"",lower($W6&amp;$BA17)))),greatWeaponFighting,"""")
&amp;if($AR17&lt;&gt;0,""+""
&amp;if($BB17&lt;&gt;""〇"",$BC17,if($AW17&lt;&gt;""-"",$AW1"&amp;"7,0))
+int(iferror(regexextract(regexextract(Additional!$AR$79,""proficiency with[a-z ]+""&amp;lower(array_constrain(filter('Attack Info'!$B$7:$B81,'Attack Info'!$B$7:$B81&lt;&gt;"""",isnumber(find(lower('Attack Info'!$B$7:$B81),lower($AQ17)))),1,1))&amp;""[a-z, ]+\+[0"&amp;"-9]+ bonus to damage[a-z ]+with such weapons""),""[0-9]+?""),0))
+int(iferror(regexextract(regexextract(Additional!$AR$79,""\+[0-9] bonus to damage[a-z ]+""&amp;lower(array_constrain(filter('Attack Info'!$B$7:$B81,'Attack Info'!$B$7:$B81&lt;&gt;"""",isnumber(find(l"&amp;"ower('Attack Info'!$B$7:$B81),lower($AQ17)))),1,1))),""[0-9]+?""),0))
+if(and(isnumber(find(""melee"",lower($AU17))),iserror(find(""unarmed"",lower($AT17))),iserror(find(""natural"",lower($AT17))),iserror(find(""two-handed"",lower($W6&amp;$BA17)))),dueling,0)"&amp;"
+if(isnumber(find(""thrown"",lower($BA17))),thrown,0)
&amp;""[""&amp;$AS17&amp;""]"","""")
&amp;if(and(PaladinLevel&gt;=11,isnumber(find(""melee"",lower($AU17))),isnumber(find(lower($AT17),""simplemartial""))),""+1d8[radiant]"","""")
&amp;if($AX17&lt;&gt;""-"",""+""&amp;$AX17&amp;""[""&amp;$AY1"&amp;"7&amp;""]"","""")
&amp;if(and(isnumber(find(""pact"",lower($AQ17))),isnumber(find(""lifedrinker"",lower(invocations)))),""+""&amp;chaMod&amp;""[necrotic]"","""")
&amp;""|***""&amp;textjoin("" "",True,if(and($AT17&lt;&gt;""-"",$AT17&lt;&gt;""Spell""),$AT17,""""),if($AU17&lt;&gt;""-"",$AU17,""""),i"&amp;"f($AT17=""Spell"",$AT17,if(and($AT17&lt;&gt;""Unarmed"",$AT17&lt;&gt;""Natural""),""Weapon"","""")))&amp;"" Attack.***""
&amp;if($BA17&lt;&gt;""-"",""
""&amp;$BA17,"""")
&amp;if(and(isnumber(find(""melee"",lower($AU17))),iserror(find(""unarmed"",lower($AT17))),iserror(find(""natural"",low"&amp;"er($AT17))),iserror(find(""two-handed"",lower($W6&amp;$AV17)))),""
""&amp;duelingText,"""")
&amp;if(and(or(lower($AT17)=""unarmed"",lower($AT17)=""natural""),unarmedFighting),""
""&amp;unarmedText,"""")
&amp;if(and(""melee""=lower($AU17),lower($AT17)&lt;&gt;""unarmed"",isnumber(fi"&amp;"nd(""two-handed"",lower($W6&amp;$BA17)))),""
""&amp;gwfText,"""")
&amp;if(and(isnumber(find(""offhand"",lower($W6))),twoWeaponFighting),""
""&amp;twfText,"""")
&amp;if(and(lower($AU17)=""ranged"",lower($AT17)&lt;&gt;""spell""),if(archeryText&lt;&gt;"""",""
""&amp;archeryText,"""")&amp;if(closeQ"&amp;"uartersText&lt;&gt;"""",""
""&amp;closeQuartersText,""""),"""")
&amp;if(isnumber(find(""thrown"",lower($BA17))),""
""&amp;thrownText,""""),""                 -""),""+0"","""")"),"                 -")</f>
        <v>                 -</v>
      </c>
      <c r="AI6" s="160"/>
      <c r="AJ6" s="160"/>
      <c r="AK6" s="160"/>
      <c r="AL6" s="160"/>
      <c r="AM6" s="160"/>
      <c r="AN6" s="160"/>
      <c r="AO6" s="160"/>
      <c r="AQ6" s="3" t="str">
        <f>IFERROR(__xludf.DUMMYFUNCTION("iferror(array_constrain(split(textjoin(""~"",True,filter('Attack Info'!$B$7:$AN81,'Attack Info'!$B$7:$B81&lt;&gt;"""",lower('Attack Info'!$B$7:$B81)=lower(B6))),""~""),1,12),"""")"),"")</f>
        <v/>
      </c>
      <c r="AR6" s="3"/>
      <c r="AS6" s="3"/>
      <c r="AT6" s="3"/>
      <c r="AU6" s="161"/>
      <c r="AV6" s="3"/>
      <c r="AW6" s="3"/>
      <c r="AX6" s="3"/>
      <c r="AY6" s="3"/>
      <c r="AZ6" s="3"/>
      <c r="BA6" s="3"/>
      <c r="BB6" s="3"/>
      <c r="BC6" s="3" t="str">
        <f t="array" ref="BC6">if(and(strMod&lt;&gt;"-",dexMod&lt;&gt;"-"),if($AQ6&lt;&gt;"",if($AW6&lt;&gt;"-",$AW6,0)
+if(isnumber(find(lower($AZ6),"strdexconintwischa")),if(indirect(lower($AZ6)&amp;"Mod")&lt;&gt;"-",indirect(lower($AZ6)&amp;"Mod"),0),
if(or(isnumber(find("finesse",lower($BA6))),and($AV6&lt;&gt;"〇",MonkLevel&lt;&gt;"",MonkLevel&gt;0)),max(strMod,dexMod),if(lower($AU6)="ranged",dexMod,strMod))),""),"-")</f>
        <v/>
      </c>
    </row>
    <row r="7" ht="15.75" customHeight="1">
      <c r="B7" s="163"/>
      <c r="C7" s="156"/>
      <c r="D7" s="156"/>
      <c r="E7" s="156"/>
      <c r="F7" s="156"/>
      <c r="G7" s="156"/>
      <c r="H7" s="316" t="str">
        <f t="shared" si="1"/>
        <v/>
      </c>
      <c r="I7" s="158" t="str">
        <f>IFERROR(__xludf.DUMMYFUNCTION("if(and(proficiencyBonus,$AQ7&lt;&gt;"""",$BC7&lt;&gt;""-""),
        if(or(
              isnumber(find(""unarmed"",lower($AT7))),
              isnumber(find(""natural"",lower($AT7))),
              isnumber(find(""spell"",lower($AT7))),
              and(isnumber(f"&amp;"ind(""improvised"",lower($AQ7))),isnumber(find(""brawler"",feats))),
              isnumber(find(lower($AT7),lower(weaponProficiencies))),
              not(isna(filter(arrayformula(trim(split(lower(weaponProficiencies),"",""))),isnumber(find(arrayformula"&amp;"(trim(split(lower(weaponProficiencies),"",""))),lower($AQ7))))))
           ),
           proficiencyBonus,
           0
        )
        +if(lower($AU7)=""ranged"",archery+closeQuarters,0)
        +if(isnumber(find(""spell"",lower($AT7))),v2.1!$AR$91,0)"&amp;"
        +$BC7,
        ""-""
    )"),"-")</f>
        <v>-</v>
      </c>
      <c r="J7" s="156"/>
      <c r="K7" s="156"/>
      <c r="L7" s="316" t="str">
        <f t="shared" si="2"/>
        <v/>
      </c>
      <c r="M7" s="159" t="str">
        <f>IFERROR(__xludf.DUMMYFUNCTION("substitute(if(and($AQ7&lt;&gt;"""",proficiencyBonus&lt;&gt;""""),
 $AR7&amp;if(and(""melee""=lower($AU7),lower($AT7)&lt;&gt;""unarmed"",isnumber(find(""two-handed"",lower($R7&amp;$BA7)))),greatWeaponFighting,"""")
&amp;if($AR7&lt;&gt;0,""+""
&amp;if($BB7&lt;&gt;""〇"",$BC7,if($AW7&lt;&gt;""-"",$AW7,0))
+int"&amp;"(iferror(regexextract(regexextract(Additional!$AR$79,""proficiency with[a-z ]+""&amp;lower(array_constrain(filter('Attack Info'!$B$7:$B81,'Attack Info'!$B$7:$B81&lt;&gt;"""",isnumber(find(lower('Attack Info'!$B$7:$B81),lower($AQ7)))),1,1))&amp;""[a-z, ]+\+[0-9]+ bonus "&amp;"to damage[a-z ]+with such weapons""),""[0-9]+?""),0))
+int(iferror(regexextract(regexextract(Additional!$AR$79,""\+[0-9] bonus to damage[a-z ]+""&amp;lower(array_constrain(filter('Attack Info'!$B$7:$B81,'Attack Info'!$B$7:$B81&lt;&gt;"""",isnumber(find(lower('Attac"&amp;"k Info'!$B$7:$B81),lower($AQ7)))),1,1))),""[0-9]+?""),0))
+if(and(isnumber(find(""melee"",lower($AU7))),iserror(find(""unarmed"",lower($AT7))),iserror(find(""natural"",lower($AT7))),iserror(find(""two-handed"",lower($R7&amp;$BA7)))),dueling,0)
+if(isnumber(fi"&amp;"nd(""thrown"",lower($BA7))),thrown,0)
&amp;""[""&amp;$AS7&amp;""]"","""")
&amp;if(and(PaladinLevel&gt;=11,isnumber(find(""melee"",lower($AU7))),isnumber(find(lower($AT7),""simplemartial""))),""+1d8[radiant]"","""")
&amp;if($AX7&lt;&gt;""-"",""+""&amp;$AX7&amp;""[""&amp;$AY7&amp;""]"","""")
&amp;if(and(i"&amp;"snumber(find(""pact"",lower($AQ7))),isnumber(find(""lifedrinker"",lower(invocations)))),""+""&amp;chaMod&amp;""[necrotic]"","""")
&amp;""|***""&amp;textjoin("" "",True,if(and($AT7&lt;&gt;""-"",$AT7&lt;&gt;""Spell""),$AT7,""""),if($AU7&lt;&gt;""-"",$AU7,""""),if($AT7=""Spell"",$AT7,if(and("&amp;"$AT7&lt;&gt;""Unarmed"",$AT7&lt;&gt;""Natural""),""Weapon"","""")))&amp;"" Attack.***""
&amp;if($BA7&lt;&gt;""-"",""
""&amp;$BA7,"""")
&amp;if(and(isnumber(find(""melee"",lower($AU7))),iserror(find(""unarmed"",lower($AT7))),iserror(find(""natural"",lower($AT7))),iserror(find(""two-handed"&amp;""",lower($R7&amp;$AV7)))),""
""&amp;duelingText,"""")
&amp;if(and(or(lower($AT7)=""unarmed"",lower($AT7)=""natural""),unarmedFighting),""
""&amp;unarmedText,"""")
&amp;if(and(""melee""=lower($AU7),lower($AT7)&lt;&gt;""unarmed"",isnumber(find(""two-handed"",lower($R7&amp;$BA7)))),""
"""&amp;"&amp;gwfText,"""")
&amp;if(and(isnumber(find(""offhand"",lower($R7))),twoWeaponFighting),""
""&amp;twfText,"""")
&amp;if(and(lower($AU7)=""ranged"",lower($AT7)&lt;&gt;""spell""),if(archeryText&lt;&gt;"""",""
""&amp;archeryText,"""")&amp;if(closeQuartersText&lt;&gt;"""",""
""&amp;closeQuartersText,"""&amp;"""),"""")
&amp;if(isnumber(find(""thrown"",lower($BA7))),""
""&amp;thrownText,""""),""                 -""),""+0"","""")"),"                 -")</f>
        <v>                 -</v>
      </c>
      <c r="N7" s="160"/>
      <c r="O7" s="160"/>
      <c r="P7" s="160"/>
      <c r="Q7" s="160"/>
      <c r="R7" s="160"/>
      <c r="S7" s="160"/>
      <c r="T7" s="160"/>
      <c r="W7" s="163"/>
      <c r="X7" s="156"/>
      <c r="Y7" s="156"/>
      <c r="Z7" s="156"/>
      <c r="AA7" s="156"/>
      <c r="AB7" s="156"/>
      <c r="AC7" s="316" t="str">
        <f t="shared" si="3"/>
        <v/>
      </c>
      <c r="AD7" s="158" t="str">
        <f>IFERROR(__xludf.DUMMYFUNCTION("if(and(proficiencyBonus,$AQ18&lt;&gt;"""",$BC18&lt;&gt;""-""),
        if(or(
              isnumber(find(""unarmed"",lower($AT18))),
              isnumber(find(""natural"",lower($AT18))),
              isnumber(find(""spell"",lower($AT18))),
              and(isnum"&amp;"ber(find(""improvised"",lower($AQ18))),isnumber(find(""brawler"",feats))),
              isnumber(find(lower($AT18),lower(weaponProficiencies))),
              not(isna(filter(arrayformula(trim(split(lower(weaponProficiencies),"",""))),isnumber(find(array"&amp;"formula(trim(split(lower(weaponProficiencies),"",""))),lower($AQ18))))))
           ),
           proficiencyBonus,
           0
        )
        +if(lower($AU18)=""ranged"",archery+closeQuarters,0)
        +if(isnumber(find(""spell"",lower($AT18))),v2.1"&amp;"!$AR$91,0)
        +$BC18,
        ""-""
    )"),"-")</f>
        <v>-</v>
      </c>
      <c r="AE7" s="156"/>
      <c r="AF7" s="156"/>
      <c r="AG7" s="316" t="str">
        <f t="shared" si="4"/>
        <v/>
      </c>
      <c r="AH7" s="159" t="str">
        <f>IFERROR(__xludf.DUMMYFUNCTION("substitute(if(and($AQ18&lt;&gt;"""",proficiencyBonus&lt;&gt;""""),
 $AR18&amp;if(and(""melee""=lower($AU18),lower($AT18)&lt;&gt;""unarmed"",isnumber(find(""two-handed"",lower($W7&amp;$BA18)))),greatWeaponFighting,"""")
&amp;if($AR18&lt;&gt;0,""+""
&amp;if($BB18&lt;&gt;""〇"",$BC18,if($AW18&lt;&gt;""-"",$AW1"&amp;"8,0))
+int(iferror(regexextract(regexextract(Additional!$AR$79,""proficiency with[a-z ]+""&amp;lower(array_constrain(filter('Attack Info'!$B$7:$B81,'Attack Info'!$B$7:$B81&lt;&gt;"""",isnumber(find(lower('Attack Info'!$B$7:$B81),lower($AQ18)))),1,1))&amp;""[a-z, ]+\+[0"&amp;"-9]+ bonus to damage[a-z ]+with such weapons""),""[0-9]+?""),0))
+int(iferror(regexextract(regexextract(Additional!$AR$79,""\+[0-9] bonus to damage[a-z ]+""&amp;lower(array_constrain(filter('Attack Info'!$B$7:$B81,'Attack Info'!$B$7:$B81&lt;&gt;"""",isnumber(find(l"&amp;"ower('Attack Info'!$B$7:$B81),lower($AQ18)))),1,1))),""[0-9]+?""),0))
+if(and(isnumber(find(""melee"",lower($AU18))),iserror(find(""unarmed"",lower($AT18))),iserror(find(""natural"",lower($AT18))),iserror(find(""two-handed"",lower($W7&amp;$BA18)))),dueling,0)"&amp;"
+if(isnumber(find(""thrown"",lower($BA18))),thrown,0)
&amp;""[""&amp;$AS18&amp;""]"","""")
&amp;if(and(PaladinLevel&gt;=11,isnumber(find(""melee"",lower($AU18))),isnumber(find(lower($AT18),""simplemartial""))),""+1d8[radiant]"","""")
&amp;if($AX18&lt;&gt;""-"",""+""&amp;$AX18&amp;""[""&amp;$AY1"&amp;"8&amp;""]"","""")
&amp;if(and(isnumber(find(""pact"",lower($AQ18))),isnumber(find(""lifedrinker"",lower(invocations)))),""+""&amp;chaMod&amp;""[necrotic]"","""")
&amp;""|***""&amp;textjoin("" "",True,if(and($AT18&lt;&gt;""-"",$AT18&lt;&gt;""Spell""),$AT18,""""),if($AU18&lt;&gt;""-"",$AU18,""""),i"&amp;"f($AT18=""Spell"",$AT18,if(and($AT18&lt;&gt;""Unarmed"",$AT18&lt;&gt;""Natural""),""Weapon"","""")))&amp;"" Attack.***""
&amp;if($BA18&lt;&gt;""-"",""
""&amp;$BA18,"""")
&amp;if(and(isnumber(find(""melee"",lower($AU18))),iserror(find(""unarmed"",lower($AT18))),iserror(find(""natural"",low"&amp;"er($AT18))),iserror(find(""two-handed"",lower($W7&amp;$AV18)))),""
""&amp;duelingText,"""")
&amp;if(and(or(lower($AT18)=""unarmed"",lower($AT18)=""natural""),unarmedFighting),""
""&amp;unarmedText,"""")
&amp;if(and(""melee""=lower($AU18),lower($AT18)&lt;&gt;""unarmed"",isnumber(fi"&amp;"nd(""two-handed"",lower($W7&amp;$BA18)))),""
""&amp;gwfText,"""")
&amp;if(and(isnumber(find(""offhand"",lower($W7))),twoWeaponFighting),""
""&amp;twfText,"""")
&amp;if(and(lower($AU18)=""ranged"",lower($AT18)&lt;&gt;""spell""),if(archeryText&lt;&gt;"""",""
""&amp;archeryText,"""")&amp;if(closeQ"&amp;"uartersText&lt;&gt;"""",""
""&amp;closeQuartersText,""""),"""")
&amp;if(isnumber(find(""thrown"",lower($BA18))),""
""&amp;thrownText,""""),""                 -""),""+0"","""")"),"                 -")</f>
        <v>                 -</v>
      </c>
      <c r="AI7" s="160"/>
      <c r="AJ7" s="160"/>
      <c r="AK7" s="160"/>
      <c r="AL7" s="160"/>
      <c r="AM7" s="160"/>
      <c r="AN7" s="160"/>
      <c r="AO7" s="160"/>
      <c r="AQ7" s="3" t="str">
        <f>IFERROR(__xludf.DUMMYFUNCTION("iferror(array_constrain(split(textjoin(""~"",True,filter('Attack Info'!$B$7:$AN81,'Attack Info'!$B$7:$B81&lt;&gt;"""",lower('Attack Info'!$B$7:$B81)=lower(B7))),""~""),1,12),"""")"),"")</f>
        <v/>
      </c>
      <c r="AR7" s="3"/>
      <c r="AS7" s="3"/>
      <c r="AT7" s="3"/>
      <c r="AU7" s="161"/>
      <c r="AV7" s="3"/>
      <c r="AW7" s="3"/>
      <c r="AX7" s="3"/>
      <c r="AY7" s="3"/>
      <c r="AZ7" s="3"/>
      <c r="BA7" s="3"/>
      <c r="BB7" s="3"/>
      <c r="BC7" s="3" t="str">
        <f t="array" ref="BC7">if(and(strMod&lt;&gt;"-",dexMod&lt;&gt;"-"),if($AQ7&lt;&gt;"",if($AW7&lt;&gt;"-",$AW7,0)
+if(isnumber(find(lower($AZ7),"strdexconintwischa")),if(indirect(lower($AZ7)&amp;"Mod")&lt;&gt;"-",indirect(lower($AZ7)&amp;"Mod"),0),
if(or(isnumber(find("finesse",lower($BA7))),and($AV7&lt;&gt;"〇",MonkLevel&lt;&gt;"",MonkLevel&gt;0)),max(strMod,dexMod),if(lower($AU7)="ranged",dexMod,strMod))),""),"-")</f>
        <v/>
      </c>
    </row>
    <row r="8" ht="15.75" customHeight="1">
      <c r="B8" s="163"/>
      <c r="C8" s="156"/>
      <c r="D8" s="156"/>
      <c r="E8" s="156"/>
      <c r="F8" s="156"/>
      <c r="G8" s="156"/>
      <c r="H8" s="316" t="str">
        <f t="shared" si="1"/>
        <v/>
      </c>
      <c r="I8" s="158" t="str">
        <f>IFERROR(__xludf.DUMMYFUNCTION("if(and(proficiencyBonus,$AQ8&lt;&gt;"""",$BC8&lt;&gt;""-""),
        if(or(
              isnumber(find(""unarmed"",lower($AT8))),
              isnumber(find(""natural"",lower($AT8))),
              isnumber(find(""spell"",lower($AT8))),
              and(isnumber(f"&amp;"ind(""improvised"",lower($AQ8))),isnumber(find(""brawler"",feats))),
              isnumber(find(lower($AT8),lower(weaponProficiencies))),
              not(isna(filter(arrayformula(trim(split(lower(weaponProficiencies),"",""))),isnumber(find(arrayformula"&amp;"(trim(split(lower(weaponProficiencies),"",""))),lower($AQ8))))))
           ),
           proficiencyBonus,
           0
        )
        +if(lower($AU8)=""ranged"",archery+closeQuarters,0)
        +if(isnumber(find(""spell"",lower($AT8))),v2.1!$AR$91,0)"&amp;"
        +$BC8,
        ""-""
    )"),"-")</f>
        <v>-</v>
      </c>
      <c r="J8" s="156"/>
      <c r="K8" s="156"/>
      <c r="L8" s="316" t="str">
        <f t="shared" si="2"/>
        <v/>
      </c>
      <c r="M8" s="159" t="str">
        <f>IFERROR(__xludf.DUMMYFUNCTION("substitute(if(and($AQ8&lt;&gt;"""",proficiencyBonus&lt;&gt;""""),
 $AR8&amp;if(and(""melee""=lower($AU8),lower($AT8)&lt;&gt;""unarmed"",isnumber(find(""two-handed"",lower($R8&amp;$BA8)))),greatWeaponFighting,"""")
&amp;if($AR8&lt;&gt;0,""+""
&amp;if($BB8&lt;&gt;""〇"",$BC8,if($AW8&lt;&gt;""-"",$AW8,0))
+int"&amp;"(iferror(regexextract(regexextract(Additional!$AR$79,""proficiency with[a-z ]+""&amp;lower(array_constrain(filter('Attack Info'!$B$7:$B81,'Attack Info'!$B$7:$B81&lt;&gt;"""",isnumber(find(lower('Attack Info'!$B$7:$B81),lower($AQ8)))),1,1))&amp;""[a-z, ]+\+[0-9]+ bonus "&amp;"to damage[a-z ]+with such weapons""),""[0-9]+?""),0))
+int(iferror(regexextract(regexextract(Additional!$AR$79,""\+[0-9] bonus to damage[a-z ]+""&amp;lower(array_constrain(filter('Attack Info'!$B$7:$B81,'Attack Info'!$B$7:$B81&lt;&gt;"""",isnumber(find(lower('Attac"&amp;"k Info'!$B$7:$B81),lower($AQ8)))),1,1))),""[0-9]+?""),0))
+if(and(isnumber(find(""melee"",lower($AU8))),iserror(find(""unarmed"",lower($AT8))),iserror(find(""natural"",lower($AT8))),iserror(find(""two-handed"",lower($R8&amp;$BA8)))),dueling,0)
+if(isnumber(fi"&amp;"nd(""thrown"",lower($BA8))),thrown,0)
&amp;""[""&amp;$AS8&amp;""]"","""")
&amp;if(and(PaladinLevel&gt;=11,isnumber(find(""melee"",lower($AU8))),isnumber(find(lower($AT8),""simplemartial""))),""+1d8[radiant]"","""")
&amp;if($AX8&lt;&gt;""-"",""+""&amp;$AX8&amp;""[""&amp;$AY8&amp;""]"","""")
&amp;if(and(i"&amp;"snumber(find(""pact"",lower($AQ8))),isnumber(find(""lifedrinker"",lower(invocations)))),""+""&amp;chaMod&amp;""[necrotic]"","""")
&amp;""|***""&amp;textjoin("" "",True,if(and($AT8&lt;&gt;""-"",$AT8&lt;&gt;""Spell""),$AT8,""""),if($AU8&lt;&gt;""-"",$AU8,""""),if($AT8=""Spell"",$AT8,if(and("&amp;"$AT8&lt;&gt;""Unarmed"",$AT8&lt;&gt;""Natural""),""Weapon"","""")))&amp;"" Attack.***""
&amp;if($BA8&lt;&gt;""-"",""
""&amp;$BA8,"""")
&amp;if(and(isnumber(find(""melee"",lower($AU8))),iserror(find(""unarmed"",lower($AT8))),iserror(find(""natural"",lower($AT8))),iserror(find(""two-handed"&amp;""",lower($R8&amp;$AV8)))),""
""&amp;duelingText,"""")
&amp;if(and(or(lower($AT8)=""unarmed"",lower($AT8)=""natural""),unarmedFighting),""
""&amp;unarmedText,"""")
&amp;if(and(""melee""=lower($AU8),lower($AT8)&lt;&gt;""unarmed"",isnumber(find(""two-handed"",lower($R8&amp;$BA8)))),""
"""&amp;"&amp;gwfText,"""")
&amp;if(and(isnumber(find(""offhand"",lower($R8))),twoWeaponFighting),""
""&amp;twfText,"""")
&amp;if(and(lower($AU8)=""ranged"",lower($AT8)&lt;&gt;""spell""),if(archeryText&lt;&gt;"""",""
""&amp;archeryText,"""")&amp;if(closeQuartersText&lt;&gt;"""",""
""&amp;closeQuartersText,"""&amp;"""),"""")
&amp;if(isnumber(find(""thrown"",lower($BA8))),""
""&amp;thrownText,""""),""                 -""),""+0"","""")"),"                 -")</f>
        <v>                 -</v>
      </c>
      <c r="N8" s="160"/>
      <c r="O8" s="160"/>
      <c r="P8" s="160"/>
      <c r="Q8" s="160"/>
      <c r="R8" s="160"/>
      <c r="S8" s="160"/>
      <c r="T8" s="160"/>
      <c r="W8" s="163"/>
      <c r="X8" s="156"/>
      <c r="Y8" s="156"/>
      <c r="Z8" s="156"/>
      <c r="AA8" s="156"/>
      <c r="AB8" s="156"/>
      <c r="AC8" s="316" t="str">
        <f t="shared" si="3"/>
        <v/>
      </c>
      <c r="AD8" s="158" t="str">
        <f>IFERROR(__xludf.DUMMYFUNCTION("if(and(proficiencyBonus,$AQ19&lt;&gt;"""",$BC19&lt;&gt;""-""),
        if(or(
              isnumber(find(""unarmed"",lower($AT19))),
              isnumber(find(""natural"",lower($AT19))),
              isnumber(find(""spell"",lower($AT19))),
              and(isnum"&amp;"ber(find(""improvised"",lower($AQ19))),isnumber(find(""brawler"",feats))),
              isnumber(find(lower($AT19),lower(weaponProficiencies))),
              not(isna(filter(arrayformula(trim(split(lower(weaponProficiencies),"",""))),isnumber(find(array"&amp;"formula(trim(split(lower(weaponProficiencies),"",""))),lower($AQ19))))))
           ),
           proficiencyBonus,
           0
        )
        +if(lower($AU19)=""ranged"",archery+closeQuarters,0)
        +if(isnumber(find(""spell"",lower($AT19))),v2.1"&amp;"!$AR$91,0)
        +$BC19,
        ""-""
    )"),"-")</f>
        <v>-</v>
      </c>
      <c r="AE8" s="156"/>
      <c r="AF8" s="156"/>
      <c r="AG8" s="316" t="str">
        <f t="shared" si="4"/>
        <v/>
      </c>
      <c r="AH8" s="159" t="str">
        <f>IFERROR(__xludf.DUMMYFUNCTION("substitute(if(and($AQ19&lt;&gt;"""",proficiencyBonus&lt;&gt;""""),
 $AR19&amp;if(and(""melee""=lower($AU19),lower($AT19)&lt;&gt;""unarmed"",isnumber(find(""two-handed"",lower($W8&amp;$BA19)))),greatWeaponFighting,"""")
&amp;if($AR19&lt;&gt;0,""+""
&amp;if($BB19&lt;&gt;""〇"",$BC19,if($AW19&lt;&gt;""-"",$AW1"&amp;"9,0))
+int(iferror(regexextract(regexextract(Additional!$AR$79,""proficiency with[a-z ]+""&amp;lower(array_constrain(filter('Attack Info'!$B$7:$B81,'Attack Info'!$B$7:$B81&lt;&gt;"""",isnumber(find(lower('Attack Info'!$B$7:$B81),lower($AQ19)))),1,1))&amp;""[a-z, ]+\+[0"&amp;"-9]+ bonus to damage[a-z ]+with such weapons""),""[0-9]+?""),0))
+int(iferror(regexextract(regexextract(Additional!$AR$79,""\+[0-9] bonus to damage[a-z ]+""&amp;lower(array_constrain(filter('Attack Info'!$B$7:$B81,'Attack Info'!$B$7:$B81&lt;&gt;"""",isnumber(find(l"&amp;"ower('Attack Info'!$B$7:$B81),lower($AQ19)))),1,1))),""[0-9]+?""),0))
+if(and(isnumber(find(""melee"",lower($AU19))),iserror(find(""unarmed"",lower($AT19))),iserror(find(""natural"",lower($AT19))),iserror(find(""two-handed"",lower($W8&amp;$BA19)))),dueling,0)"&amp;"
+if(isnumber(find(""thrown"",lower($BA19))),thrown,0)
&amp;""[""&amp;$AS19&amp;""]"","""")
&amp;if(and(PaladinLevel&gt;=11,isnumber(find(""melee"",lower($AU19))),isnumber(find(lower($AT19),""simplemartial""))),""+1d8[radiant]"","""")
&amp;if($AX19&lt;&gt;""-"",""+""&amp;$AX19&amp;""[""&amp;$AY1"&amp;"9&amp;""]"","""")
&amp;if(and(isnumber(find(""pact"",lower($AQ19))),isnumber(find(""lifedrinker"",lower(invocations)))),""+""&amp;chaMod&amp;""[necrotic]"","""")
&amp;""|***""&amp;textjoin("" "",True,if(and($AT19&lt;&gt;""-"",$AT19&lt;&gt;""Spell""),$AT19,""""),if($AU19&lt;&gt;""-"",$AU19,""""),i"&amp;"f($AT19=""Spell"",$AT19,if(and($AT19&lt;&gt;""Unarmed"",$AT19&lt;&gt;""Natural""),""Weapon"","""")))&amp;"" Attack.***""
&amp;if($BA19&lt;&gt;""-"",""
""&amp;$BA19,"""")
&amp;if(and(isnumber(find(""melee"",lower($AU19))),iserror(find(""unarmed"",lower($AT19))),iserror(find(""natural"",low"&amp;"er($AT19))),iserror(find(""two-handed"",lower($W8&amp;$AV19)))),""
""&amp;duelingText,"""")
&amp;if(and(or(lower($AT19)=""unarmed"",lower($AT19)=""natural""),unarmedFighting),""
""&amp;unarmedText,"""")
&amp;if(and(""melee""=lower($AU19),lower($AT19)&lt;&gt;""unarmed"",isnumber(fi"&amp;"nd(""two-handed"",lower($W8&amp;$BA19)))),""
""&amp;gwfText,"""")
&amp;if(and(isnumber(find(""offhand"",lower($W8))),twoWeaponFighting),""
""&amp;twfText,"""")
&amp;if(and(lower($AU19)=""ranged"",lower($AT19)&lt;&gt;""spell""),if(archeryText&lt;&gt;"""",""
""&amp;archeryText,"""")&amp;if(closeQ"&amp;"uartersText&lt;&gt;"""",""
""&amp;closeQuartersText,""""),"""")
&amp;if(isnumber(find(""thrown"",lower($BA19))),""
""&amp;thrownText,""""),""                 -""),""+0"","""")"),"                 -")</f>
        <v>                 -</v>
      </c>
      <c r="AI8" s="160"/>
      <c r="AJ8" s="160"/>
      <c r="AK8" s="160"/>
      <c r="AL8" s="160"/>
      <c r="AM8" s="160"/>
      <c r="AN8" s="160"/>
      <c r="AO8" s="160"/>
      <c r="AQ8" s="3" t="str">
        <f>IFERROR(__xludf.DUMMYFUNCTION("iferror(array_constrain(split(textjoin(""~"",True,filter('Attack Info'!$B$7:$AN81,'Attack Info'!$B$7:$B81&lt;&gt;"""",lower('Attack Info'!$B$7:$B81)=lower(B8))),""~""),1,12),"""")"),"")</f>
        <v/>
      </c>
      <c r="AR8" s="3"/>
      <c r="AS8" s="3"/>
      <c r="AT8" s="3"/>
      <c r="AU8" s="161"/>
      <c r="AV8" s="3"/>
      <c r="AW8" s="3"/>
      <c r="AX8" s="3"/>
      <c r="AY8" s="3"/>
      <c r="AZ8" s="3"/>
      <c r="BA8" s="3"/>
      <c r="BB8" s="3"/>
      <c r="BC8" s="3" t="str">
        <f t="array" ref="BC8">if(and(strMod&lt;&gt;"-",dexMod&lt;&gt;"-"),if($AQ8&lt;&gt;"",if($AW8&lt;&gt;"-",$AW8,0)
+if(isnumber(find(lower($AZ8),"strdexconintwischa")),if(indirect(lower($AZ8)&amp;"Mod")&lt;&gt;"-",indirect(lower($AZ8)&amp;"Mod"),0),
if(or(isnumber(find("finesse",lower($BA8))),and($AV8&lt;&gt;"〇",MonkLevel&lt;&gt;"",MonkLevel&gt;0)),max(strMod,dexMod),if(lower($AU8)="ranged",dexMod,strMod))),""),"-")</f>
        <v/>
      </c>
    </row>
    <row r="9" ht="15.75" customHeight="1">
      <c r="B9" s="163"/>
      <c r="C9" s="156"/>
      <c r="D9" s="156"/>
      <c r="E9" s="156"/>
      <c r="F9" s="156"/>
      <c r="G9" s="156"/>
      <c r="H9" s="316" t="str">
        <f t="shared" si="1"/>
        <v/>
      </c>
      <c r="I9" s="158" t="str">
        <f>IFERROR(__xludf.DUMMYFUNCTION("if(and(proficiencyBonus,$AQ9&lt;&gt;"""",$BC9&lt;&gt;""-""),
        if(or(
              isnumber(find(""unarmed"",lower($AT9))),
              isnumber(find(""natural"",lower($AT9))),
              isnumber(find(""spell"",lower($AT9))),
              and(isnumber(f"&amp;"ind(""improvised"",lower($AQ9))),isnumber(find(""brawler"",feats))),
              isnumber(find(lower($AT9),lower(weaponProficiencies))),
              not(isna(filter(arrayformula(trim(split(lower(weaponProficiencies),"",""))),isnumber(find(arrayformula"&amp;"(trim(split(lower(weaponProficiencies),"",""))),lower($AQ9))))))
           ),
           proficiencyBonus,
           0
        )
        +if(lower($AU9)=""ranged"",archery+closeQuarters,0)
        +if(isnumber(find(""spell"",lower($AT9))),v2.1!$AR$91,0)"&amp;"
        +$BC9,
        ""-""
    )"),"-")</f>
        <v>-</v>
      </c>
      <c r="J9" s="156"/>
      <c r="K9" s="156"/>
      <c r="L9" s="316" t="str">
        <f t="shared" si="2"/>
        <v/>
      </c>
      <c r="M9" s="159" t="str">
        <f>IFERROR(__xludf.DUMMYFUNCTION("substitute(if(and($AQ9&lt;&gt;"""",proficiencyBonus&lt;&gt;""""),
 $AR9&amp;if(and(""melee""=lower($AU9),lower($AT9)&lt;&gt;""unarmed"",isnumber(find(""two-handed"",lower($R9&amp;$BA9)))),greatWeaponFighting,"""")
&amp;if($AR9&lt;&gt;0,""+""
&amp;if($BB9&lt;&gt;""〇"",$BC9,if($AW9&lt;&gt;""-"",$AW9,0))
+int"&amp;"(iferror(regexextract(regexextract(Additional!$AR$79,""proficiency with[a-z ]+""&amp;lower(array_constrain(filter('Attack Info'!$B$7:$B81,'Attack Info'!$B$7:$B81&lt;&gt;"""",isnumber(find(lower('Attack Info'!$B$7:$B81),lower($AQ9)))),1,1))&amp;""[a-z, ]+\+[0-9]+ bonus "&amp;"to damage[a-z ]+with such weapons""),""[0-9]+?""),0))
+int(iferror(regexextract(regexextract(Additional!$AR$79,""\+[0-9] bonus to damage[a-z ]+""&amp;lower(array_constrain(filter('Attack Info'!$B$7:$B81,'Attack Info'!$B$7:$B81&lt;&gt;"""",isnumber(find(lower('Attac"&amp;"k Info'!$B$7:$B81),lower($AQ9)))),1,1))),""[0-9]+?""),0))
+if(and(isnumber(find(""melee"",lower($AU9))),iserror(find(""unarmed"",lower($AT9))),iserror(find(""natural"",lower($AT9))),iserror(find(""two-handed"",lower($R9&amp;$BA9)))),dueling,0)
+if(isnumber(fi"&amp;"nd(""thrown"",lower($BA9))),thrown,0)
&amp;""[""&amp;$AS9&amp;""]"","""")
&amp;if(and(PaladinLevel&gt;=11,isnumber(find(""melee"",lower($AU9))),isnumber(find(lower($AT9),""simplemartial""))),""+1d8[radiant]"","""")
&amp;if($AX9&lt;&gt;""-"",""+""&amp;$AX9&amp;""[""&amp;$AY9&amp;""]"","""")
&amp;if(and(i"&amp;"snumber(find(""pact"",lower($AQ9))),isnumber(find(""lifedrinker"",lower(invocations)))),""+""&amp;chaMod&amp;""[necrotic]"","""")
&amp;""|***""&amp;textjoin("" "",True,if(and($AT9&lt;&gt;""-"",$AT9&lt;&gt;""Spell""),$AT9,""""),if($AU9&lt;&gt;""-"",$AU9,""""),if($AT9=""Spell"",$AT9,if(and("&amp;"$AT9&lt;&gt;""Unarmed"",$AT9&lt;&gt;""Natural""),""Weapon"","""")))&amp;"" Attack.***""
&amp;if($BA9&lt;&gt;""-"",""
""&amp;$BA9,"""")
&amp;if(and(isnumber(find(""melee"",lower($AU9))),iserror(find(""unarmed"",lower($AT9))),iserror(find(""natural"",lower($AT9))),iserror(find(""two-handed"&amp;""",lower($R9&amp;$AV9)))),""
""&amp;duelingText,"""")
&amp;if(and(or(lower($AT9)=""unarmed"",lower($AT9)=""natural""),unarmedFighting),""
""&amp;unarmedText,"""")
&amp;if(and(""melee""=lower($AU9),lower($AT9)&lt;&gt;""unarmed"",isnumber(find(""two-handed"",lower($R9&amp;$BA9)))),""
"""&amp;"&amp;gwfText,"""")
&amp;if(and(isnumber(find(""offhand"",lower($R9))),twoWeaponFighting),""
""&amp;twfText,"""")
&amp;if(and(lower($AU9)=""ranged"",lower($AT9)&lt;&gt;""spell""),if(archeryText&lt;&gt;"""",""
""&amp;archeryText,"""")&amp;if(closeQuartersText&lt;&gt;"""",""
""&amp;closeQuartersText,"""&amp;"""),"""")
&amp;if(isnumber(find(""thrown"",lower($BA9))),""
""&amp;thrownText,""""),""                 -""),""+0"","""")"),"                 -")</f>
        <v>                 -</v>
      </c>
      <c r="N9" s="160"/>
      <c r="O9" s="160"/>
      <c r="P9" s="160"/>
      <c r="Q9" s="160"/>
      <c r="R9" s="160"/>
      <c r="S9" s="160"/>
      <c r="T9" s="160"/>
      <c r="W9" s="163"/>
      <c r="X9" s="156"/>
      <c r="Y9" s="156"/>
      <c r="Z9" s="156"/>
      <c r="AA9" s="156"/>
      <c r="AB9" s="156"/>
      <c r="AC9" s="316" t="str">
        <f t="shared" si="3"/>
        <v/>
      </c>
      <c r="AD9" s="158" t="str">
        <f>IFERROR(__xludf.DUMMYFUNCTION("if(and(proficiencyBonus,$AQ20&lt;&gt;"""",$BC20&lt;&gt;""-""),
        if(or(
              isnumber(find(""unarmed"",lower($AT20))),
              isnumber(find(""natural"",lower($AT20))),
              isnumber(find(""spell"",lower($AT20))),
              and(isnum"&amp;"ber(find(""improvised"",lower($AQ20))),isnumber(find(""brawler"",feats))),
              isnumber(find(lower($AT20),lower(weaponProficiencies))),
              not(isna(filter(arrayformula(trim(split(lower(weaponProficiencies),"",""))),isnumber(find(array"&amp;"formula(trim(split(lower(weaponProficiencies),"",""))),lower($AQ20))))))
           ),
           proficiencyBonus,
           0
        )
        +if(lower($AU20)=""ranged"",archery+closeQuarters,0)
        +if(isnumber(find(""spell"",lower($AT20))),v2.1"&amp;"!$AR$91,0)
        +$BC20,
        ""-""
    )"),"-")</f>
        <v>-</v>
      </c>
      <c r="AE9" s="156"/>
      <c r="AF9" s="156"/>
      <c r="AG9" s="316" t="str">
        <f t="shared" si="4"/>
        <v/>
      </c>
      <c r="AH9" s="159" t="str">
        <f>IFERROR(__xludf.DUMMYFUNCTION("substitute(if(and($AQ20&lt;&gt;"""",proficiencyBonus&lt;&gt;""""),
 $AR20&amp;if(and(""melee""=lower($AU20),lower($AT20)&lt;&gt;""unarmed"",isnumber(find(""two-handed"",lower($W9&amp;$BA20)))),greatWeaponFighting,"""")
&amp;if($AR20&lt;&gt;0,""+""
&amp;if($BB20&lt;&gt;""〇"",$BC20,if($AW20&lt;&gt;""-"",$AW2"&amp;"0,0))
+int(iferror(regexextract(regexextract(Additional!$AR$79,""proficiency with[a-z ]+""&amp;lower(array_constrain(filter('Attack Info'!$B$7:$B81,'Attack Info'!$B$7:$B81&lt;&gt;"""",isnumber(find(lower('Attack Info'!$B$7:$B81),lower($AQ20)))),1,1))&amp;""[a-z, ]+\+[0"&amp;"-9]+ bonus to damage[a-z ]+with such weapons""),""[0-9]+?""),0))
+int(iferror(regexextract(regexextract(Additional!$AR$79,""\+[0-9] bonus to damage[a-z ]+""&amp;lower(array_constrain(filter('Attack Info'!$B$7:$B81,'Attack Info'!$B$7:$B81&lt;&gt;"""",isnumber(find(l"&amp;"ower('Attack Info'!$B$7:$B81),lower($AQ20)))),1,1))),""[0-9]+?""),0))
+if(and(isnumber(find(""melee"",lower($AU20))),iserror(find(""unarmed"",lower($AT20))),iserror(find(""natural"",lower($AT20))),iserror(find(""two-handed"",lower($W9&amp;$BA20)))),dueling,0)"&amp;"
+if(isnumber(find(""thrown"",lower($BA20))),thrown,0)
&amp;""[""&amp;$AS20&amp;""]"","""")
&amp;if(and(PaladinLevel&gt;=11,isnumber(find(""melee"",lower($AU20))),isnumber(find(lower($AT20),""simplemartial""))),""+1d8[radiant]"","""")
&amp;if($AX20&lt;&gt;""-"",""+""&amp;$AX20&amp;""[""&amp;$AY2"&amp;"0&amp;""]"","""")
&amp;if(and(isnumber(find(""pact"",lower($AQ20))),isnumber(find(""lifedrinker"",lower(invocations)))),""+""&amp;chaMod&amp;""[necrotic]"","""")
&amp;""|***""&amp;textjoin("" "",True,if(and($AT20&lt;&gt;""-"",$AT20&lt;&gt;""Spell""),$AT20,""""),if($AU20&lt;&gt;""-"",$AU20,""""),i"&amp;"f($AT20=""Spell"",$AT20,if(and($AT20&lt;&gt;""Unarmed"",$AT20&lt;&gt;""Natural""),""Weapon"","""")))&amp;"" Attack.***""
&amp;if($BA20&lt;&gt;""-"",""
""&amp;$BA20,"""")
&amp;if(and(isnumber(find(""melee"",lower($AU20))),iserror(find(""unarmed"",lower($AT20))),iserror(find(""natural"",low"&amp;"er($AT20))),iserror(find(""two-handed"",lower($W9&amp;$AV20)))),""
""&amp;duelingText,"""")
&amp;if(and(or(lower($AT20)=""unarmed"",lower($AT20)=""natural""),unarmedFighting),""
""&amp;unarmedText,"""")
&amp;if(and(""melee""=lower($AU20),lower($AT20)&lt;&gt;""unarmed"",isnumber(fi"&amp;"nd(""two-handed"",lower($W9&amp;$BA20)))),""
""&amp;gwfText,"""")
&amp;if(and(isnumber(find(""offhand"",lower($W9))),twoWeaponFighting),""
""&amp;twfText,"""")
&amp;if(and(lower($AU20)=""ranged"",lower($AT20)&lt;&gt;""spell""),if(archeryText&lt;&gt;"""",""
""&amp;archeryText,"""")&amp;if(closeQ"&amp;"uartersText&lt;&gt;"""",""
""&amp;closeQuartersText,""""),"""")
&amp;if(isnumber(find(""thrown"",lower($BA20))),""
""&amp;thrownText,""""),""                 -""),""+0"","""")"),"                 -")</f>
        <v>                 -</v>
      </c>
      <c r="AI9" s="160"/>
      <c r="AJ9" s="160"/>
      <c r="AK9" s="160"/>
      <c r="AL9" s="160"/>
      <c r="AM9" s="160"/>
      <c r="AN9" s="160"/>
      <c r="AO9" s="160"/>
      <c r="AQ9" s="3" t="str">
        <f>IFERROR(__xludf.DUMMYFUNCTION("iferror(array_constrain(split(textjoin(""~"",True,filter('Attack Info'!$B$7:$AN81,'Attack Info'!$B$7:$B81&lt;&gt;"""",lower('Attack Info'!$B$7:$B81)=lower(B9))),""~""),1,12),"""")"),"")</f>
        <v/>
      </c>
      <c r="AR9" s="3"/>
      <c r="AS9" s="3"/>
      <c r="AT9" s="3"/>
      <c r="AU9" s="161"/>
      <c r="AV9" s="3"/>
      <c r="AW9" s="3"/>
      <c r="AX9" s="3"/>
      <c r="AY9" s="3"/>
      <c r="AZ9" s="3"/>
      <c r="BA9" s="3"/>
      <c r="BB9" s="3"/>
      <c r="BC9" s="3" t="str">
        <f t="array" ref="BC9">if(and(strMod&lt;&gt;"-",dexMod&lt;&gt;"-"),if($AQ9&lt;&gt;"",if($AW9&lt;&gt;"-",$AW9,0)
+if(isnumber(find(lower($AZ9),"strdexconintwischa")),if(indirect(lower($AZ9)&amp;"Mod")&lt;&gt;"-",indirect(lower($AZ9)&amp;"Mod"),0),
if(or(isnumber(find("finesse",lower($BA9))),and($AV9&lt;&gt;"〇",MonkLevel&lt;&gt;"",MonkLevel&gt;0)),max(strMod,dexMod),if(lower($AU9)="ranged",dexMod,strMod))),""),"-")</f>
        <v/>
      </c>
    </row>
    <row r="10" ht="15.75" customHeight="1">
      <c r="B10" s="163"/>
      <c r="C10" s="156"/>
      <c r="D10" s="156"/>
      <c r="E10" s="156"/>
      <c r="F10" s="156"/>
      <c r="G10" s="156"/>
      <c r="H10" s="316" t="str">
        <f t="shared" si="1"/>
        <v/>
      </c>
      <c r="I10" s="158" t="str">
        <f>IFERROR(__xludf.DUMMYFUNCTION("if(and(proficiencyBonus,$AQ10&lt;&gt;"""",$BC10&lt;&gt;""-""),
        if(or(
              isnumber(find(""unarmed"",lower($AT10))),
              isnumber(find(""natural"",lower($AT10))),
              isnumber(find(""spell"",lower($AT10))),
              and(isnum"&amp;"ber(find(""improvised"",lower($AQ10))),isnumber(find(""brawler"",feats))),
              isnumber(find(lower($AT10),lower(weaponProficiencies))),
              not(isna(filter(arrayformula(trim(split(lower(weaponProficiencies),"",""))),isnumber(find(array"&amp;"formula(trim(split(lower(weaponProficiencies),"",""))),lower($AQ10))))))
           ),
           proficiencyBonus,
           0
        )
        +if(lower($AU10)=""ranged"",archery+closeQuarters,0)
        +if(isnumber(find(""spell"",lower($AT10))),v2.1"&amp;"!$AR$91,0)
        +$BC10,
        ""-""
    )"),"-")</f>
        <v>-</v>
      </c>
      <c r="J10" s="156"/>
      <c r="K10" s="156"/>
      <c r="L10" s="316" t="str">
        <f t="shared" si="2"/>
        <v/>
      </c>
      <c r="M10" s="159" t="str">
        <f>IFERROR(__xludf.DUMMYFUNCTION("substitute(if(and($AQ10&lt;&gt;"""",proficiencyBonus&lt;&gt;""""),
 $AR10&amp;if(and(""melee""=lower($AU10),lower($AT10)&lt;&gt;""unarmed"",isnumber(find(""two-handed"",lower($R10&amp;$BA10)))),greatWeaponFighting,"""")
&amp;if($AR10&lt;&gt;0,""+""
&amp;if($BB10&lt;&gt;""〇"",$BC10,if($AW10&lt;&gt;""-"",$AW"&amp;"10,0))
+int(iferror(regexextract(regexextract(Additional!$AR$79,""proficiency with[a-z ]+""&amp;lower(array_constrain(filter('Attack Info'!$B$7:$B81,'Attack Info'!$B$7:$B81&lt;&gt;"""",isnumber(find(lower('Attack Info'!$B$7:$B81),lower($AQ10)))),1,1))&amp;""[a-z, ]+\+["&amp;"0-9]+ bonus to damage[a-z ]+with such weapons""),""[0-9]+?""),0))
+int(iferror(regexextract(regexextract(Additional!$AR$79,""\+[0-9] bonus to damage[a-z ]+""&amp;lower(array_constrain(filter('Attack Info'!$B$7:$B81,'Attack Info'!$B$7:$B81&lt;&gt;"""",isnumber(find("&amp;"lower('Attack Info'!$B$7:$B81),lower($AQ10)))),1,1))),""[0-9]+?""),0))
+if(and(isnumber(find(""melee"",lower($AU10))),iserror(find(""unarmed"",lower($AT10))),iserror(find(""natural"",lower($AT10))),iserror(find(""two-handed"",lower($R10&amp;$BA10)))),dueling,"&amp;"0)
+if(isnumber(find(""thrown"",lower($BA10))),thrown,0)
&amp;""[""&amp;$AS10&amp;""]"","""")
&amp;if(and(PaladinLevel&gt;=11,isnumber(find(""melee"",lower($AU10))),isnumber(find(lower($AT10),""simplemartial""))),""+1d8[radiant]"","""")
&amp;if($AX10&lt;&gt;""-"",""+""&amp;$AX10&amp;""[""&amp;$A"&amp;"Y10&amp;""]"","""")
&amp;if(and(isnumber(find(""pact"",lower($AQ10))),isnumber(find(""lifedrinker"",lower(invocations)))),""+""&amp;chaMod&amp;""[necrotic]"","""")
&amp;""|***""&amp;textjoin("" "",True,if(and($AT10&lt;&gt;""-"",$AT10&lt;&gt;""Spell""),$AT10,""""),if($AU10&lt;&gt;""-"",$AU10,"""")"&amp;",if($AT10=""Spell"",$AT10,if(and($AT10&lt;&gt;""Unarmed"",$AT10&lt;&gt;""Natural""),""Weapon"","""")))&amp;"" Attack.***""
&amp;if($BA10&lt;&gt;""-"",""
""&amp;$BA10,"""")
&amp;if(and(isnumber(find(""melee"",lower($AU10))),iserror(find(""unarmed"",lower($AT10))),iserror(find(""natural"",l"&amp;"ower($AT10))),iserror(find(""two-handed"",lower($R10&amp;$AV10)))),""
""&amp;duelingText,"""")
&amp;if(and(or(lower($AT10)=""unarmed"",lower($AT10)=""natural""),unarmedFighting),""
""&amp;unarmedText,"""")
&amp;if(and(""melee""=lower($AU10),lower($AT10)&lt;&gt;""unarmed"",isnumber"&amp;"(find(""two-handed"",lower($R10&amp;$BA10)))),""
""&amp;gwfText,"""")
&amp;if(and(isnumber(find(""offhand"",lower($R10))),twoWeaponFighting),""
""&amp;twfText,"""")
&amp;if(and(lower($AU10)=""ranged"",lower($AT10)&lt;&gt;""spell""),if(archeryText&lt;&gt;"""",""
""&amp;archeryText,"""")&amp;if(c"&amp;"loseQuartersText&lt;&gt;"""",""
""&amp;closeQuartersText,""""),"""")
&amp;if(isnumber(find(""thrown"",lower($BA10))),""
""&amp;thrownText,""""),""                 -""),""+0"","""")"),"                 -")</f>
        <v>                 -</v>
      </c>
      <c r="N10" s="160"/>
      <c r="O10" s="160"/>
      <c r="P10" s="160"/>
      <c r="Q10" s="160"/>
      <c r="R10" s="160"/>
      <c r="S10" s="160"/>
      <c r="T10" s="160"/>
      <c r="W10" s="163"/>
      <c r="X10" s="156"/>
      <c r="Y10" s="156"/>
      <c r="Z10" s="156"/>
      <c r="AA10" s="156"/>
      <c r="AB10" s="156"/>
      <c r="AC10" s="316" t="str">
        <f t="shared" si="3"/>
        <v/>
      </c>
      <c r="AD10" s="158" t="str">
        <f>IFERROR(__xludf.DUMMYFUNCTION("if(and(proficiencyBonus,$AQ21&lt;&gt;"""",$BC21&lt;&gt;""-""),
        if(or(
              isnumber(find(""unarmed"",lower($AT21))),
              isnumber(find(""natural"",lower($AT21))),
              isnumber(find(""spell"",lower($AT21))),
              and(isnum"&amp;"ber(find(""improvised"",lower($AQ21))),isnumber(find(""brawler"",feats))),
              isnumber(find(lower($AT21),lower(weaponProficiencies))),
              not(isna(filter(arrayformula(trim(split(lower(weaponProficiencies),"",""))),isnumber(find(array"&amp;"formula(trim(split(lower(weaponProficiencies),"",""))),lower($AQ21))))))
           ),
           proficiencyBonus,
           0
        )
        +if(lower($AU21)=""ranged"",archery+closeQuarters,0)
        +if(isnumber(find(""spell"",lower($AT21))),v2.1"&amp;"!$AR$91,0)
        +$BC21,
        ""-""
    )"),"-")</f>
        <v>-</v>
      </c>
      <c r="AE10" s="156"/>
      <c r="AF10" s="156"/>
      <c r="AG10" s="316" t="str">
        <f t="shared" si="4"/>
        <v/>
      </c>
      <c r="AH10" s="159" t="str">
        <f>IFERROR(__xludf.DUMMYFUNCTION("substitute(if(and($AQ21&lt;&gt;"""",proficiencyBonus&lt;&gt;""""),
 $AR21&amp;if(and(""melee""=lower($AU21),lower($AT21)&lt;&gt;""unarmed"",isnumber(find(""two-handed"",lower($W10&amp;$BA21)))),greatWeaponFighting,"""")
&amp;if($AR21&lt;&gt;0,""+""
&amp;if($BB21&lt;&gt;""〇"",$BC21,if($AW21&lt;&gt;""-"",$AW"&amp;"21,0))
+int(iferror(regexextract(regexextract(Additional!$AR$79,""proficiency with[a-z ]+""&amp;lower(array_constrain(filter('Attack Info'!$B$7:$B81,'Attack Info'!$B$7:$B81&lt;&gt;"""",isnumber(find(lower('Attack Info'!$B$7:$B81),lower($AQ21)))),1,1))&amp;""[a-z, ]+\+["&amp;"0-9]+ bonus to damage[a-z ]+with such weapons""),""[0-9]+?""),0))
+int(iferror(regexextract(regexextract(Additional!$AR$79,""\+[0-9] bonus to damage[a-z ]+""&amp;lower(array_constrain(filter('Attack Info'!$B$7:$B81,'Attack Info'!$B$7:$B81&lt;&gt;"""",isnumber(find("&amp;"lower('Attack Info'!$B$7:$B81),lower($AQ21)))),1,1))),""[0-9]+?""),0))
+if(and(isnumber(find(""melee"",lower($AU21))),iserror(find(""unarmed"",lower($AT21))),iserror(find(""natural"",lower($AT21))),iserror(find(""two-handed"",lower($W10&amp;$BA21)))),dueling,"&amp;"0)
+if(isnumber(find(""thrown"",lower($BA21))),thrown,0)
&amp;""[""&amp;$AS21&amp;""]"","""")
&amp;if(and(PaladinLevel&gt;=11,isnumber(find(""melee"",lower($AU21))),isnumber(find(lower($AT21),""simplemartial""))),""+1d8[radiant]"","""")
&amp;if($AX21&lt;&gt;""-"",""+""&amp;$AX21&amp;""[""&amp;$A"&amp;"Y21&amp;""]"","""")
&amp;if(and(isnumber(find(""pact"",lower($AQ21))),isnumber(find(""lifedrinker"",lower(invocations)))),""+""&amp;chaMod&amp;""[necrotic]"","""")
&amp;""|***""&amp;textjoin("" "",True,if(and($AT21&lt;&gt;""-"",$AT21&lt;&gt;""Spell""),$AT21,""""),if($AU21&lt;&gt;""-"",$AU21,"""")"&amp;",if($AT21=""Spell"",$AT21,if(and($AT21&lt;&gt;""Unarmed"",$AT21&lt;&gt;""Natural""),""Weapon"","""")))&amp;"" Attack.***""
&amp;if($BA21&lt;&gt;""-"",""
""&amp;$BA21,"""")
&amp;if(and(isnumber(find(""melee"",lower($AU21))),iserror(find(""unarmed"",lower($AT21))),iserror(find(""natural"",l"&amp;"ower($AT21))),iserror(find(""two-handed"",lower($W10&amp;$AV21)))),""
""&amp;duelingText,"""")
&amp;if(and(or(lower($AT21)=""unarmed"",lower($AT21)=""natural""),unarmedFighting),""
""&amp;unarmedText,"""")
&amp;if(and(""melee""=lower($AU21),lower($AT21)&lt;&gt;""unarmed"",isnumber"&amp;"(find(""two-handed"",lower($W10&amp;$BA21)))),""
""&amp;gwfText,"""")
&amp;if(and(isnumber(find(""offhand"",lower($W10))),twoWeaponFighting),""
""&amp;twfText,"""")
&amp;if(and(lower($AU21)=""ranged"",lower($AT21)&lt;&gt;""spell""),if(archeryText&lt;&gt;"""",""
""&amp;archeryText,"""")&amp;if(c"&amp;"loseQuartersText&lt;&gt;"""",""
""&amp;closeQuartersText,""""),"""")
&amp;if(isnumber(find(""thrown"",lower($BA21))),""
""&amp;thrownText,""""),""                 -""),""+0"","""")"),"                 -")</f>
        <v>                 -</v>
      </c>
      <c r="AI10" s="160"/>
      <c r="AJ10" s="160"/>
      <c r="AK10" s="160"/>
      <c r="AL10" s="160"/>
      <c r="AM10" s="160"/>
      <c r="AN10" s="160"/>
      <c r="AO10" s="160"/>
      <c r="AQ10" s="3" t="str">
        <f>IFERROR(__xludf.DUMMYFUNCTION("iferror(array_constrain(split(textjoin(""~"",True,filter('Attack Info'!$B$7:$AN81,'Attack Info'!$B$7:$B81&lt;&gt;"""",lower('Attack Info'!$B$7:$B81)=lower(B10))),""~""),1,12),"""")"),"")</f>
        <v/>
      </c>
      <c r="AR10" s="3"/>
      <c r="AS10" s="3"/>
      <c r="AT10" s="3"/>
      <c r="AU10" s="161"/>
      <c r="AV10" s="3"/>
      <c r="AW10" s="3"/>
      <c r="AX10" s="3"/>
      <c r="AY10" s="3"/>
      <c r="AZ10" s="3"/>
      <c r="BA10" s="3"/>
      <c r="BB10" s="3"/>
      <c r="BC10" s="3" t="str">
        <f t="array" ref="BC10">if(and(strMod&lt;&gt;"-",dexMod&lt;&gt;"-"),if($AQ10&lt;&gt;"",if($AW10&lt;&gt;"-",$AW10,0)
+if(isnumber(find(lower($AZ10),"strdexconintwischa")),if(indirect(lower($AZ10)&amp;"Mod")&lt;&gt;"-",indirect(lower($AZ10)&amp;"Mod"),0),
if(or(isnumber(find("finesse",lower($BA10))),and($AV10&lt;&gt;"〇",MonkLevel&lt;&gt;"",MonkLevel&gt;0)),max(strMod,dexMod),if(lower($AU10)="ranged",dexMod,strMod))),""),"-")</f>
        <v/>
      </c>
    </row>
    <row r="11" ht="15.75" customHeight="1">
      <c r="B11" s="163"/>
      <c r="C11" s="156"/>
      <c r="D11" s="156"/>
      <c r="E11" s="156"/>
      <c r="F11" s="156"/>
      <c r="G11" s="156"/>
      <c r="H11" s="316" t="str">
        <f t="shared" si="1"/>
        <v/>
      </c>
      <c r="I11" s="158" t="str">
        <f>IFERROR(__xludf.DUMMYFUNCTION("if(and(proficiencyBonus,$AQ11&lt;&gt;"""",$BC11&lt;&gt;""-""),
        if(or(
              isnumber(find(""unarmed"",lower($AT11))),
              isnumber(find(""natural"",lower($AT11))),
              isnumber(find(""spell"",lower($AT11))),
              and(isnum"&amp;"ber(find(""improvised"",lower($AQ11))),isnumber(find(""brawler"",feats))),
              isnumber(find(lower($AT11),lower(weaponProficiencies))),
              not(isna(filter(arrayformula(trim(split(lower(weaponProficiencies),"",""))),isnumber(find(array"&amp;"formula(trim(split(lower(weaponProficiencies),"",""))),lower($AQ11))))))
           ),
           proficiencyBonus,
           0
        )
        +if(lower($AU11)=""ranged"",archery+closeQuarters,0)
        +if(isnumber(find(""spell"",lower($AT11))),v2.1"&amp;"!$AR$91,0)
        +$BC11,
        ""-""
    )"),"-")</f>
        <v>-</v>
      </c>
      <c r="J11" s="156"/>
      <c r="K11" s="156"/>
      <c r="L11" s="316" t="str">
        <f t="shared" si="2"/>
        <v/>
      </c>
      <c r="M11" s="159" t="str">
        <f>IFERROR(__xludf.DUMMYFUNCTION("substitute(if(and($AQ11&lt;&gt;"""",proficiencyBonus&lt;&gt;""""),
 $AR11&amp;if(and(""melee""=lower($AU11),lower($AT11)&lt;&gt;""unarmed"",isnumber(find(""two-handed"",lower($R11&amp;$BA11)))),greatWeaponFighting,"""")
&amp;if($AR11&lt;&gt;0,""+""
&amp;if($BB11&lt;&gt;""〇"",$BC11,if($AW11&lt;&gt;""-"",$AW"&amp;"11,0))
+int(iferror(regexextract(regexextract(Additional!$AR$79,""proficiency with[a-z ]+""&amp;lower(array_constrain(filter('Attack Info'!$B$7:$B81,'Attack Info'!$B$7:$B81&lt;&gt;"""",isnumber(find(lower('Attack Info'!$B$7:$B81),lower($AQ11)))),1,1))&amp;""[a-z, ]+\+["&amp;"0-9]+ bonus to damage[a-z ]+with such weapons""),""[0-9]+?""),0))
+int(iferror(regexextract(regexextract(Additional!$AR$79,""\+[0-9] bonus to damage[a-z ]+""&amp;lower(array_constrain(filter('Attack Info'!$B$7:$B81,'Attack Info'!$B$7:$B81&lt;&gt;"""",isnumber(find("&amp;"lower('Attack Info'!$B$7:$B81),lower($AQ11)))),1,1))),""[0-9]+?""),0))
+if(and(isnumber(find(""melee"",lower($AU11))),iserror(find(""unarmed"",lower($AT11))),iserror(find(""natural"",lower($AT11))),iserror(find(""two-handed"",lower($R11&amp;$BA11)))),dueling,"&amp;"0)
+if(isnumber(find(""thrown"",lower($BA11))),thrown,0)
&amp;""[""&amp;$AS11&amp;""]"","""")
&amp;if(and(PaladinLevel&gt;=11,isnumber(find(""melee"",lower($AU11))),isnumber(find(lower($AT11),""simplemartial""))),""+1d8[radiant]"","""")
&amp;if($AX11&lt;&gt;""-"",""+""&amp;$AX11&amp;""[""&amp;$A"&amp;"Y11&amp;""]"","""")
&amp;if(and(isnumber(find(""pact"",lower($AQ11))),isnumber(find(""lifedrinker"",lower(invocations)))),""+""&amp;chaMod&amp;""[necrotic]"","""")
&amp;""|***""&amp;textjoin("" "",True,if(and($AT11&lt;&gt;""-"",$AT11&lt;&gt;""Spell""),$AT11,""""),if($AU11&lt;&gt;""-"",$AU11,"""")"&amp;",if($AT11=""Spell"",$AT11,if(and($AT11&lt;&gt;""Unarmed"",$AT11&lt;&gt;""Natural""),""Weapon"","""")))&amp;"" Attack.***""
&amp;if($BA11&lt;&gt;""-"",""
""&amp;$BA11,"""")
&amp;if(and(isnumber(find(""melee"",lower($AU11))),iserror(find(""unarmed"",lower($AT11))),iserror(find(""natural"",l"&amp;"ower($AT11))),iserror(find(""two-handed"",lower($R11&amp;$AV11)))),""
""&amp;duelingText,"""")
&amp;if(and(or(lower($AT11)=""unarmed"",lower($AT11)=""natural""),unarmedFighting),""
""&amp;unarmedText,"""")
&amp;if(and(""melee""=lower($AU11),lower($AT11)&lt;&gt;""unarmed"",isnumber"&amp;"(find(""two-handed"",lower($R11&amp;$BA11)))),""
""&amp;gwfText,"""")
&amp;if(and(isnumber(find(""offhand"",lower($R11))),twoWeaponFighting),""
""&amp;twfText,"""")
&amp;if(and(lower($AU11)=""ranged"",lower($AT11)&lt;&gt;""spell""),if(archeryText&lt;&gt;"""",""
""&amp;archeryText,"""")&amp;if(c"&amp;"loseQuartersText&lt;&gt;"""",""
""&amp;closeQuartersText,""""),"""")
&amp;if(isnumber(find(""thrown"",lower($BA11))),""
""&amp;thrownText,""""),""                 -""),""+0"","""")"),"                 -")</f>
        <v>                 -</v>
      </c>
      <c r="N11" s="160"/>
      <c r="O11" s="160"/>
      <c r="P11" s="160"/>
      <c r="Q11" s="160"/>
      <c r="R11" s="160"/>
      <c r="S11" s="160"/>
      <c r="T11" s="160"/>
      <c r="W11" s="163"/>
      <c r="X11" s="156"/>
      <c r="Y11" s="156"/>
      <c r="Z11" s="156"/>
      <c r="AA11" s="156"/>
      <c r="AB11" s="156"/>
      <c r="AC11" s="316" t="str">
        <f t="shared" si="3"/>
        <v/>
      </c>
      <c r="AD11" s="158" t="str">
        <f>IFERROR(__xludf.DUMMYFUNCTION("if(and(proficiencyBonus,$AQ22&lt;&gt;"""",$BC22&lt;&gt;""-""),
        if(or(
              isnumber(find(""unarmed"",lower($AT22))),
              isnumber(find(""natural"",lower($AT22))),
              isnumber(find(""spell"",lower($AT22))),
              and(isnum"&amp;"ber(find(""improvised"",lower($AQ22))),isnumber(find(""brawler"",feats))),
              isnumber(find(lower($AT22),lower(weaponProficiencies))),
              not(isna(filter(arrayformula(trim(split(lower(weaponProficiencies),"",""))),isnumber(find(array"&amp;"formula(trim(split(lower(weaponProficiencies),"",""))),lower($AQ22))))))
           ),
           proficiencyBonus,
           0
        )
        +if(lower($AU22)=""ranged"",archery+closeQuarters,0)
        +if(isnumber(find(""spell"",lower($AT22))),v2.1"&amp;"!$AR$91,0)
        +$BC22,
        ""-""
    )"),"-")</f>
        <v>-</v>
      </c>
      <c r="AE11" s="156"/>
      <c r="AF11" s="156"/>
      <c r="AG11" s="316" t="str">
        <f t="shared" si="4"/>
        <v/>
      </c>
      <c r="AH11" s="159" t="str">
        <f>IFERROR(__xludf.DUMMYFUNCTION("substitute(if(and($AQ22&lt;&gt;"""",proficiencyBonus&lt;&gt;""""),
 $AR22&amp;if(and(""melee""=lower($AU22),lower($AT22)&lt;&gt;""unarmed"",isnumber(find(""two-handed"",lower($W11&amp;$BA22)))),greatWeaponFighting,"""")
&amp;if($AR22&lt;&gt;0,""+""
&amp;if($BB22&lt;&gt;""〇"",$BC22,if($AW22&lt;&gt;""-"",$AW"&amp;"22,0))
+int(iferror(regexextract(regexextract(Additional!$AR$79,""proficiency with[a-z ]+""&amp;lower(array_constrain(filter('Attack Info'!$B$7:$B81,'Attack Info'!$B$7:$B81&lt;&gt;"""",isnumber(find(lower('Attack Info'!$B$7:$B81),lower($AQ22)))),1,1))&amp;""[a-z, ]+\+["&amp;"0-9]+ bonus to damage[a-z ]+with such weapons""),""[0-9]+?""),0))
+int(iferror(regexextract(regexextract(Additional!$AR$79,""\+[0-9] bonus to damage[a-z ]+""&amp;lower(array_constrain(filter('Attack Info'!$B$7:$B81,'Attack Info'!$B$7:$B81&lt;&gt;"""",isnumber(find("&amp;"lower('Attack Info'!$B$7:$B81),lower($AQ22)))),1,1))),""[0-9]+?""),0))
+if(and(isnumber(find(""melee"",lower($AU22))),iserror(find(""unarmed"",lower($AT22))),iserror(find(""natural"",lower($AT22))),iserror(find(""two-handed"",lower($W11&amp;$BA22)))),dueling,"&amp;"0)
+if(isnumber(find(""thrown"",lower($BA22))),thrown,0)
&amp;""[""&amp;$AS22&amp;""]"","""")
&amp;if(and(PaladinLevel&gt;=11,isnumber(find(""melee"",lower($AU22))),isnumber(find(lower($AT22),""simplemartial""))),""+1d8[radiant]"","""")
&amp;if($AX22&lt;&gt;""-"",""+""&amp;$AX22&amp;""[""&amp;$A"&amp;"Y22&amp;""]"","""")
&amp;if(and(isnumber(find(""pact"",lower($AQ22))),isnumber(find(""lifedrinker"",lower(invocations)))),""+""&amp;chaMod&amp;""[necrotic]"","""")
&amp;""|***""&amp;textjoin("" "",True,if(and($AT22&lt;&gt;""-"",$AT22&lt;&gt;""Spell""),$AT22,""""),if($AU22&lt;&gt;""-"",$AU22,"""")"&amp;",if($AT22=""Spell"",$AT22,if(and($AT22&lt;&gt;""Unarmed"",$AT22&lt;&gt;""Natural""),""Weapon"","""")))&amp;"" Attack.***""
&amp;if($BA22&lt;&gt;""-"",""
""&amp;$BA22,"""")
&amp;if(and(isnumber(find(""melee"",lower($AU22))),iserror(find(""unarmed"",lower($AT22))),iserror(find(""natural"",l"&amp;"ower($AT22))),iserror(find(""two-handed"",lower($W11&amp;$AV22)))),""
""&amp;duelingText,"""")
&amp;if(and(or(lower($AT22)=""unarmed"",lower($AT22)=""natural""),unarmedFighting),""
""&amp;unarmedText,"""")
&amp;if(and(""melee""=lower($AU22),lower($AT22)&lt;&gt;""unarmed"",isnumber"&amp;"(find(""two-handed"",lower($W11&amp;$BA22)))),""
""&amp;gwfText,"""")
&amp;if(and(isnumber(find(""offhand"",lower($W11))),twoWeaponFighting),""
""&amp;twfText,"""")
&amp;if(and(lower($AU22)=""ranged"",lower($AT22)&lt;&gt;""spell""),if(archeryText&lt;&gt;"""",""
""&amp;archeryText,"""")&amp;if(c"&amp;"loseQuartersText&lt;&gt;"""",""
""&amp;closeQuartersText,""""),"""")
&amp;if(isnumber(find(""thrown"",lower($BA22))),""
""&amp;thrownText,""""),""                 -""),""+0"","""")"),"                 -")</f>
        <v>                 -</v>
      </c>
      <c r="AI11" s="160"/>
      <c r="AJ11" s="160"/>
      <c r="AK11" s="160"/>
      <c r="AL11" s="160"/>
      <c r="AM11" s="160"/>
      <c r="AN11" s="160"/>
      <c r="AO11" s="160"/>
      <c r="AQ11" s="3" t="str">
        <f>IFERROR(__xludf.DUMMYFUNCTION("iferror(array_constrain(split(textjoin(""~"",True,filter('Attack Info'!$B$7:$AN81,'Attack Info'!$B$7:$B81&lt;&gt;"""",lower('Attack Info'!$B$7:$B81)=lower(B11))),""~""),1,12),"""")"),"")</f>
        <v/>
      </c>
      <c r="AR11" s="3"/>
      <c r="AS11" s="3"/>
      <c r="AT11" s="3"/>
      <c r="AU11" s="161"/>
      <c r="AV11" s="3"/>
      <c r="AW11" s="3"/>
      <c r="AX11" s="3"/>
      <c r="AY11" s="3"/>
      <c r="AZ11" s="3"/>
      <c r="BA11" s="3"/>
      <c r="BB11" s="3"/>
      <c r="BC11" s="3" t="str">
        <f t="array" ref="BC11">if(and(strMod&lt;&gt;"-",dexMod&lt;&gt;"-"),if($AQ11&lt;&gt;"",if($AW11&lt;&gt;"-",$AW11,0)
+if(isnumber(find(lower($AZ11),"strdexconintwischa")),if(indirect(lower($AZ11)&amp;"Mod")&lt;&gt;"-",indirect(lower($AZ11)&amp;"Mod"),0),
if(or(isnumber(find("finesse",lower($BA11))),and($AV11&lt;&gt;"〇",MonkLevel&lt;&gt;"",MonkLevel&gt;0)),max(strMod,dexMod),if(lower($AU11)="ranged",dexMod,strMod))),""),"-")</f>
        <v/>
      </c>
    </row>
    <row r="12" ht="15.75" customHeight="1">
      <c r="B12" s="163"/>
      <c r="C12" s="156"/>
      <c r="D12" s="156"/>
      <c r="E12" s="156"/>
      <c r="F12" s="156"/>
      <c r="G12" s="156"/>
      <c r="H12" s="316" t="str">
        <f t="shared" si="1"/>
        <v/>
      </c>
      <c r="I12" s="158" t="str">
        <f>IFERROR(__xludf.DUMMYFUNCTION("if(and(proficiencyBonus,$AQ12&lt;&gt;"""",$BC12&lt;&gt;""-""),
        if(or(
              isnumber(find(""unarmed"",lower($AT12))),
              isnumber(find(""natural"",lower($AT12))),
              isnumber(find(""spell"",lower($AT12))),
              and(isnum"&amp;"ber(find(""improvised"",lower($AQ12))),isnumber(find(""brawler"",feats))),
              isnumber(find(lower($AT12),lower(weaponProficiencies))),
              not(isna(filter(arrayformula(trim(split(lower(weaponProficiencies),"",""))),isnumber(find(array"&amp;"formula(trim(split(lower(weaponProficiencies),"",""))),lower($AQ12))))))
           ),
           proficiencyBonus,
           0
        )
        +if(lower($AU12)=""ranged"",archery+closeQuarters,0)
        +if(isnumber(find(""spell"",lower($AT12))),v2.1"&amp;"!$AR$91,0)
        +$BC12,
        ""-""
    )"),"-")</f>
        <v>-</v>
      </c>
      <c r="J12" s="156"/>
      <c r="K12" s="156"/>
      <c r="L12" s="316" t="str">
        <f t="shared" si="2"/>
        <v/>
      </c>
      <c r="M12" s="159" t="str">
        <f>IFERROR(__xludf.DUMMYFUNCTION("substitute(if(and($AQ12&lt;&gt;"""",proficiencyBonus&lt;&gt;""""),
 $AR12&amp;if(and(""melee""=lower($AU12),lower($AT12)&lt;&gt;""unarmed"",isnumber(find(""two-handed"",lower($R12&amp;$BA12)))),greatWeaponFighting,"""")
&amp;if($AR12&lt;&gt;0,""+""
&amp;if($BB12&lt;&gt;""〇"",$BC12,if($AW12&lt;&gt;""-"",$AW"&amp;"12,0))
+int(iferror(regexextract(regexextract(Additional!$AR$79,""proficiency with[a-z ]+""&amp;lower(array_constrain(filter('Attack Info'!$B$7:$B81,'Attack Info'!$B$7:$B81&lt;&gt;"""",isnumber(find(lower('Attack Info'!$B$7:$B81),lower($AQ12)))),1,1))&amp;""[a-z, ]+\+["&amp;"0-9]+ bonus to damage[a-z ]+with such weapons""),""[0-9]+?""),0))
+int(iferror(regexextract(regexextract(Additional!$AR$79,""\+[0-9] bonus to damage[a-z ]+""&amp;lower(array_constrain(filter('Attack Info'!$B$7:$B81,'Attack Info'!$B$7:$B81&lt;&gt;"""",isnumber(find("&amp;"lower('Attack Info'!$B$7:$B81),lower($AQ12)))),1,1))),""[0-9]+?""),0))
+if(and(isnumber(find(""melee"",lower($AU12))),iserror(find(""unarmed"",lower($AT12))),iserror(find(""natural"",lower($AT12))),iserror(find(""two-handed"",lower($R12&amp;$BA12)))),dueling,"&amp;"0)
+if(isnumber(find(""thrown"",lower($BA12))),thrown,0)
&amp;""[""&amp;$AS12&amp;""]"","""")
&amp;if(and(PaladinLevel&gt;=11,isnumber(find(""melee"",lower($AU12))),isnumber(find(lower($AT12),""simplemartial""))),""+1d8[radiant]"","""")
&amp;if($AX12&lt;&gt;""-"",""+""&amp;$AX12&amp;""[""&amp;$A"&amp;"Y12&amp;""]"","""")
&amp;if(and(isnumber(find(""pact"",lower($AQ12))),isnumber(find(""lifedrinker"",lower(invocations)))),""+""&amp;chaMod&amp;""[necrotic]"","""")
&amp;""|***""&amp;textjoin("" "",True,if(and($AT12&lt;&gt;""-"",$AT12&lt;&gt;""Spell""),$AT12,""""),if($AU12&lt;&gt;""-"",$AU12,"""")"&amp;",if($AT12=""Spell"",$AT12,if(and($AT12&lt;&gt;""Unarmed"",$AT12&lt;&gt;""Natural""),""Weapon"","""")))&amp;"" Attack.***""
&amp;if($BA12&lt;&gt;""-"",""
""&amp;$BA12,"""")
&amp;if(and(isnumber(find(""melee"",lower($AU12))),iserror(find(""unarmed"",lower($AT12))),iserror(find(""natural"",l"&amp;"ower($AT12))),iserror(find(""two-handed"",lower($R12&amp;$AV12)))),""
""&amp;duelingText,"""")
&amp;if(and(or(lower($AT12)=""unarmed"",lower($AT12)=""natural""),unarmedFighting),""
""&amp;unarmedText,"""")
&amp;if(and(""melee""=lower($AU12),lower($AT12)&lt;&gt;""unarmed"",isnumber"&amp;"(find(""two-handed"",lower($R12&amp;$BA12)))),""
""&amp;gwfText,"""")
&amp;if(and(isnumber(find(""offhand"",lower($R12))),twoWeaponFighting),""
""&amp;twfText,"""")
&amp;if(and(lower($AU12)=""ranged"",lower($AT12)&lt;&gt;""spell""),if(archeryText&lt;&gt;"""",""
""&amp;archeryText,"""")&amp;if(c"&amp;"loseQuartersText&lt;&gt;"""",""
""&amp;closeQuartersText,""""),"""")
&amp;if(isnumber(find(""thrown"",lower($BA12))),""
""&amp;thrownText,""""),""                 -""),""+0"","""")"),"                 -")</f>
        <v>                 -</v>
      </c>
      <c r="N12" s="160"/>
      <c r="O12" s="160"/>
      <c r="P12" s="160"/>
      <c r="Q12" s="160"/>
      <c r="R12" s="160"/>
      <c r="S12" s="160"/>
      <c r="T12" s="160"/>
      <c r="W12" s="163"/>
      <c r="X12" s="156"/>
      <c r="Y12" s="156"/>
      <c r="Z12" s="156"/>
      <c r="AA12" s="156"/>
      <c r="AB12" s="156"/>
      <c r="AC12" s="316" t="str">
        <f t="shared" si="3"/>
        <v/>
      </c>
      <c r="AD12" s="158" t="str">
        <f>IFERROR(__xludf.DUMMYFUNCTION("if(and(proficiencyBonus,$AQ23&lt;&gt;"""",$BC23&lt;&gt;""-""),
        if(or(
              isnumber(find(""unarmed"",lower($AT23))),
              isnumber(find(""natural"",lower($AT23))),
              isnumber(find(""spell"",lower($AT23))),
              and(isnum"&amp;"ber(find(""improvised"",lower($AQ23))),isnumber(find(""brawler"",feats))),
              isnumber(find(lower($AT23),lower(weaponProficiencies))),
              not(isna(filter(arrayformula(trim(split(lower(weaponProficiencies),"",""))),isnumber(find(array"&amp;"formula(trim(split(lower(weaponProficiencies),"",""))),lower($AQ23))))))
           ),
           proficiencyBonus,
           0
        )
        +if(lower($AU23)=""ranged"",archery+closeQuarters,0)
        +if(isnumber(find(""spell"",lower($AT23))),v2.1"&amp;"!$AR$91,0)
        +$BC23,
        ""-""
    )"),"-")</f>
        <v>-</v>
      </c>
      <c r="AE12" s="156"/>
      <c r="AF12" s="156"/>
      <c r="AG12" s="316" t="str">
        <f t="shared" si="4"/>
        <v/>
      </c>
      <c r="AH12" s="159" t="str">
        <f>IFERROR(__xludf.DUMMYFUNCTION("substitute(if(and($AQ23&lt;&gt;"""",proficiencyBonus&lt;&gt;""""),
 $AR23&amp;if(and(""melee""=lower($AU23),lower($AT23)&lt;&gt;""unarmed"",isnumber(find(""two-handed"",lower($W12&amp;$BA23)))),greatWeaponFighting,"""")
&amp;if($AR23&lt;&gt;0,""+""
&amp;if($BB23&lt;&gt;""〇"",$BC23,if($AW23&lt;&gt;""-"",$AW"&amp;"23,0))
+int(iferror(regexextract(regexextract(Additional!$AR$79,""proficiency with[a-z ]+""&amp;lower(array_constrain(filter('Attack Info'!$B$7:$B81,'Attack Info'!$B$7:$B81&lt;&gt;"""",isnumber(find(lower('Attack Info'!$B$7:$B81),lower($AQ23)))),1,1))&amp;""[a-z, ]+\+["&amp;"0-9]+ bonus to damage[a-z ]+with such weapons""),""[0-9]+?""),0))
+int(iferror(regexextract(regexextract(Additional!$AR$79,""\+[0-9] bonus to damage[a-z ]+""&amp;lower(array_constrain(filter('Attack Info'!$B$7:$B81,'Attack Info'!$B$7:$B81&lt;&gt;"""",isnumber(find("&amp;"lower('Attack Info'!$B$7:$B81),lower($AQ23)))),1,1))),""[0-9]+?""),0))
+if(and(isnumber(find(""melee"",lower($AU23))),iserror(find(""unarmed"",lower($AT23))),iserror(find(""natural"",lower($AT23))),iserror(find(""two-handed"",lower($W12&amp;$BA23)))),dueling,"&amp;"0)
+if(isnumber(find(""thrown"",lower($BA23))),thrown,0)
&amp;""[""&amp;$AS23&amp;""]"","""")
&amp;if(and(PaladinLevel&gt;=11,isnumber(find(""melee"",lower($AU23))),isnumber(find(lower($AT23),""simplemartial""))),""+1d8[radiant]"","""")
&amp;if($AX23&lt;&gt;""-"",""+""&amp;$AX23&amp;""[""&amp;$A"&amp;"Y23&amp;""]"","""")
&amp;if(and(isnumber(find(""pact"",lower($AQ23))),isnumber(find(""lifedrinker"",lower(invocations)))),""+""&amp;chaMod&amp;""[necrotic]"","""")
&amp;""|***""&amp;textjoin("" "",True,if(and($AT23&lt;&gt;""-"",$AT23&lt;&gt;""Spell""),$AT23,""""),if($AU23&lt;&gt;""-"",$AU23,"""")"&amp;",if($AT23=""Spell"",$AT23,if(and($AT23&lt;&gt;""Unarmed"",$AT23&lt;&gt;""Natural""),""Weapon"","""")))&amp;"" Attack.***""
&amp;if($BA23&lt;&gt;""-"",""
""&amp;$BA23,"""")
&amp;if(and(isnumber(find(""melee"",lower($AU23))),iserror(find(""unarmed"",lower($AT23))),iserror(find(""natural"",l"&amp;"ower($AT23))),iserror(find(""two-handed"",lower($W12&amp;$AV23)))),""
""&amp;duelingText,"""")
&amp;if(and(or(lower($AT23)=""unarmed"",lower($AT23)=""natural""),unarmedFighting),""
""&amp;unarmedText,"""")
&amp;if(and(""melee""=lower($AU23),lower($AT23)&lt;&gt;""unarmed"",isnumber"&amp;"(find(""two-handed"",lower($W12&amp;$BA23)))),""
""&amp;gwfText,"""")
&amp;if(and(isnumber(find(""offhand"",lower($W12))),twoWeaponFighting),""
""&amp;twfText,"""")
&amp;if(and(lower($AU23)=""ranged"",lower($AT23)&lt;&gt;""spell""),if(archeryText&lt;&gt;"""",""
""&amp;archeryText,"""")&amp;if(c"&amp;"loseQuartersText&lt;&gt;"""",""
""&amp;closeQuartersText,""""),"""")
&amp;if(isnumber(find(""thrown"",lower($BA23))),""
""&amp;thrownText,""""),""                 -""),""+0"","""")"),"                 -")</f>
        <v>                 -</v>
      </c>
      <c r="AI12" s="160"/>
      <c r="AJ12" s="160"/>
      <c r="AK12" s="160"/>
      <c r="AL12" s="160"/>
      <c r="AM12" s="160"/>
      <c r="AN12" s="160"/>
      <c r="AO12" s="160"/>
      <c r="AQ12" s="3" t="str">
        <f>IFERROR(__xludf.DUMMYFUNCTION("iferror(array_constrain(split(textjoin(""~"",True,filter('Attack Info'!$B$7:$AN81,'Attack Info'!$B$7:$B81&lt;&gt;"""",lower('Attack Info'!$B$7:$B81)=lower(B12))),""~""),1,12),"""")"),"")</f>
        <v/>
      </c>
      <c r="AR12" s="3"/>
      <c r="AS12" s="3"/>
      <c r="AT12" s="3"/>
      <c r="AU12" s="161"/>
      <c r="AV12" s="3"/>
      <c r="AW12" s="3"/>
      <c r="AX12" s="3"/>
      <c r="AY12" s="3"/>
      <c r="AZ12" s="3"/>
      <c r="BA12" s="3"/>
      <c r="BB12" s="3"/>
      <c r="BC12" s="3" t="str">
        <f t="array" ref="BC12">if(and(strMod&lt;&gt;"-",dexMod&lt;&gt;"-"),if($AQ12&lt;&gt;"",if($AW12&lt;&gt;"-",$AW12,0)
+if(isnumber(find(lower($AZ12),"strdexconintwischa")),if(indirect(lower($AZ12)&amp;"Mod")&lt;&gt;"-",indirect(lower($AZ12)&amp;"Mod"),0),
if(or(isnumber(find("finesse",lower($BA12))),and($AV12&lt;&gt;"〇",MonkLevel&lt;&gt;"",MonkLevel&gt;0)),max(strMod,dexMod),if(lower($AU12)="ranged",dexMod,strMod))),""),"-")</f>
        <v/>
      </c>
    </row>
    <row r="13" ht="15.75" customHeight="1">
      <c r="B13" s="163"/>
      <c r="C13" s="156"/>
      <c r="D13" s="156"/>
      <c r="E13" s="156"/>
      <c r="F13" s="156"/>
      <c r="G13" s="156"/>
      <c r="H13" s="316" t="str">
        <f t="shared" si="1"/>
        <v/>
      </c>
      <c r="I13" s="158" t="str">
        <f>IFERROR(__xludf.DUMMYFUNCTION("if(and(proficiencyBonus,$AQ13&lt;&gt;"""",$BC13&lt;&gt;""-""),
        if(or(
              isnumber(find(""unarmed"",lower($AT13))),
              isnumber(find(""natural"",lower($AT13))),
              isnumber(find(""spell"",lower($AT13))),
              and(isnum"&amp;"ber(find(""improvised"",lower($AQ13))),isnumber(find(""brawler"",feats))),
              isnumber(find(lower($AT13),lower(weaponProficiencies))),
              not(isna(filter(arrayformula(trim(split(lower(weaponProficiencies),"",""))),isnumber(find(array"&amp;"formula(trim(split(lower(weaponProficiencies),"",""))),lower($AQ13))))))
           ),
           proficiencyBonus,
           0
        )
        +if(lower($AU13)=""ranged"",archery+closeQuarters,0)
        +if(isnumber(find(""spell"",lower($AT13))),v2.1"&amp;"!$AR$91,0)
        +$BC13,
        ""-""
    )"),"-")</f>
        <v>-</v>
      </c>
      <c r="J13" s="156"/>
      <c r="K13" s="156"/>
      <c r="L13" s="316" t="str">
        <f t="shared" si="2"/>
        <v/>
      </c>
      <c r="M13" s="159" t="str">
        <f>IFERROR(__xludf.DUMMYFUNCTION("substitute(if(and($AQ13&lt;&gt;"""",proficiencyBonus&lt;&gt;""""),
 $AR13&amp;if(and(""melee""=lower($AU13),lower($AT13)&lt;&gt;""unarmed"",isnumber(find(""two-handed"",lower($R13&amp;$BA13)))),greatWeaponFighting,"""")
&amp;if($AR13&lt;&gt;0,""+""
&amp;if($BB13&lt;&gt;""〇"",$BC13,if($AW13&lt;&gt;""-"",$AW"&amp;"13,0))
+int(iferror(regexextract(regexextract(Additional!$AR$79,""proficiency with[a-z ]+""&amp;lower(array_constrain(filter('Attack Info'!$B$7:$B81,'Attack Info'!$B$7:$B81&lt;&gt;"""",isnumber(find(lower('Attack Info'!$B$7:$B81),lower($AQ13)))),1,1))&amp;""[a-z, ]+\+["&amp;"0-9]+ bonus to damage[a-z ]+with such weapons""),""[0-9]+?""),0))
+int(iferror(regexextract(regexextract(Additional!$AR$79,""\+[0-9] bonus to damage[a-z ]+""&amp;lower(array_constrain(filter('Attack Info'!$B$7:$B81,'Attack Info'!$B$7:$B81&lt;&gt;"""",isnumber(find("&amp;"lower('Attack Info'!$B$7:$B81),lower($AQ13)))),1,1))),""[0-9]+?""),0))
+if(and(isnumber(find(""melee"",lower($AU13))),iserror(find(""unarmed"",lower($AT13))),iserror(find(""natural"",lower($AT13))),iserror(find(""two-handed"",lower($R13&amp;$BA13)))),dueling,"&amp;"0)
+if(isnumber(find(""thrown"",lower($BA13))),thrown,0)
&amp;""[""&amp;$AS13&amp;""]"","""")
&amp;if(and(PaladinLevel&gt;=11,isnumber(find(""melee"",lower($AU13))),isnumber(find(lower($AT13),""simplemartial""))),""+1d8[radiant]"","""")
&amp;if($AX13&lt;&gt;""-"",""+""&amp;$AX13&amp;""[""&amp;$A"&amp;"Y13&amp;""]"","""")
&amp;if(and(isnumber(find(""pact"",lower($AQ13))),isnumber(find(""lifedrinker"",lower(invocations)))),""+""&amp;chaMod&amp;""[necrotic]"","""")
&amp;""|***""&amp;textjoin("" "",True,if(and($AT13&lt;&gt;""-"",$AT13&lt;&gt;""Spell""),$AT13,""""),if($AU13&lt;&gt;""-"",$AU13,"""")"&amp;",if($AT13=""Spell"",$AT13,if(and($AT13&lt;&gt;""Unarmed"",$AT13&lt;&gt;""Natural""),""Weapon"","""")))&amp;"" Attack.***""
&amp;if($BA13&lt;&gt;""-"",""
""&amp;$BA13,"""")
&amp;if(and(isnumber(find(""melee"",lower($AU13))),iserror(find(""unarmed"",lower($AT13))),iserror(find(""natural"",l"&amp;"ower($AT13))),iserror(find(""two-handed"",lower($R13&amp;$AV13)))),""
""&amp;duelingText,"""")
&amp;if(and(or(lower($AT13)=""unarmed"",lower($AT13)=""natural""),unarmedFighting),""
""&amp;unarmedText,"""")
&amp;if(and(""melee""=lower($AU13),lower($AT13)&lt;&gt;""unarmed"",isnumber"&amp;"(find(""two-handed"",lower($R13&amp;$BA13)))),""
""&amp;gwfText,"""")
&amp;if(and(isnumber(find(""offhand"",lower($R13))),twoWeaponFighting),""
""&amp;twfText,"""")
&amp;if(and(lower($AU13)=""ranged"",lower($AT13)&lt;&gt;""spell""),if(archeryText&lt;&gt;"""",""
""&amp;archeryText,"""")&amp;if(c"&amp;"loseQuartersText&lt;&gt;"""",""
""&amp;closeQuartersText,""""),"""")
&amp;if(isnumber(find(""thrown"",lower($BA13))),""
""&amp;thrownText,""""),""                 -""),""+0"","""")"),"                 -")</f>
        <v>                 -</v>
      </c>
      <c r="N13" s="160"/>
      <c r="O13" s="160"/>
      <c r="P13" s="160"/>
      <c r="Q13" s="160"/>
      <c r="R13" s="160"/>
      <c r="S13" s="160"/>
      <c r="T13" s="160"/>
      <c r="W13" s="163"/>
      <c r="X13" s="156"/>
      <c r="Y13" s="156"/>
      <c r="Z13" s="156"/>
      <c r="AA13" s="156"/>
      <c r="AB13" s="156"/>
      <c r="AC13" s="316" t="str">
        <f t="shared" si="3"/>
        <v/>
      </c>
      <c r="AD13" s="158" t="str">
        <f>IFERROR(__xludf.DUMMYFUNCTION("if(and(proficiencyBonus,$AQ24&lt;&gt;"""",$BC24&lt;&gt;""-""),
        if(or(
              isnumber(find(""unarmed"",lower($AT24))),
              isnumber(find(""natural"",lower($AT24))),
              isnumber(find(""spell"",lower($AT24))),
              and(isnum"&amp;"ber(find(""improvised"",lower($AQ24))),isnumber(find(""brawler"",feats))),
              isnumber(find(lower($AT24),lower(weaponProficiencies))),
              not(isna(filter(arrayformula(trim(split(lower(weaponProficiencies),"",""))),isnumber(find(array"&amp;"formula(trim(split(lower(weaponProficiencies),"",""))),lower($AQ24))))))
           ),
           proficiencyBonus,
           0
        )
        +if(lower($AU24)=""ranged"",archery+closeQuarters,0)
        +if(isnumber(find(""spell"",lower($AT24))),v2.1"&amp;"!$AR$91,0)
        +$BC24,
        ""-""
    )"),"-")</f>
        <v>-</v>
      </c>
      <c r="AE13" s="156"/>
      <c r="AF13" s="156"/>
      <c r="AG13" s="316" t="str">
        <f t="shared" si="4"/>
        <v/>
      </c>
      <c r="AH13" s="159" t="str">
        <f>IFERROR(__xludf.DUMMYFUNCTION("substitute(if(and($AQ24&lt;&gt;"""",proficiencyBonus&lt;&gt;""""),
 $AR24&amp;if(and(""melee""=lower($AU24),lower($AT24)&lt;&gt;""unarmed"",isnumber(find(""two-handed"",lower($W13&amp;$BA24)))),greatWeaponFighting,"""")
&amp;if($AR24&lt;&gt;0,""+""
&amp;if($BB24&lt;&gt;""〇"",$BC24,if($AW24&lt;&gt;""-"",$AW"&amp;"24,0))
+int(iferror(regexextract(regexextract(Additional!$AR$79,""proficiency with[a-z ]+""&amp;lower(array_constrain(filter('Attack Info'!$B$7:$B81,'Attack Info'!$B$7:$B81&lt;&gt;"""",isnumber(find(lower('Attack Info'!$B$7:$B81),lower($AQ24)))),1,1))&amp;""[a-z, ]+\+["&amp;"0-9]+ bonus to damage[a-z ]+with such weapons""),""[0-9]+?""),0))
+int(iferror(regexextract(regexextract(Additional!$AR$79,""\+[0-9] bonus to damage[a-z ]+""&amp;lower(array_constrain(filter('Attack Info'!$B$7:$B81,'Attack Info'!$B$7:$B81&lt;&gt;"""",isnumber(find("&amp;"lower('Attack Info'!$B$7:$B81),lower($AQ24)))),1,1))),""[0-9]+?""),0))
+if(and(isnumber(find(""melee"",lower($AU24))),iserror(find(""unarmed"",lower($AT24))),iserror(find(""natural"",lower($AT24))),iserror(find(""two-handed"",lower($W13&amp;$BA24)))),dueling,"&amp;"0)
+if(isnumber(find(""thrown"",lower($BA24))),thrown,0)
&amp;""[""&amp;$AS24&amp;""]"","""")
&amp;if(and(PaladinLevel&gt;=11,isnumber(find(""melee"",lower($AU24))),isnumber(find(lower($AT24),""simplemartial""))),""+1d8[radiant]"","""")
&amp;if($AX24&lt;&gt;""-"",""+""&amp;$AX24&amp;""[""&amp;$A"&amp;"Y24&amp;""]"","""")
&amp;if(and(isnumber(find(""pact"",lower($AQ24))),isnumber(find(""lifedrinker"",lower(invocations)))),""+""&amp;chaMod&amp;""[necrotic]"","""")
&amp;""|***""&amp;textjoin("" "",True,if(and($AT24&lt;&gt;""-"",$AT24&lt;&gt;""Spell""),$AT24,""""),if($AU24&lt;&gt;""-"",$AU24,"""")"&amp;",if($AT24=""Spell"",$AT24,if(and($AT24&lt;&gt;""Unarmed"",$AT24&lt;&gt;""Natural""),""Weapon"","""")))&amp;"" Attack.***""
&amp;if($BA24&lt;&gt;""-"",""
""&amp;$BA24,"""")
&amp;if(and(isnumber(find(""melee"",lower($AU24))),iserror(find(""unarmed"",lower($AT24))),iserror(find(""natural"",l"&amp;"ower($AT24))),iserror(find(""two-handed"",lower($W13&amp;$AV24)))),""
""&amp;duelingText,"""")
&amp;if(and(or(lower($AT24)=""unarmed"",lower($AT24)=""natural""),unarmedFighting),""
""&amp;unarmedText,"""")
&amp;if(and(""melee""=lower($AU24),lower($AT24)&lt;&gt;""unarmed"",isnumber"&amp;"(find(""two-handed"",lower($W13&amp;$BA24)))),""
""&amp;gwfText,"""")
&amp;if(and(isnumber(find(""offhand"",lower($W13))),twoWeaponFighting),""
""&amp;twfText,"""")
&amp;if(and(lower($AU24)=""ranged"",lower($AT24)&lt;&gt;""spell""),if(archeryText&lt;&gt;"""",""
""&amp;archeryText,"""")&amp;if(c"&amp;"loseQuartersText&lt;&gt;"""",""
""&amp;closeQuartersText,""""),"""")
&amp;if(isnumber(find(""thrown"",lower($BA24))),""
""&amp;thrownText,""""),""                 -""),""+0"","""")"),"                 -")</f>
        <v>                 -</v>
      </c>
      <c r="AI13" s="160"/>
      <c r="AJ13" s="160"/>
      <c r="AK13" s="160"/>
      <c r="AL13" s="160"/>
      <c r="AM13" s="160"/>
      <c r="AN13" s="160"/>
      <c r="AO13" s="160"/>
      <c r="AQ13" s="3" t="str">
        <f>IFERROR(__xludf.DUMMYFUNCTION("iferror(array_constrain(split(textjoin(""~"",True,filter('Attack Info'!$B$7:$AN81,'Attack Info'!$B$7:$B81&lt;&gt;"""",lower('Attack Info'!$B$7:$B81)=lower(B13))),""~""),1,12),"""")"),"")</f>
        <v/>
      </c>
      <c r="AR13" s="3"/>
      <c r="AS13" s="3"/>
      <c r="AT13" s="3"/>
      <c r="AU13" s="161"/>
      <c r="AV13" s="3"/>
      <c r="AW13" s="3"/>
      <c r="AX13" s="3"/>
      <c r="AY13" s="3"/>
      <c r="AZ13" s="3"/>
      <c r="BA13" s="3"/>
      <c r="BB13" s="3"/>
      <c r="BC13" s="3" t="str">
        <f t="array" ref="BC13">if(and(strMod&lt;&gt;"-",dexMod&lt;&gt;"-"),if($AQ13&lt;&gt;"",if($AW13&lt;&gt;"-",$AW13,0)
+if(isnumber(find(lower($AZ13),"strdexconintwischa")),if(indirect(lower($AZ13)&amp;"Mod")&lt;&gt;"-",indirect(lower($AZ13)&amp;"Mod"),0),
if(or(isnumber(find("finesse",lower($BA13))),and($AV13&lt;&gt;"〇",MonkLevel&lt;&gt;"",MonkLevel&gt;0)),max(strMod,dexMod),if(lower($AU13)="ranged",dexMod,strMod))),""),"-")</f>
        <v/>
      </c>
    </row>
    <row r="14" ht="15.75" customHeight="1">
      <c r="B14" s="317" t="str">
        <f>IFERROR(__xludf.DUMMYFUNCTION("if(counta(iferror(filter(B3:B13,AQ3:AQ13=""""))),""To add custom attacks, go to the 'Attack Info' tab and enter the details for it."",""ADDITIONAL ATTACKS"")"),"ADDITIONAL ATTACKS")</f>
        <v>ADDITIONAL ATTACKS</v>
      </c>
      <c r="C14" s="31"/>
      <c r="D14" s="31"/>
      <c r="E14" s="31"/>
      <c r="F14" s="31"/>
      <c r="G14" s="31"/>
      <c r="H14" s="31"/>
      <c r="I14" s="31"/>
      <c r="J14" s="31"/>
      <c r="K14" s="31"/>
      <c r="L14" s="31"/>
      <c r="M14" s="31"/>
      <c r="N14" s="31"/>
      <c r="O14" s="31"/>
      <c r="P14" s="31"/>
      <c r="Q14" s="31"/>
      <c r="R14" s="31"/>
      <c r="S14" s="31"/>
      <c r="T14" s="31"/>
      <c r="W14" s="317" t="str">
        <f>IFERROR(__xludf.DUMMYFUNCTION("if(counta(iferror(filter(W3:W13,AQ14:AQ24=""""))),""To add custom attacks, go to the 'Attack Info' tab and enter the details for it."",""MORE ADDITIONAL ATTACKS"")"),"MORE ADDITIONAL ATTACKS")</f>
        <v>MORE ADDITIONAL ATTACKS</v>
      </c>
      <c r="X14" s="31"/>
      <c r="Y14" s="31"/>
      <c r="Z14" s="31"/>
      <c r="AA14" s="31"/>
      <c r="AB14" s="31"/>
      <c r="AC14" s="31"/>
      <c r="AD14" s="31"/>
      <c r="AE14" s="31"/>
      <c r="AF14" s="31"/>
      <c r="AG14" s="31"/>
      <c r="AH14" s="31"/>
      <c r="AI14" s="31"/>
      <c r="AJ14" s="31"/>
      <c r="AK14" s="31"/>
      <c r="AL14" s="31"/>
      <c r="AM14" s="31"/>
      <c r="AN14" s="31"/>
      <c r="AO14" s="31"/>
      <c r="AQ14" s="3" t="str">
        <f>IFERROR(__xludf.DUMMYFUNCTION("iferror(array_constrain(split(textjoin(""~"",True,filter('Attack Info'!$B$7:$AN81,'Attack Info'!$B$7:$B81&lt;&gt;"""",lower('Attack Info'!$B$7:$B81)=lower(W3))),""~""),1,12),"""")"),"")</f>
        <v/>
      </c>
      <c r="AR14" s="3"/>
      <c r="AS14" s="3"/>
      <c r="AT14" s="3"/>
      <c r="AU14" s="3"/>
      <c r="AV14" s="3"/>
      <c r="AW14" s="3"/>
      <c r="AX14" s="3"/>
      <c r="AY14" s="3"/>
      <c r="AZ14" s="3"/>
      <c r="BA14" s="3"/>
      <c r="BB14" s="3"/>
      <c r="BC14" s="3" t="str">
        <f t="array" ref="BC14">if(and(strMod&lt;&gt;"-",dexMod&lt;&gt;"-"),if($AQ14&lt;&gt;"",if($AW14&lt;&gt;"-",$AW14,0)
+if(isnumber(find(lower($AZ14),"strdexconintwischa")),if(indirect(lower($AZ14)&amp;"Mod")&lt;&gt;"-",indirect(lower($AZ14)&amp;"Mod"),0),
if(or(isnumber(find("finesse",lower($BA14))),and($AV14&lt;&gt;"〇",MonkLevel&lt;&gt;"",MonkLevel&gt;0)),max(strMod,dexMod),if(lower($AU14)="ranged",dexMod,strMod))),""),"-")</f>
        <v/>
      </c>
    </row>
    <row r="15" ht="15.75" customHeight="1">
      <c r="B15" s="12"/>
      <c r="C15" s="311"/>
      <c r="D15" s="311"/>
      <c r="E15" s="311"/>
      <c r="F15" s="311"/>
      <c r="G15" s="311"/>
      <c r="H15" s="311"/>
      <c r="I15" s="311"/>
      <c r="J15" s="311"/>
      <c r="K15" s="318"/>
      <c r="L15" s="311"/>
      <c r="M15" s="311"/>
      <c r="N15" s="311"/>
      <c r="O15" s="311"/>
      <c r="P15" s="311"/>
      <c r="Q15" s="311"/>
      <c r="R15" s="311"/>
      <c r="S15" s="311"/>
      <c r="T15" s="311"/>
      <c r="W15" s="311"/>
      <c r="X15" s="311"/>
      <c r="Y15" s="311"/>
      <c r="Z15" s="311"/>
      <c r="AA15" s="311"/>
      <c r="AB15" s="311"/>
      <c r="AC15" s="311"/>
      <c r="AD15" s="311"/>
      <c r="AE15" s="311"/>
      <c r="AF15" s="318"/>
      <c r="AG15" s="311"/>
      <c r="AH15" s="311"/>
      <c r="AI15" s="311"/>
      <c r="AJ15" s="311"/>
      <c r="AK15" s="311"/>
      <c r="AL15" s="311"/>
      <c r="AM15" s="311"/>
      <c r="AN15" s="311"/>
      <c r="AO15" s="311"/>
      <c r="AQ15" s="3" t="str">
        <f>IFERROR(__xludf.DUMMYFUNCTION("iferror(array_constrain(split(textjoin(""~"",True,filter('Attack Info'!$B$7:$AN81,'Attack Info'!$B$7:$B81&lt;&gt;"""",lower('Attack Info'!$B$7:$B81)=lower(W4))),""~""),1,12),"""")"),"")</f>
        <v/>
      </c>
      <c r="AR15" s="3"/>
      <c r="AS15" s="3"/>
      <c r="AT15" s="3"/>
      <c r="AU15" s="3"/>
      <c r="AV15" s="3"/>
      <c r="AW15" s="3"/>
      <c r="AX15" s="3"/>
      <c r="AY15" s="3"/>
      <c r="AZ15" s="3"/>
      <c r="BA15" s="3"/>
      <c r="BB15" s="3"/>
      <c r="BC15" s="3" t="str">
        <f t="array" ref="BC15">if(and(strMod&lt;&gt;"-",dexMod&lt;&gt;"-"),if($AQ15&lt;&gt;"",if($AW15&lt;&gt;"-",$AW15,0)
+if(isnumber(find(lower($AZ15),"strdexconintwischa")),if(indirect(lower($AZ15)&amp;"Mod")&lt;&gt;"-",indirect(lower($AZ15)&amp;"Mod"),0),
if(or(isnumber(find("finesse",lower($BA15))),and($AV15&lt;&gt;"〇",MonkLevel&lt;&gt;"",MonkLevel&gt;0)),max(strMod,dexMod),if(lower($AU15)="ranged",dexMod,strMod))),""),"-")</f>
        <v/>
      </c>
    </row>
    <row r="16" ht="15.75" customHeight="1">
      <c r="A16" s="12"/>
      <c r="B16" s="319" t="str">
        <f>IMAGE("http://i.imgur.com/36yH7AT.png")</f>
        <v/>
      </c>
      <c r="C16" s="320" t="str">
        <f>IMAGE("http://i.imgur.com/P8G3wDB.png",2)</f>
        <v/>
      </c>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5" t="str">
        <f>IMAGE("http://i.imgur.com/koyMZqk.png")</f>
        <v/>
      </c>
      <c r="AP16" s="311"/>
      <c r="AQ16" s="3" t="str">
        <f>IFERROR(__xludf.DUMMYFUNCTION("iferror(array_constrain(split(textjoin(""~"",True,filter('Attack Info'!$B$7:$AN81,'Attack Info'!$B$7:$B81&lt;&gt;"""",lower('Attack Info'!$B$7:$B81)=lower(W5))),""~""),1,12),"""")"),"")</f>
        <v/>
      </c>
      <c r="AR16" s="3"/>
      <c r="AS16" s="3"/>
      <c r="AT16" s="3"/>
      <c r="AU16" s="3"/>
      <c r="AV16" s="3"/>
      <c r="AW16" s="3"/>
      <c r="AX16" s="3"/>
      <c r="AY16" s="3"/>
      <c r="AZ16" s="3"/>
      <c r="BA16" s="3"/>
      <c r="BB16" s="3"/>
      <c r="BC16" s="3" t="str">
        <f t="array" ref="BC16">if(and(strMod&lt;&gt;"-",dexMod&lt;&gt;"-"),if($AQ16&lt;&gt;"",if($AW16&lt;&gt;"-",$AW16,0)
+if(isnumber(find(lower($AZ16),"strdexconintwischa")),if(indirect(lower($AZ16)&amp;"Mod")&lt;&gt;"-",indirect(lower($AZ16)&amp;"Mod"),0),
if(or(isnumber(find("finesse",lower($BA16))),and($AV16&lt;&gt;"〇",MonkLevel&lt;&gt;"",MonkLevel&gt;0)),max(strMod,dexMod),if(lower($AU16)="ranged",dexMod,strMod))),""),"-")</f>
        <v/>
      </c>
    </row>
    <row r="17" ht="15.75" customHeight="1">
      <c r="A17" s="12"/>
      <c r="C17" s="319" t="str">
        <f>IMAGE("http://i.imgur.com/VtJcr4w.png",2)</f>
        <v/>
      </c>
      <c r="F17" s="319"/>
      <c r="G17" s="319"/>
      <c r="H17" s="319"/>
      <c r="I17" s="319"/>
      <c r="J17" s="319"/>
      <c r="K17" s="319" t="str">
        <f>IMAGE("http://i.imgur.com/GYlWKEy.png",2)</f>
        <v/>
      </c>
      <c r="L17" s="249"/>
      <c r="M17" s="321" t="s">
        <v>154</v>
      </c>
      <c r="N17" s="322"/>
      <c r="O17" s="171"/>
      <c r="P17" s="171"/>
      <c r="Q17" s="171"/>
      <c r="R17" s="171"/>
      <c r="S17" s="171"/>
      <c r="T17" s="171"/>
      <c r="U17" s="323" t="str">
        <f>IMAGE("http://i.imgur.com/1atTEws.png",3)</f>
        <v/>
      </c>
      <c r="W17" s="321" t="s">
        <v>154</v>
      </c>
      <c r="X17" s="322"/>
      <c r="Y17" s="171"/>
      <c r="Z17" s="171"/>
      <c r="AA17" s="171"/>
      <c r="AB17" s="171"/>
      <c r="AC17" s="171"/>
      <c r="AD17" s="171"/>
      <c r="AE17" s="323" t="str">
        <f>IMAGE("http://i.imgur.com/1atTEws.png",3)</f>
        <v/>
      </c>
      <c r="AG17" s="321" t="s">
        <v>154</v>
      </c>
      <c r="AH17" s="322"/>
      <c r="AI17" s="171"/>
      <c r="AJ17" s="171"/>
      <c r="AK17" s="171"/>
      <c r="AL17" s="171"/>
      <c r="AM17" s="171"/>
      <c r="AN17" s="171"/>
      <c r="AP17" s="311"/>
      <c r="AQ17" s="3" t="str">
        <f>IFERROR(__xludf.DUMMYFUNCTION("iferror(array_constrain(split(textjoin(""~"",True,filter('Attack Info'!$B$7:$AN81,'Attack Info'!$B$7:$B81&lt;&gt;"""",lower('Attack Info'!$B$7:$B81)=lower(W6))),""~""),1,12),"""")"),"")</f>
        <v/>
      </c>
      <c r="AR17" s="3"/>
      <c r="AS17" s="3"/>
      <c r="AT17" s="3"/>
      <c r="AU17" s="3"/>
      <c r="AV17" s="3"/>
      <c r="AW17" s="3"/>
      <c r="AX17" s="3"/>
      <c r="AY17" s="3"/>
      <c r="AZ17" s="3"/>
      <c r="BA17" s="3"/>
      <c r="BB17" s="3"/>
      <c r="BC17" s="3" t="str">
        <f t="array" ref="BC17">if(and(strMod&lt;&gt;"-",dexMod&lt;&gt;"-"),if($AQ17&lt;&gt;"",if($AW17&lt;&gt;"-",$AW17,0)
+if(isnumber(find(lower($AZ17),"strdexconintwischa")),if(indirect(lower($AZ17)&amp;"Mod")&lt;&gt;"-",indirect(lower($AZ17)&amp;"Mod"),0),
if(or(isnumber(find("finesse",lower($BA17))),and($AV17&lt;&gt;"〇",MonkLevel&lt;&gt;"",MonkLevel&gt;0)),max(strMod,dexMod),if(lower($AU17)="ranged",dexMod,strMod))),""),"-")</f>
        <v/>
      </c>
    </row>
    <row r="18" ht="15.75" customHeight="1">
      <c r="A18" s="12"/>
      <c r="F18" s="254" t="s">
        <v>157</v>
      </c>
      <c r="G18" s="25"/>
      <c r="H18" s="25"/>
      <c r="I18" s="25"/>
      <c r="J18" s="25"/>
      <c r="L18" s="249"/>
      <c r="M18" s="321" t="s">
        <v>154</v>
      </c>
      <c r="N18" s="322"/>
      <c r="O18" s="171"/>
      <c r="P18" s="171"/>
      <c r="Q18" s="171"/>
      <c r="R18" s="171"/>
      <c r="S18" s="171"/>
      <c r="T18" s="171"/>
      <c r="W18" s="321" t="s">
        <v>154</v>
      </c>
      <c r="X18" s="322"/>
      <c r="Y18" s="171"/>
      <c r="Z18" s="171"/>
      <c r="AA18" s="171"/>
      <c r="AB18" s="171"/>
      <c r="AC18" s="171"/>
      <c r="AD18" s="171"/>
      <c r="AG18" s="321" t="s">
        <v>154</v>
      </c>
      <c r="AH18" s="322"/>
      <c r="AI18" s="171"/>
      <c r="AJ18" s="171"/>
      <c r="AK18" s="171"/>
      <c r="AL18" s="171"/>
      <c r="AM18" s="171"/>
      <c r="AN18" s="171"/>
      <c r="AP18" s="311"/>
      <c r="AQ18" s="3" t="str">
        <f>IFERROR(__xludf.DUMMYFUNCTION("iferror(array_constrain(split(textjoin(""~"",True,filter('Attack Info'!$B$7:$AN81,'Attack Info'!$B$7:$B81&lt;&gt;"""",lower('Attack Info'!$B$7:$B81)=lower(W7))),""~""),1,12),"""")"),"")</f>
        <v/>
      </c>
      <c r="AR18" s="3"/>
      <c r="AS18" s="3"/>
      <c r="AT18" s="3"/>
      <c r="AU18" s="3"/>
      <c r="AV18" s="3"/>
      <c r="AW18" s="3"/>
      <c r="AX18" s="3"/>
      <c r="AY18" s="3"/>
      <c r="AZ18" s="3"/>
      <c r="BA18" s="3"/>
      <c r="BB18" s="3"/>
      <c r="BC18" s="3" t="str">
        <f t="array" ref="BC18">if(and(strMod&lt;&gt;"-",dexMod&lt;&gt;"-"),if($AQ18&lt;&gt;"",if($AW18&lt;&gt;"-",$AW18,0)
+if(isnumber(find(lower($AZ18),"strdexconintwischa")),if(indirect(lower($AZ18)&amp;"Mod")&lt;&gt;"-",indirect(lower($AZ18)&amp;"Mod"),0),
if(or(isnumber(find("finesse",lower($BA18))),and($AV18&lt;&gt;"〇",MonkLevel&lt;&gt;"",MonkLevel&gt;0)),max(strMod,dexMod),if(lower($AU18)="ranged",dexMod,strMod))),""),"-")</f>
        <v/>
      </c>
    </row>
    <row r="19" ht="15.75" customHeight="1">
      <c r="A19" s="12"/>
      <c r="F19" s="31"/>
      <c r="G19" s="31"/>
      <c r="H19" s="31"/>
      <c r="I19" s="31"/>
      <c r="J19" s="31"/>
      <c r="L19" s="319"/>
      <c r="M19" s="321" t="s">
        <v>154</v>
      </c>
      <c r="N19" s="322"/>
      <c r="O19" s="171"/>
      <c r="P19" s="171"/>
      <c r="Q19" s="171"/>
      <c r="R19" s="171"/>
      <c r="S19" s="171"/>
      <c r="T19" s="171"/>
      <c r="W19" s="321" t="s">
        <v>154</v>
      </c>
      <c r="X19" s="322"/>
      <c r="Y19" s="171"/>
      <c r="Z19" s="171"/>
      <c r="AA19" s="171"/>
      <c r="AB19" s="171"/>
      <c r="AC19" s="171"/>
      <c r="AD19" s="171"/>
      <c r="AG19" s="321" t="s">
        <v>154</v>
      </c>
      <c r="AH19" s="322"/>
      <c r="AI19" s="171"/>
      <c r="AJ19" s="171"/>
      <c r="AK19" s="171"/>
      <c r="AL19" s="171"/>
      <c r="AM19" s="171"/>
      <c r="AN19" s="171"/>
      <c r="AP19" s="311"/>
      <c r="AQ19" s="3" t="str">
        <f>IFERROR(__xludf.DUMMYFUNCTION("iferror(array_constrain(split(textjoin(""~"",True,filter('Attack Info'!$B$7:$AN81,'Attack Info'!$B$7:$B81&lt;&gt;"""",lower('Attack Info'!$B$7:$B81)=lower(W8))),""~""),1,12),"""")"),"")</f>
        <v/>
      </c>
      <c r="AR19" s="3"/>
      <c r="AS19" s="3"/>
      <c r="AT19" s="3"/>
      <c r="AU19" s="3"/>
      <c r="AV19" s="3"/>
      <c r="AW19" s="3"/>
      <c r="AX19" s="3"/>
      <c r="AY19" s="3"/>
      <c r="AZ19" s="3"/>
      <c r="BA19" s="3"/>
      <c r="BB19" s="3"/>
      <c r="BC19" s="3" t="str">
        <f t="array" ref="BC19">if(and(strMod&lt;&gt;"-",dexMod&lt;&gt;"-"),if($AQ19&lt;&gt;"",if($AW19&lt;&gt;"-",$AW19,0)
+if(isnumber(find(lower($AZ19),"strdexconintwischa")),if(indirect(lower($AZ19)&amp;"Mod")&lt;&gt;"-",indirect(lower($AZ19)&amp;"Mod"),0),
if(or(isnumber(find("finesse",lower($BA19))),and($AV19&lt;&gt;"〇",MonkLevel&lt;&gt;"",MonkLevel&gt;0)),max(strMod,dexMod),if(lower($AU19)="ranged",dexMod,strMod))),""),"-")</f>
        <v/>
      </c>
    </row>
    <row r="20" ht="15.75" customHeight="1">
      <c r="A20" s="12"/>
      <c r="C20" s="42"/>
      <c r="D20" s="42"/>
      <c r="E20" s="42"/>
      <c r="F20" s="324"/>
      <c r="G20" s="324"/>
      <c r="H20" s="324"/>
      <c r="I20" s="324"/>
      <c r="J20" s="324"/>
      <c r="K20" s="42"/>
      <c r="L20" s="256"/>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P20" s="311"/>
      <c r="AQ20" s="3" t="str">
        <f>IFERROR(__xludf.DUMMYFUNCTION("iferror(array_constrain(split(textjoin(""~"",True,filter('Attack Info'!$B$7:$AN81,'Attack Info'!$B$7:$B81&lt;&gt;"""",lower('Attack Info'!$B$7:$B81)=lower(W9))),""~""),1,12),"""")"),"")</f>
        <v/>
      </c>
      <c r="AR20" s="3"/>
      <c r="AS20" s="3"/>
      <c r="AT20" s="3"/>
      <c r="AU20" s="3"/>
      <c r="AV20" s="3"/>
      <c r="AW20" s="3"/>
      <c r="AX20" s="3"/>
      <c r="AY20" s="3"/>
      <c r="AZ20" s="3"/>
      <c r="BA20" s="3"/>
      <c r="BB20" s="3"/>
      <c r="BC20" s="3" t="str">
        <f t="array" ref="BC20">if(and(strMod&lt;&gt;"-",dexMod&lt;&gt;"-"),if($AQ20&lt;&gt;"",if($AW20&lt;&gt;"-",$AW20,0)
+if(isnumber(find(lower($AZ20),"strdexconintwischa")),if(indirect(lower($AZ20)&amp;"Mod")&lt;&gt;"-",indirect(lower($AZ20)&amp;"Mod"),0),
if(or(isnumber(find("finesse",lower($BA20))),and($AV20&lt;&gt;"〇",MonkLevel&lt;&gt;"",MonkLevel&gt;0)),max(strMod,dexMod),if(lower($AU20)="ranged",dexMod,strMod))),""),"-")</f>
        <v/>
      </c>
    </row>
    <row r="21" ht="15.75" customHeight="1">
      <c r="A21" s="12"/>
      <c r="B21" s="245" t="str">
        <f>IMAGE("http://i.imgur.com/S2iZUIk.png")</f>
        <v/>
      </c>
      <c r="C21" s="325">
        <v>0.0</v>
      </c>
      <c r="D21" s="322"/>
      <c r="E21" s="171"/>
      <c r="F21" s="171"/>
      <c r="G21" s="171"/>
      <c r="H21" s="171"/>
      <c r="I21" s="171"/>
      <c r="J21" s="171"/>
      <c r="K21" s="326" t="str">
        <f>IMAGE("http://i.imgur.com/YThwbjs.png",3)</f>
        <v/>
      </c>
      <c r="M21" s="325">
        <v>0.0</v>
      </c>
      <c r="N21" s="322"/>
      <c r="O21" s="171"/>
      <c r="P21" s="171"/>
      <c r="Q21" s="171"/>
      <c r="R21" s="171"/>
      <c r="S21" s="171"/>
      <c r="T21" s="171"/>
      <c r="U21" s="326" t="str">
        <f>IMAGE("http://i.imgur.com/YThwbjs.png",3)</f>
        <v/>
      </c>
      <c r="W21" s="325">
        <v>0.0</v>
      </c>
      <c r="X21" s="322"/>
      <c r="Y21" s="171"/>
      <c r="Z21" s="171"/>
      <c r="AA21" s="171"/>
      <c r="AB21" s="171"/>
      <c r="AC21" s="171"/>
      <c r="AD21" s="171"/>
      <c r="AE21" s="245"/>
      <c r="AF21" s="245" t="str">
        <f>IMAGE("http://i.imgur.com/4gaCjL0.png",2)</f>
        <v/>
      </c>
      <c r="AG21" s="327"/>
      <c r="AI21" s="245"/>
      <c r="AJ21" s="245"/>
      <c r="AK21" s="327"/>
      <c r="AM21" s="245" t="str">
        <f>IMAGE("http://i.imgur.com/PtQGPp0.png",2)</f>
        <v/>
      </c>
      <c r="AO21" s="245" t="str">
        <f>IMAGE("http://i.imgur.com/jVB4BpP.png")</f>
        <v/>
      </c>
      <c r="AP21" s="311"/>
      <c r="AQ21" s="3" t="str">
        <f>IFERROR(__xludf.DUMMYFUNCTION("iferror(array_constrain(split(textjoin(""~"",True,filter('Attack Info'!$B$7:$AN81,'Attack Info'!$B$7:$B81&lt;&gt;"""",lower('Attack Info'!$B$7:$B81)=lower(W10))),""~""),1,12),"""")"),"")</f>
        <v/>
      </c>
      <c r="AR21" s="3"/>
      <c r="AS21" s="3"/>
      <c r="AT21" s="3"/>
      <c r="AU21" s="3"/>
      <c r="AV21" s="3"/>
      <c r="AW21" s="3"/>
      <c r="AX21" s="3"/>
      <c r="AY21" s="3"/>
      <c r="AZ21" s="3"/>
      <c r="BA21" s="3"/>
      <c r="BB21" s="3"/>
      <c r="BC21" s="3" t="str">
        <f t="array" ref="BC21">if(and(strMod&lt;&gt;"-",dexMod&lt;&gt;"-"),if($AQ21&lt;&gt;"",if($AW21&lt;&gt;"-",$AW21,0)
+if(isnumber(find(lower($AZ21),"strdexconintwischa")),if(indirect(lower($AZ21)&amp;"Mod")&lt;&gt;"-",indirect(lower($AZ21)&amp;"Mod"),0),
if(or(isnumber(find("finesse",lower($BA21))),and($AV21&lt;&gt;"〇",MonkLevel&lt;&gt;"",MonkLevel&gt;0)),max(strMod,dexMod),if(lower($AU21)="ranged",dexMod,strMod))),""),"-")</f>
        <v/>
      </c>
    </row>
    <row r="22" ht="15.75" customHeight="1">
      <c r="A22" s="12"/>
      <c r="C22" s="325">
        <v>0.0</v>
      </c>
      <c r="D22" s="322"/>
      <c r="E22" s="171"/>
      <c r="F22" s="171"/>
      <c r="G22" s="171"/>
      <c r="H22" s="171"/>
      <c r="I22" s="171"/>
      <c r="J22" s="171"/>
      <c r="M22" s="325">
        <v>0.0</v>
      </c>
      <c r="N22" s="322"/>
      <c r="O22" s="171"/>
      <c r="P22" s="171"/>
      <c r="Q22" s="171"/>
      <c r="R22" s="171"/>
      <c r="S22" s="171"/>
      <c r="T22" s="171"/>
      <c r="W22" s="325">
        <v>0.0</v>
      </c>
      <c r="X22" s="322"/>
      <c r="Y22" s="171"/>
      <c r="Z22" s="171"/>
      <c r="AA22" s="171"/>
      <c r="AB22" s="171"/>
      <c r="AC22" s="171"/>
      <c r="AD22" s="171"/>
      <c r="AE22" s="245"/>
      <c r="AG22" s="254" t="s">
        <v>265</v>
      </c>
      <c r="AH22" s="25"/>
      <c r="AI22" s="25"/>
      <c r="AJ22" s="25"/>
      <c r="AK22" s="25"/>
      <c r="AL22" s="265"/>
      <c r="AP22" s="311"/>
      <c r="AQ22" s="3" t="str">
        <f>IFERROR(__xludf.DUMMYFUNCTION("iferror(array_constrain(split(textjoin(""~"",True,filter('Attack Info'!$B$7:$AN81,'Attack Info'!$B$7:$B81&lt;&gt;"""",lower('Attack Info'!$B$7:$B81)=lower(W11))),""~""),1,12),"""")"),"")</f>
        <v/>
      </c>
      <c r="AR22" s="3"/>
      <c r="AS22" s="3"/>
      <c r="AT22" s="3"/>
      <c r="AU22" s="3"/>
      <c r="AV22" s="3"/>
      <c r="AW22" s="3"/>
      <c r="AX22" s="3"/>
      <c r="AY22" s="3"/>
      <c r="AZ22" s="3"/>
      <c r="BA22" s="3"/>
      <c r="BB22" s="3"/>
      <c r="BC22" s="3" t="str">
        <f t="array" ref="BC22">if(and(strMod&lt;&gt;"-",dexMod&lt;&gt;"-"),if($AQ22&lt;&gt;"",if($AW22&lt;&gt;"-",$AW22,0)
+if(isnumber(find(lower($AZ22),"strdexconintwischa")),if(indirect(lower($AZ22)&amp;"Mod")&lt;&gt;"-",indirect(lower($AZ22)&amp;"Mod"),0),
if(or(isnumber(find("finesse",lower($BA22))),and($AV22&lt;&gt;"〇",MonkLevel&lt;&gt;"",MonkLevel&gt;0)),max(strMod,dexMod),if(lower($AU22)="ranged",dexMod,strMod))),""),"-")</f>
        <v/>
      </c>
    </row>
    <row r="23" ht="15.75" customHeight="1">
      <c r="A23" s="12"/>
      <c r="C23" s="325">
        <v>0.0</v>
      </c>
      <c r="D23" s="322"/>
      <c r="E23" s="171"/>
      <c r="F23" s="171"/>
      <c r="G23" s="171"/>
      <c r="H23" s="171"/>
      <c r="I23" s="171"/>
      <c r="J23" s="171"/>
      <c r="M23" s="325">
        <v>0.0</v>
      </c>
      <c r="N23" s="322"/>
      <c r="O23" s="171"/>
      <c r="P23" s="171"/>
      <c r="Q23" s="171"/>
      <c r="R23" s="171"/>
      <c r="S23" s="171"/>
      <c r="T23" s="171"/>
      <c r="W23" s="325">
        <v>0.0</v>
      </c>
      <c r="X23" s="322"/>
      <c r="Y23" s="171"/>
      <c r="Z23" s="171"/>
      <c r="AA23" s="171"/>
      <c r="AB23" s="171"/>
      <c r="AC23" s="171"/>
      <c r="AD23" s="171"/>
      <c r="AE23" s="245"/>
      <c r="AG23" s="31"/>
      <c r="AH23" s="31"/>
      <c r="AI23" s="31"/>
      <c r="AJ23" s="31"/>
      <c r="AK23" s="31"/>
      <c r="AL23" s="328"/>
      <c r="AP23" s="311"/>
      <c r="AQ23" s="3" t="str">
        <f>IFERROR(__xludf.DUMMYFUNCTION("iferror(array_constrain(split(textjoin(""~"",True,filter('Attack Info'!$B$7:$AN81,'Attack Info'!$B$7:$B81&lt;&gt;"""",lower('Attack Info'!$B$7:$B81)=lower(W12))),""~""),1,12),"""")"),"")</f>
        <v/>
      </c>
      <c r="AR23" s="3"/>
      <c r="AS23" s="3"/>
      <c r="AT23" s="3"/>
      <c r="AU23" s="3"/>
      <c r="AV23" s="3"/>
      <c r="AW23" s="3"/>
      <c r="AX23" s="3"/>
      <c r="AY23" s="3"/>
      <c r="AZ23" s="3"/>
      <c r="BA23" s="3"/>
      <c r="BB23" s="3"/>
      <c r="BC23" s="3" t="str">
        <f t="array" ref="BC23">if(and(strMod&lt;&gt;"-",dexMod&lt;&gt;"-"),if($AQ23&lt;&gt;"",if($AW23&lt;&gt;"-",$AW23,0)
+if(isnumber(find(lower($AZ23),"strdexconintwischa")),if(indirect(lower($AZ23)&amp;"Mod")&lt;&gt;"-",indirect(lower($AZ23)&amp;"Mod"),0),
if(or(isnumber(find("finesse",lower($BA23))),and($AV23&lt;&gt;"〇",MonkLevel&lt;&gt;"",MonkLevel&gt;0)),max(strMod,dexMod),if(lower($AU23)="ranged",dexMod,strMod))),""),"-")</f>
        <v/>
      </c>
    </row>
    <row r="24" ht="15.75" customHeight="1">
      <c r="A24" s="12"/>
      <c r="C24" s="325">
        <v>0.0</v>
      </c>
      <c r="D24" s="322"/>
      <c r="E24" s="171"/>
      <c r="F24" s="171"/>
      <c r="G24" s="171"/>
      <c r="H24" s="171"/>
      <c r="I24" s="171"/>
      <c r="J24" s="171"/>
      <c r="M24" s="325">
        <v>0.0</v>
      </c>
      <c r="N24" s="322"/>
      <c r="O24" s="171"/>
      <c r="P24" s="171"/>
      <c r="Q24" s="171"/>
      <c r="R24" s="171"/>
      <c r="S24" s="171"/>
      <c r="T24" s="171"/>
      <c r="W24" s="325">
        <v>0.0</v>
      </c>
      <c r="X24" s="322"/>
      <c r="Y24" s="171"/>
      <c r="Z24" s="171"/>
      <c r="AA24" s="171"/>
      <c r="AB24" s="171"/>
      <c r="AC24" s="171"/>
      <c r="AD24" s="171"/>
      <c r="AE24" s="245"/>
      <c r="AG24" s="245"/>
      <c r="AH24" s="245"/>
      <c r="AI24" s="245"/>
      <c r="AJ24" s="245"/>
      <c r="AK24" s="245"/>
      <c r="AL24" s="245"/>
      <c r="AP24" s="311"/>
      <c r="AQ24" s="3" t="str">
        <f>IFERROR(__xludf.DUMMYFUNCTION("iferror(array_constrain(split(textjoin(""~"",True,filter('Attack Info'!$B$7:$AN81,'Attack Info'!$B$7:$B81&lt;&gt;"""",lower('Attack Info'!$B$7:$B81)=lower(W13))),""~""),1,12),"""")"),"")</f>
        <v/>
      </c>
      <c r="AR24" s="3"/>
      <c r="AS24" s="3"/>
      <c r="AT24" s="3"/>
      <c r="AU24" s="3"/>
      <c r="AV24" s="3"/>
      <c r="AW24" s="3"/>
      <c r="AX24" s="3"/>
      <c r="AY24" s="3"/>
      <c r="AZ24" s="3"/>
      <c r="BA24" s="3"/>
      <c r="BB24" s="3"/>
      <c r="BC24" s="3" t="str">
        <f t="array" ref="BC24">if(and(strMod&lt;&gt;"-",dexMod&lt;&gt;"-"),if($AQ24&lt;&gt;"",if($AW24&lt;&gt;"-",$AW24,0)
+if(isnumber(find(lower($AZ24),"strdexconintwischa")),if(indirect(lower($AZ24)&amp;"Mod")&lt;&gt;"-",indirect(lower($AZ24)&amp;"Mod"),0),
if(or(isnumber(find("finesse",lower($BA24))),and($AV24&lt;&gt;"〇",MonkLevel&lt;&gt;"",MonkLevel&gt;0)),max(strMod,dexMod),if(lower($AU24)="ranged",dexMod,strMod))),""),"-")</f>
        <v/>
      </c>
    </row>
    <row r="25" ht="15.75" customHeight="1">
      <c r="A25" s="12"/>
      <c r="C25" s="325">
        <v>0.0</v>
      </c>
      <c r="D25" s="322"/>
      <c r="E25" s="171"/>
      <c r="F25" s="171"/>
      <c r="G25" s="171"/>
      <c r="H25" s="171"/>
      <c r="I25" s="171"/>
      <c r="J25" s="171"/>
      <c r="M25" s="325">
        <v>0.0</v>
      </c>
      <c r="N25" s="322"/>
      <c r="O25" s="171"/>
      <c r="P25" s="171"/>
      <c r="Q25" s="171"/>
      <c r="R25" s="171"/>
      <c r="S25" s="171"/>
      <c r="T25" s="171"/>
      <c r="W25" s="325">
        <v>0.0</v>
      </c>
      <c r="X25" s="322"/>
      <c r="Y25" s="171"/>
      <c r="Z25" s="171"/>
      <c r="AA25" s="171"/>
      <c r="AB25" s="171"/>
      <c r="AC25" s="171"/>
      <c r="AD25" s="171"/>
      <c r="AE25" s="205"/>
      <c r="AF25" s="205"/>
      <c r="AG25" s="205"/>
      <c r="AH25" s="205"/>
      <c r="AI25" s="205"/>
      <c r="AJ25" s="205"/>
      <c r="AK25" s="205"/>
      <c r="AL25" s="205"/>
      <c r="AM25" s="205"/>
      <c r="AN25" s="205"/>
      <c r="AP25" s="311"/>
      <c r="AQ25" s="3"/>
      <c r="AR25" s="3"/>
      <c r="AS25" s="3"/>
      <c r="AT25" s="3"/>
      <c r="AU25" s="3"/>
      <c r="AV25" s="3"/>
      <c r="AW25" s="3"/>
      <c r="AX25" s="3"/>
      <c r="AY25" s="3"/>
      <c r="AZ25" s="3"/>
      <c r="BA25" s="3"/>
      <c r="BB25" s="3"/>
      <c r="BC25" s="3"/>
    </row>
    <row r="26" ht="15.75" customHeight="1">
      <c r="A26" s="12"/>
      <c r="C26" s="256"/>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P26" s="311"/>
      <c r="AQ26" s="3"/>
      <c r="AR26" s="3"/>
      <c r="AS26" s="3"/>
      <c r="AT26" s="3"/>
      <c r="AU26" s="3"/>
      <c r="AV26" s="3"/>
      <c r="AW26" s="3"/>
      <c r="AX26" s="3"/>
      <c r="AY26" s="3"/>
      <c r="AZ26" s="3"/>
      <c r="BA26" s="3"/>
      <c r="BB26" s="3"/>
      <c r="BC26" s="3"/>
    </row>
    <row r="27" ht="15.75" customHeight="1">
      <c r="A27" s="12"/>
      <c r="B27" s="245" t="str">
        <f>IMAGE("http://i.imgur.com/S2iZUIk.png")</f>
        <v/>
      </c>
      <c r="C27" s="329" t="str">
        <f>IMAGE("http://i.imgur.com/DbudP1A.png",2)</f>
        <v/>
      </c>
      <c r="E27" s="327"/>
      <c r="G27" s="330"/>
      <c r="H27" s="330"/>
      <c r="I27" s="327"/>
      <c r="K27" s="319" t="str">
        <f>IMAGE("http://i.imgur.com/GYlWKEy.png",2)</f>
        <v/>
      </c>
      <c r="L27" s="319"/>
      <c r="M27" s="325">
        <v>0.0</v>
      </c>
      <c r="N27" s="322"/>
      <c r="O27" s="171"/>
      <c r="P27" s="171"/>
      <c r="Q27" s="171"/>
      <c r="R27" s="171"/>
      <c r="S27" s="171"/>
      <c r="T27" s="171"/>
      <c r="U27" s="326" t="str">
        <f>IMAGE("http://i.imgur.com/YThwbjs.png",3)</f>
        <v/>
      </c>
      <c r="W27" s="325">
        <v>0.0</v>
      </c>
      <c r="X27" s="322"/>
      <c r="Y27" s="171"/>
      <c r="Z27" s="171"/>
      <c r="AA27" s="171"/>
      <c r="AB27" s="171"/>
      <c r="AC27" s="171"/>
      <c r="AD27" s="171"/>
      <c r="AE27" s="326" t="str">
        <f>IMAGE("http://i.imgur.com/YThwbjs.png",3)</f>
        <v/>
      </c>
      <c r="AG27" s="325">
        <v>0.0</v>
      </c>
      <c r="AH27" s="322"/>
      <c r="AI27" s="171"/>
      <c r="AJ27" s="171"/>
      <c r="AK27" s="171"/>
      <c r="AL27" s="171"/>
      <c r="AM27" s="171"/>
      <c r="AN27" s="171"/>
      <c r="AO27" s="245" t="str">
        <f>IMAGE("http://i.imgur.com/jVB4BpP.png")</f>
        <v/>
      </c>
      <c r="AP27" s="311"/>
      <c r="AQ27" s="3"/>
      <c r="AR27" s="3"/>
      <c r="AS27" s="3"/>
      <c r="AT27" s="3"/>
      <c r="AU27" s="3"/>
      <c r="AV27" s="3"/>
      <c r="AW27" s="3"/>
      <c r="AX27" s="3"/>
      <c r="AY27" s="3"/>
      <c r="AZ27" s="3"/>
      <c r="BA27" s="3"/>
      <c r="BB27" s="3"/>
      <c r="BC27" s="3"/>
    </row>
    <row r="28" ht="15.75" customHeight="1">
      <c r="A28" s="12"/>
      <c r="E28" s="254" t="s">
        <v>266</v>
      </c>
      <c r="F28" s="25"/>
      <c r="G28" s="25"/>
      <c r="H28" s="25"/>
      <c r="I28" s="25"/>
      <c r="J28" s="331"/>
      <c r="L28" s="319"/>
      <c r="M28" s="325">
        <v>0.0</v>
      </c>
      <c r="N28" s="322"/>
      <c r="O28" s="171"/>
      <c r="P28" s="171"/>
      <c r="Q28" s="171"/>
      <c r="R28" s="171"/>
      <c r="S28" s="171"/>
      <c r="T28" s="171"/>
      <c r="W28" s="325">
        <v>0.0</v>
      </c>
      <c r="X28" s="322"/>
      <c r="Y28" s="171"/>
      <c r="Z28" s="171"/>
      <c r="AA28" s="171"/>
      <c r="AB28" s="171"/>
      <c r="AC28" s="171"/>
      <c r="AD28" s="171"/>
      <c r="AG28" s="325">
        <v>0.0</v>
      </c>
      <c r="AH28" s="322"/>
      <c r="AI28" s="171"/>
      <c r="AJ28" s="171"/>
      <c r="AK28" s="171"/>
      <c r="AL28" s="171"/>
      <c r="AM28" s="171"/>
      <c r="AN28" s="171"/>
      <c r="AP28" s="311"/>
      <c r="AQ28" s="3"/>
      <c r="AR28" s="3"/>
      <c r="AS28" s="3"/>
      <c r="AT28" s="3"/>
      <c r="AU28" s="3"/>
      <c r="AV28" s="3"/>
      <c r="AW28" s="3"/>
      <c r="AX28" s="3"/>
      <c r="AY28" s="3"/>
      <c r="AZ28" s="3"/>
      <c r="BA28" s="3"/>
      <c r="BB28" s="3"/>
      <c r="BC28" s="3"/>
    </row>
    <row r="29" ht="15.75" customHeight="1">
      <c r="A29" s="12"/>
      <c r="E29" s="31"/>
      <c r="F29" s="31"/>
      <c r="G29" s="31"/>
      <c r="H29" s="31"/>
      <c r="I29" s="31"/>
      <c r="J29" s="332"/>
      <c r="L29" s="319"/>
      <c r="M29" s="325">
        <v>0.0</v>
      </c>
      <c r="N29" s="322"/>
      <c r="O29" s="171"/>
      <c r="P29" s="171"/>
      <c r="Q29" s="171"/>
      <c r="R29" s="171"/>
      <c r="S29" s="171"/>
      <c r="T29" s="171"/>
      <c r="W29" s="325">
        <v>0.0</v>
      </c>
      <c r="X29" s="322"/>
      <c r="Y29" s="171"/>
      <c r="Z29" s="171"/>
      <c r="AA29" s="171"/>
      <c r="AB29" s="171"/>
      <c r="AC29" s="171"/>
      <c r="AD29" s="171"/>
      <c r="AG29" s="325">
        <v>0.0</v>
      </c>
      <c r="AH29" s="322"/>
      <c r="AI29" s="171"/>
      <c r="AJ29" s="171"/>
      <c r="AK29" s="171"/>
      <c r="AL29" s="171"/>
      <c r="AM29" s="171"/>
      <c r="AN29" s="171"/>
      <c r="AP29" s="311"/>
      <c r="AQ29" s="3"/>
      <c r="AR29" s="3"/>
      <c r="AS29" s="3"/>
      <c r="AT29" s="3"/>
      <c r="AU29" s="3"/>
      <c r="AV29" s="3"/>
      <c r="AW29" s="3"/>
      <c r="AX29" s="3"/>
      <c r="AY29" s="3"/>
      <c r="AZ29" s="3"/>
      <c r="BA29" s="3"/>
      <c r="BB29" s="3"/>
      <c r="BC29" s="3"/>
    </row>
    <row r="30" ht="15.75" customHeight="1">
      <c r="A30" s="311"/>
      <c r="E30" s="319"/>
      <c r="F30" s="319"/>
      <c r="G30" s="330"/>
      <c r="H30" s="330"/>
      <c r="I30" s="319"/>
      <c r="J30" s="319"/>
      <c r="L30" s="319"/>
      <c r="M30" s="325">
        <v>0.0</v>
      </c>
      <c r="N30" s="322"/>
      <c r="O30" s="171"/>
      <c r="P30" s="171"/>
      <c r="Q30" s="171"/>
      <c r="R30" s="171"/>
      <c r="S30" s="171"/>
      <c r="T30" s="171"/>
      <c r="W30" s="325">
        <v>0.0</v>
      </c>
      <c r="X30" s="322"/>
      <c r="Y30" s="171"/>
      <c r="Z30" s="171"/>
      <c r="AA30" s="171"/>
      <c r="AB30" s="171"/>
      <c r="AC30" s="171"/>
      <c r="AD30" s="171"/>
      <c r="AG30" s="325">
        <v>0.0</v>
      </c>
      <c r="AH30" s="322"/>
      <c r="AI30" s="171"/>
      <c r="AJ30" s="171"/>
      <c r="AK30" s="171"/>
      <c r="AL30" s="171"/>
      <c r="AM30" s="171"/>
      <c r="AN30" s="171"/>
      <c r="AP30" s="311"/>
      <c r="AQ30" s="3"/>
      <c r="AR30" s="3"/>
      <c r="AS30" s="3"/>
      <c r="AT30" s="3"/>
      <c r="AU30" s="3"/>
      <c r="AV30" s="3"/>
      <c r="AW30" s="3"/>
      <c r="AX30" s="3"/>
      <c r="AY30" s="3"/>
      <c r="AZ30" s="3"/>
      <c r="BA30" s="3"/>
      <c r="BB30" s="3"/>
      <c r="BC30" s="3"/>
    </row>
    <row r="31" ht="15.75" customHeight="1">
      <c r="A31" s="311"/>
      <c r="C31" s="205"/>
      <c r="D31" s="205"/>
      <c r="E31" s="205"/>
      <c r="F31" s="205"/>
      <c r="G31" s="205"/>
      <c r="H31" s="205"/>
      <c r="I31" s="205"/>
      <c r="J31" s="205"/>
      <c r="K31" s="205"/>
      <c r="L31" s="205"/>
      <c r="M31" s="325">
        <v>0.0</v>
      </c>
      <c r="N31" s="322"/>
      <c r="O31" s="171"/>
      <c r="P31" s="171"/>
      <c r="Q31" s="171"/>
      <c r="R31" s="171"/>
      <c r="S31" s="171"/>
      <c r="T31" s="171"/>
      <c r="W31" s="325">
        <v>0.0</v>
      </c>
      <c r="X31" s="322"/>
      <c r="Y31" s="171"/>
      <c r="Z31" s="171"/>
      <c r="AA31" s="171"/>
      <c r="AB31" s="171"/>
      <c r="AC31" s="171"/>
      <c r="AD31" s="171"/>
      <c r="AG31" s="325">
        <v>0.0</v>
      </c>
      <c r="AH31" s="322"/>
      <c r="AI31" s="171"/>
      <c r="AJ31" s="171"/>
      <c r="AK31" s="171"/>
      <c r="AL31" s="171"/>
      <c r="AM31" s="171"/>
      <c r="AN31" s="171"/>
      <c r="AP31" s="311"/>
      <c r="AQ31" s="3"/>
      <c r="AR31" s="3"/>
      <c r="AS31" s="3"/>
      <c r="AT31" s="3"/>
      <c r="AU31" s="3"/>
      <c r="AV31" s="3"/>
      <c r="AW31" s="3"/>
      <c r="AX31" s="3"/>
      <c r="AY31" s="3"/>
      <c r="AZ31" s="3"/>
      <c r="BA31" s="3"/>
      <c r="BB31" s="3"/>
      <c r="BC31" s="3"/>
    </row>
    <row r="32" ht="15.75" customHeight="1">
      <c r="A32" s="311"/>
      <c r="C32" s="256"/>
      <c r="D32" s="256"/>
      <c r="E32" s="256"/>
      <c r="F32" s="256"/>
      <c r="G32" s="256"/>
      <c r="H32" s="256"/>
      <c r="I32" s="256"/>
      <c r="J32" s="256"/>
      <c r="K32" s="256"/>
      <c r="L32" s="256"/>
      <c r="M32" s="256"/>
      <c r="N32" s="256"/>
      <c r="O32" s="256"/>
      <c r="P32" s="256"/>
      <c r="Q32" s="256"/>
      <c r="R32" s="256"/>
      <c r="S32" s="256"/>
      <c r="T32" s="256"/>
      <c r="U32" s="256"/>
      <c r="V32" s="256" t="str">
        <f>if(E28="","You can hide each level of spells individually by hiding the rows (on the left).","")</f>
        <v/>
      </c>
      <c r="W32" s="256"/>
      <c r="X32" s="256"/>
      <c r="Y32" s="256"/>
      <c r="Z32" s="256"/>
      <c r="AA32" s="256"/>
      <c r="AB32" s="256"/>
      <c r="AC32" s="256"/>
      <c r="AD32" s="256"/>
      <c r="AE32" s="256"/>
      <c r="AF32" s="256"/>
      <c r="AG32" s="256"/>
      <c r="AH32" s="256"/>
      <c r="AI32" s="256"/>
      <c r="AJ32" s="256"/>
      <c r="AK32" s="256"/>
      <c r="AL32" s="256"/>
      <c r="AM32" s="256"/>
      <c r="AN32" s="333"/>
      <c r="AP32" s="311"/>
      <c r="AQ32" s="3"/>
      <c r="AR32" s="3"/>
      <c r="AS32" s="3"/>
      <c r="AT32" s="3"/>
      <c r="AU32" s="3"/>
      <c r="AV32" s="3"/>
      <c r="AW32" s="3"/>
      <c r="AX32" s="3"/>
      <c r="AY32" s="3"/>
      <c r="AZ32" s="3"/>
      <c r="BA32" s="3"/>
      <c r="BB32" s="3"/>
      <c r="BC32" s="3"/>
    </row>
    <row r="33" ht="15.75" customHeight="1">
      <c r="A33" s="311"/>
      <c r="B33" s="245" t="str">
        <f>IMAGE("http://i.imgur.com/S2iZUIk.png")</f>
        <v/>
      </c>
      <c r="C33" s="325">
        <v>0.0</v>
      </c>
      <c r="D33" s="322"/>
      <c r="E33" s="171"/>
      <c r="F33" s="171"/>
      <c r="G33" s="171"/>
      <c r="H33" s="171"/>
      <c r="I33" s="171"/>
      <c r="J33" s="171"/>
      <c r="K33" s="326" t="str">
        <f>IMAGE("http://i.imgur.com/YThwbjs.png",3)</f>
        <v/>
      </c>
      <c r="M33" s="325">
        <v>0.0</v>
      </c>
      <c r="N33" s="322"/>
      <c r="O33" s="171"/>
      <c r="P33" s="171"/>
      <c r="Q33" s="171"/>
      <c r="R33" s="171"/>
      <c r="S33" s="171"/>
      <c r="T33" s="171"/>
      <c r="U33" s="326" t="str">
        <f>IMAGE("http://i.imgur.com/YThwbjs.png",3)</f>
        <v/>
      </c>
      <c r="W33" s="325">
        <v>0.0</v>
      </c>
      <c r="X33" s="322"/>
      <c r="Y33" s="171"/>
      <c r="Z33" s="171"/>
      <c r="AA33" s="171"/>
      <c r="AB33" s="171"/>
      <c r="AC33" s="171"/>
      <c r="AD33" s="171"/>
      <c r="AE33" s="245"/>
      <c r="AF33" s="245" t="str">
        <f>IMAGE("http://i.imgur.com/4gaCjL0.png",2)</f>
        <v/>
      </c>
      <c r="AG33" s="334"/>
      <c r="AH33" s="334"/>
      <c r="AI33" s="245"/>
      <c r="AJ33" s="245"/>
      <c r="AK33" s="334"/>
      <c r="AL33" s="334"/>
      <c r="AM33" s="245" t="str">
        <f>IMAGE("http://i.imgur.com/VunFGZ6.png",2)</f>
        <v/>
      </c>
      <c r="AO33" s="245" t="str">
        <f>IMAGE("http://i.imgur.com/jVB4BpP.png")</f>
        <v/>
      </c>
      <c r="AP33" s="311"/>
      <c r="AQ33" s="3"/>
      <c r="AR33" s="3"/>
      <c r="AS33" s="3"/>
      <c r="AT33" s="3"/>
      <c r="AU33" s="3"/>
      <c r="AV33" s="3"/>
      <c r="AW33" s="3"/>
      <c r="AX33" s="3"/>
      <c r="AY33" s="3"/>
      <c r="AZ33" s="3"/>
      <c r="BA33" s="3"/>
      <c r="BB33" s="3"/>
      <c r="BC33" s="3"/>
    </row>
    <row r="34" ht="15.75" customHeight="1">
      <c r="A34" s="311"/>
      <c r="C34" s="325">
        <v>0.0</v>
      </c>
      <c r="D34" s="322"/>
      <c r="E34" s="171"/>
      <c r="F34" s="171"/>
      <c r="G34" s="171"/>
      <c r="H34" s="171"/>
      <c r="I34" s="171"/>
      <c r="J34" s="171"/>
      <c r="M34" s="325">
        <v>0.0</v>
      </c>
      <c r="N34" s="322"/>
      <c r="O34" s="171"/>
      <c r="P34" s="171"/>
      <c r="Q34" s="171"/>
      <c r="R34" s="171"/>
      <c r="S34" s="171"/>
      <c r="T34" s="171"/>
      <c r="W34" s="325">
        <v>0.0</v>
      </c>
      <c r="X34" s="322"/>
      <c r="Y34" s="171"/>
      <c r="Z34" s="171"/>
      <c r="AA34" s="171"/>
      <c r="AB34" s="171"/>
      <c r="AC34" s="171"/>
      <c r="AD34" s="171"/>
      <c r="AE34" s="245"/>
      <c r="AG34" s="254" t="s">
        <v>267</v>
      </c>
      <c r="AH34" s="25"/>
      <c r="AI34" s="25"/>
      <c r="AJ34" s="25"/>
      <c r="AK34" s="25"/>
      <c r="AL34" s="265"/>
      <c r="AP34" s="311"/>
      <c r="AQ34" s="3"/>
      <c r="AR34" s="3"/>
      <c r="AS34" s="3"/>
      <c r="AT34" s="3"/>
      <c r="AU34" s="3"/>
      <c r="AV34" s="3"/>
      <c r="AW34" s="3"/>
      <c r="AX34" s="3"/>
      <c r="AY34" s="3"/>
      <c r="AZ34" s="3"/>
      <c r="BA34" s="3"/>
      <c r="BB34" s="3"/>
      <c r="BC34" s="3"/>
    </row>
    <row r="35" ht="15.75" customHeight="1">
      <c r="A35" s="311"/>
      <c r="C35" s="325">
        <v>0.0</v>
      </c>
      <c r="D35" s="322"/>
      <c r="E35" s="171"/>
      <c r="F35" s="171"/>
      <c r="G35" s="171"/>
      <c r="H35" s="171"/>
      <c r="I35" s="171"/>
      <c r="J35" s="171"/>
      <c r="M35" s="325">
        <v>0.0</v>
      </c>
      <c r="N35" s="322"/>
      <c r="O35" s="171"/>
      <c r="P35" s="171"/>
      <c r="Q35" s="171"/>
      <c r="R35" s="171"/>
      <c r="S35" s="171"/>
      <c r="T35" s="171"/>
      <c r="W35" s="325">
        <v>0.0</v>
      </c>
      <c r="X35" s="322"/>
      <c r="Y35" s="171"/>
      <c r="Z35" s="171"/>
      <c r="AA35" s="171"/>
      <c r="AB35" s="171"/>
      <c r="AC35" s="171"/>
      <c r="AD35" s="171"/>
      <c r="AE35" s="245"/>
      <c r="AG35" s="31"/>
      <c r="AH35" s="31"/>
      <c r="AI35" s="31"/>
      <c r="AJ35" s="31"/>
      <c r="AK35" s="31"/>
      <c r="AL35" s="328"/>
      <c r="AP35" s="311"/>
      <c r="AQ35" s="3"/>
      <c r="AR35" s="3"/>
      <c r="AS35" s="3"/>
      <c r="AT35" s="3"/>
      <c r="AU35" s="3"/>
      <c r="AV35" s="3"/>
      <c r="AW35" s="3"/>
      <c r="AX35" s="3"/>
      <c r="AY35" s="3"/>
      <c r="AZ35" s="3"/>
      <c r="BA35" s="3"/>
      <c r="BB35" s="3"/>
      <c r="BC35" s="3"/>
    </row>
    <row r="36" ht="15.75" customHeight="1">
      <c r="A36" s="311"/>
      <c r="C36" s="325">
        <v>0.0</v>
      </c>
      <c r="D36" s="322"/>
      <c r="E36" s="171"/>
      <c r="F36" s="171"/>
      <c r="G36" s="171"/>
      <c r="H36" s="171"/>
      <c r="I36" s="171"/>
      <c r="J36" s="171"/>
      <c r="M36" s="325">
        <v>0.0</v>
      </c>
      <c r="N36" s="322"/>
      <c r="O36" s="171"/>
      <c r="P36" s="171"/>
      <c r="Q36" s="171"/>
      <c r="R36" s="171"/>
      <c r="S36" s="171"/>
      <c r="T36" s="171"/>
      <c r="W36" s="325">
        <v>0.0</v>
      </c>
      <c r="X36" s="322"/>
      <c r="Y36" s="171"/>
      <c r="Z36" s="171"/>
      <c r="AA36" s="171"/>
      <c r="AB36" s="171"/>
      <c r="AC36" s="171"/>
      <c r="AD36" s="171"/>
      <c r="AE36" s="245"/>
      <c r="AG36" s="245"/>
      <c r="AH36" s="245"/>
      <c r="AI36" s="245"/>
      <c r="AJ36" s="245"/>
      <c r="AK36" s="245"/>
      <c r="AL36" s="245"/>
      <c r="AP36" s="311"/>
      <c r="AQ36" s="3"/>
      <c r="AR36" s="3"/>
      <c r="AS36" s="3"/>
      <c r="AT36" s="3"/>
      <c r="AU36" s="3"/>
      <c r="AV36" s="3"/>
      <c r="AW36" s="3"/>
      <c r="AX36" s="3"/>
      <c r="AY36" s="3"/>
      <c r="AZ36" s="3"/>
      <c r="BA36" s="3"/>
      <c r="BB36" s="3"/>
      <c r="BC36" s="3"/>
    </row>
    <row r="37" ht="15.75" customHeight="1">
      <c r="A37" s="311"/>
      <c r="C37" s="325">
        <v>0.0</v>
      </c>
      <c r="D37" s="322"/>
      <c r="E37" s="171"/>
      <c r="F37" s="171"/>
      <c r="G37" s="171"/>
      <c r="H37" s="171"/>
      <c r="I37" s="171"/>
      <c r="J37" s="171"/>
      <c r="M37" s="325">
        <v>0.0</v>
      </c>
      <c r="N37" s="322"/>
      <c r="O37" s="171"/>
      <c r="P37" s="171"/>
      <c r="Q37" s="171"/>
      <c r="R37" s="171"/>
      <c r="S37" s="171"/>
      <c r="T37" s="171"/>
      <c r="W37" s="325">
        <v>0.0</v>
      </c>
      <c r="X37" s="322"/>
      <c r="Y37" s="171"/>
      <c r="Z37" s="171"/>
      <c r="AA37" s="171"/>
      <c r="AB37" s="171"/>
      <c r="AC37" s="171"/>
      <c r="AD37" s="171"/>
      <c r="AE37" s="205"/>
      <c r="AF37" s="205"/>
      <c r="AG37" s="205"/>
      <c r="AH37" s="205"/>
      <c r="AI37" s="205"/>
      <c r="AJ37" s="205"/>
      <c r="AK37" s="205"/>
      <c r="AL37" s="205"/>
      <c r="AM37" s="205"/>
      <c r="AN37" s="205"/>
      <c r="AP37" s="311"/>
      <c r="AQ37" s="3"/>
      <c r="AR37" s="3"/>
      <c r="AS37" s="3"/>
      <c r="AT37" s="3"/>
      <c r="AU37" s="3"/>
      <c r="AV37" s="3"/>
      <c r="AW37" s="3"/>
      <c r="AX37" s="3"/>
      <c r="AY37" s="3"/>
      <c r="AZ37" s="3"/>
      <c r="BA37" s="3"/>
      <c r="BB37" s="3"/>
      <c r="BC37" s="3"/>
    </row>
    <row r="38" ht="15.75" customHeight="1">
      <c r="A38" s="311"/>
      <c r="C38" s="256"/>
      <c r="D38" s="256"/>
      <c r="E38" s="256"/>
      <c r="F38" s="256"/>
      <c r="G38" s="256"/>
      <c r="H38" s="256"/>
      <c r="I38" s="256"/>
      <c r="J38" s="256"/>
      <c r="K38" s="256"/>
      <c r="L38" s="256"/>
      <c r="M38" s="256"/>
      <c r="N38" s="256"/>
      <c r="O38" s="256"/>
      <c r="P38" s="256"/>
      <c r="Q38" s="256"/>
      <c r="R38" s="256"/>
      <c r="S38" s="256"/>
      <c r="T38" s="256"/>
      <c r="U38" s="256"/>
      <c r="V38" s="256"/>
      <c r="W38" s="256"/>
      <c r="X38" s="256"/>
      <c r="Y38" s="256"/>
      <c r="Z38" s="256"/>
      <c r="AA38" s="256"/>
      <c r="AB38" s="256"/>
      <c r="AC38" s="256"/>
      <c r="AD38" s="256"/>
      <c r="AE38" s="256"/>
      <c r="AF38" s="256"/>
      <c r="AG38" s="256"/>
      <c r="AH38" s="256"/>
      <c r="AI38" s="256"/>
      <c r="AJ38" s="256"/>
      <c r="AK38" s="256"/>
      <c r="AL38" s="256"/>
      <c r="AM38" s="256"/>
      <c r="AN38" s="256"/>
      <c r="AP38" s="311"/>
      <c r="AQ38" s="3"/>
      <c r="AR38" s="3"/>
      <c r="AS38" s="3"/>
      <c r="AT38" s="3"/>
      <c r="AU38" s="3"/>
      <c r="AV38" s="3"/>
      <c r="AW38" s="3"/>
      <c r="AX38" s="3"/>
      <c r="AY38" s="3"/>
      <c r="AZ38" s="3"/>
      <c r="BA38" s="3"/>
      <c r="BB38" s="3"/>
      <c r="BC38" s="3"/>
    </row>
    <row r="39" ht="15.75" customHeight="1">
      <c r="A39" s="311"/>
      <c r="B39" s="245" t="str">
        <f>IMAGE("http://i.imgur.com/DhOsDAQ.png")</f>
        <v/>
      </c>
      <c r="C39" s="329" t="str">
        <f>IMAGE("http://i.imgur.com/fhNGYbL.png",2)</f>
        <v/>
      </c>
      <c r="E39" s="334"/>
      <c r="G39" s="330"/>
      <c r="H39" s="330"/>
      <c r="I39" s="334"/>
      <c r="K39" s="319" t="str">
        <f>IMAGE("http://i.imgur.com/GYlWKEy.png",2)</f>
        <v/>
      </c>
      <c r="L39" s="319"/>
      <c r="M39" s="325">
        <v>0.0</v>
      </c>
      <c r="N39" s="322"/>
      <c r="O39" s="171"/>
      <c r="P39" s="171"/>
      <c r="Q39" s="171"/>
      <c r="R39" s="171"/>
      <c r="S39" s="171"/>
      <c r="T39" s="171"/>
      <c r="U39" s="335" t="str">
        <f>IMAGE("http://i.imgur.com/1atTEws.png",3)</f>
        <v/>
      </c>
      <c r="W39" s="325">
        <v>0.0</v>
      </c>
      <c r="X39" s="322"/>
      <c r="Y39" s="171"/>
      <c r="Z39" s="171"/>
      <c r="AA39" s="171"/>
      <c r="AB39" s="171"/>
      <c r="AC39" s="171"/>
      <c r="AD39" s="171"/>
      <c r="AE39" s="335" t="str">
        <f>IMAGE("http://i.imgur.com/1atTEws.png",3)</f>
        <v/>
      </c>
      <c r="AG39" s="325">
        <v>0.0</v>
      </c>
      <c r="AH39" s="322"/>
      <c r="AI39" s="171"/>
      <c r="AJ39" s="171"/>
      <c r="AK39" s="171"/>
      <c r="AL39" s="171"/>
      <c r="AM39" s="171"/>
      <c r="AN39" s="171"/>
      <c r="AO39" s="245" t="str">
        <f>IMAGE("http://i.imgur.com/NNIwrh4.png",3)</f>
        <v/>
      </c>
      <c r="AP39" s="311"/>
      <c r="AQ39" s="3"/>
      <c r="AR39" s="3"/>
      <c r="AS39" s="3"/>
      <c r="AT39" s="3"/>
      <c r="AU39" s="3"/>
      <c r="AV39" s="3"/>
      <c r="AW39" s="3"/>
      <c r="AX39" s="3"/>
      <c r="AY39" s="3"/>
      <c r="AZ39" s="3"/>
      <c r="BA39" s="3"/>
      <c r="BB39" s="3"/>
      <c r="BC39" s="3"/>
    </row>
    <row r="40" ht="15.75" customHeight="1">
      <c r="A40" s="311"/>
      <c r="E40" s="254" t="s">
        <v>268</v>
      </c>
      <c r="F40" s="25"/>
      <c r="G40" s="25"/>
      <c r="H40" s="25"/>
      <c r="I40" s="25"/>
      <c r="J40" s="331"/>
      <c r="L40" s="319"/>
      <c r="M40" s="325">
        <v>0.0</v>
      </c>
      <c r="N40" s="322"/>
      <c r="O40" s="171"/>
      <c r="P40" s="171"/>
      <c r="Q40" s="171"/>
      <c r="R40" s="171"/>
      <c r="S40" s="171"/>
      <c r="T40" s="171"/>
      <c r="W40" s="325">
        <v>0.0</v>
      </c>
      <c r="X40" s="322"/>
      <c r="Y40" s="171"/>
      <c r="Z40" s="171"/>
      <c r="AA40" s="171"/>
      <c r="AB40" s="171"/>
      <c r="AC40" s="171"/>
      <c r="AD40" s="171"/>
      <c r="AG40" s="325">
        <v>0.0</v>
      </c>
      <c r="AH40" s="322"/>
      <c r="AI40" s="171"/>
      <c r="AJ40" s="171"/>
      <c r="AK40" s="171"/>
      <c r="AL40" s="171"/>
      <c r="AM40" s="171"/>
      <c r="AN40" s="171"/>
      <c r="AP40" s="311"/>
      <c r="AQ40" s="3"/>
      <c r="AR40" s="3"/>
      <c r="AS40" s="3"/>
      <c r="AT40" s="3"/>
      <c r="AU40" s="3"/>
      <c r="AV40" s="3"/>
      <c r="AW40" s="3"/>
      <c r="AX40" s="3"/>
      <c r="AY40" s="3"/>
      <c r="AZ40" s="3"/>
      <c r="BA40" s="3"/>
      <c r="BB40" s="3"/>
      <c r="BC40" s="3"/>
    </row>
    <row r="41" ht="15.75" customHeight="1">
      <c r="A41" s="311"/>
      <c r="E41" s="31"/>
      <c r="F41" s="31"/>
      <c r="G41" s="31"/>
      <c r="H41" s="31"/>
      <c r="I41" s="31"/>
      <c r="J41" s="332"/>
      <c r="L41" s="319"/>
      <c r="M41" s="325">
        <v>0.0</v>
      </c>
      <c r="N41" s="322"/>
      <c r="O41" s="171"/>
      <c r="P41" s="171"/>
      <c r="Q41" s="171"/>
      <c r="R41" s="171"/>
      <c r="S41" s="171"/>
      <c r="T41" s="171"/>
      <c r="W41" s="325">
        <v>0.0</v>
      </c>
      <c r="X41" s="322"/>
      <c r="Y41" s="171"/>
      <c r="Z41" s="171"/>
      <c r="AA41" s="171"/>
      <c r="AB41" s="171"/>
      <c r="AC41" s="171"/>
      <c r="AD41" s="171"/>
      <c r="AG41" s="325">
        <v>0.0</v>
      </c>
      <c r="AH41" s="322"/>
      <c r="AI41" s="171"/>
      <c r="AJ41" s="171"/>
      <c r="AK41" s="171"/>
      <c r="AL41" s="171"/>
      <c r="AM41" s="171"/>
      <c r="AN41" s="171"/>
      <c r="AP41" s="311"/>
      <c r="AQ41" s="3"/>
      <c r="AR41" s="3"/>
      <c r="AS41" s="3"/>
      <c r="AT41" s="3"/>
      <c r="AU41" s="3"/>
      <c r="AV41" s="3"/>
      <c r="AW41" s="3"/>
      <c r="AX41" s="3"/>
      <c r="AY41" s="3"/>
      <c r="AZ41" s="3"/>
      <c r="BA41" s="3"/>
      <c r="BB41" s="3"/>
      <c r="BC41" s="3"/>
    </row>
    <row r="42" ht="15.75" customHeight="1">
      <c r="A42" s="311"/>
      <c r="E42" s="319"/>
      <c r="F42" s="319"/>
      <c r="G42" s="330"/>
      <c r="H42" s="330"/>
      <c r="I42" s="319"/>
      <c r="J42" s="319"/>
      <c r="L42" s="319"/>
      <c r="M42" s="325">
        <v>0.0</v>
      </c>
      <c r="N42" s="322"/>
      <c r="O42" s="171"/>
      <c r="P42" s="171"/>
      <c r="Q42" s="171"/>
      <c r="R42" s="171"/>
      <c r="S42" s="171"/>
      <c r="T42" s="171"/>
      <c r="W42" s="325">
        <v>0.0</v>
      </c>
      <c r="X42" s="322"/>
      <c r="Y42" s="171"/>
      <c r="Z42" s="171"/>
      <c r="AA42" s="171"/>
      <c r="AB42" s="171"/>
      <c r="AC42" s="171"/>
      <c r="AD42" s="171"/>
      <c r="AG42" s="325">
        <v>0.0</v>
      </c>
      <c r="AH42" s="322"/>
      <c r="AI42" s="171"/>
      <c r="AJ42" s="171"/>
      <c r="AK42" s="171"/>
      <c r="AL42" s="171"/>
      <c r="AM42" s="171"/>
      <c r="AN42" s="171"/>
      <c r="AP42" s="311"/>
      <c r="AQ42" s="3"/>
      <c r="AR42" s="3"/>
      <c r="AS42" s="3"/>
      <c r="AT42" s="3"/>
      <c r="AU42" s="3"/>
      <c r="AV42" s="3"/>
      <c r="AW42" s="3"/>
      <c r="AX42" s="3"/>
      <c r="AY42" s="3"/>
      <c r="AZ42" s="3"/>
      <c r="BA42" s="3"/>
      <c r="BB42" s="3"/>
      <c r="BC42" s="3"/>
    </row>
    <row r="43" ht="15.75" customHeight="1">
      <c r="A43" s="311"/>
      <c r="C43" s="256"/>
      <c r="D43" s="256"/>
      <c r="E43" s="256"/>
      <c r="F43" s="256"/>
      <c r="G43" s="256"/>
      <c r="H43" s="256"/>
      <c r="I43" s="256"/>
      <c r="J43" s="256"/>
      <c r="K43" s="256"/>
      <c r="L43" s="256"/>
      <c r="M43" s="256"/>
      <c r="N43" s="256"/>
      <c r="O43" s="256"/>
      <c r="P43" s="256"/>
      <c r="Q43" s="256"/>
      <c r="R43" s="256"/>
      <c r="S43" s="256"/>
      <c r="T43" s="256"/>
      <c r="U43" s="256"/>
      <c r="V43" s="256"/>
      <c r="W43" s="256"/>
      <c r="X43" s="256"/>
      <c r="Y43" s="256"/>
      <c r="Z43" s="256"/>
      <c r="AA43" s="256"/>
      <c r="AB43" s="256"/>
      <c r="AC43" s="256"/>
      <c r="AD43" s="256"/>
      <c r="AE43" s="256"/>
      <c r="AF43" s="256"/>
      <c r="AG43" s="256"/>
      <c r="AH43" s="256"/>
      <c r="AI43" s="256"/>
      <c r="AJ43" s="256"/>
      <c r="AK43" s="256"/>
      <c r="AL43" s="256"/>
      <c r="AM43" s="256"/>
      <c r="AN43" s="256"/>
      <c r="AP43" s="311"/>
      <c r="AQ43" s="3"/>
      <c r="AR43" s="3"/>
      <c r="AS43" s="3"/>
      <c r="AT43" s="3"/>
      <c r="AU43" s="3"/>
      <c r="AV43" s="3"/>
      <c r="AW43" s="3"/>
      <c r="AX43" s="3"/>
      <c r="AY43" s="3"/>
      <c r="AZ43" s="3"/>
      <c r="BA43" s="3"/>
      <c r="BB43" s="3"/>
      <c r="BC43" s="3"/>
    </row>
    <row r="44" ht="15.75" customHeight="1">
      <c r="A44" s="311"/>
      <c r="B44" s="245" t="str">
        <f>IMAGE("http://i.imgur.com/DhOsDAQ.png")</f>
        <v/>
      </c>
      <c r="C44" s="325">
        <v>0.0</v>
      </c>
      <c r="D44" s="322"/>
      <c r="E44" s="171"/>
      <c r="F44" s="171"/>
      <c r="G44" s="171"/>
      <c r="H44" s="171"/>
      <c r="I44" s="171"/>
      <c r="J44" s="171"/>
      <c r="K44" s="335" t="str">
        <f>IMAGE("http://i.imgur.com/1atTEws.png",3)</f>
        <v/>
      </c>
      <c r="M44" s="325">
        <v>0.0</v>
      </c>
      <c r="N44" s="322"/>
      <c r="O44" s="171"/>
      <c r="P44" s="171"/>
      <c r="Q44" s="171"/>
      <c r="R44" s="171"/>
      <c r="S44" s="171"/>
      <c r="T44" s="171"/>
      <c r="U44" s="335" t="str">
        <f>IMAGE("http://i.imgur.com/1atTEws.png",3)</f>
        <v/>
      </c>
      <c r="W44" s="325">
        <v>0.0</v>
      </c>
      <c r="X44" s="322"/>
      <c r="Y44" s="171"/>
      <c r="Z44" s="171"/>
      <c r="AA44" s="171"/>
      <c r="AB44" s="171"/>
      <c r="AC44" s="171"/>
      <c r="AD44" s="171"/>
      <c r="AE44" s="245"/>
      <c r="AF44" s="245" t="str">
        <f>IMAGE("http://i.imgur.com/4gaCjL0.png",2)</f>
        <v/>
      </c>
      <c r="AG44" s="334"/>
      <c r="AH44" s="334"/>
      <c r="AI44" s="245"/>
      <c r="AJ44" s="245"/>
      <c r="AK44" s="334"/>
      <c r="AL44" s="334"/>
      <c r="AM44" s="245" t="str">
        <f>IMAGE("http://i.imgur.com/lP8Znaf.png",2)</f>
        <v/>
      </c>
      <c r="AO44" s="245" t="str">
        <f>IMAGE("http://i.imgur.com/NNIwrh4.png",3)</f>
        <v/>
      </c>
      <c r="AP44" s="311"/>
      <c r="AQ44" s="3"/>
      <c r="AR44" s="3"/>
      <c r="AS44" s="3"/>
      <c r="AT44" s="3"/>
      <c r="AU44" s="3"/>
      <c r="AV44" s="3"/>
      <c r="AW44" s="3"/>
      <c r="AX44" s="3"/>
      <c r="AY44" s="3"/>
      <c r="AZ44" s="3"/>
      <c r="BA44" s="3"/>
      <c r="BB44" s="3"/>
      <c r="BC44" s="3"/>
    </row>
    <row r="45" ht="15.75" customHeight="1">
      <c r="A45" s="311"/>
      <c r="C45" s="325">
        <v>0.0</v>
      </c>
      <c r="D45" s="322"/>
      <c r="E45" s="171"/>
      <c r="F45" s="171"/>
      <c r="G45" s="171"/>
      <c r="H45" s="171"/>
      <c r="I45" s="171"/>
      <c r="J45" s="171"/>
      <c r="M45" s="325">
        <v>0.0</v>
      </c>
      <c r="N45" s="322"/>
      <c r="O45" s="171"/>
      <c r="P45" s="171"/>
      <c r="Q45" s="171"/>
      <c r="R45" s="171"/>
      <c r="S45" s="171"/>
      <c r="T45" s="171"/>
      <c r="W45" s="325">
        <v>0.0</v>
      </c>
      <c r="X45" s="322"/>
      <c r="Y45" s="171"/>
      <c r="Z45" s="171"/>
      <c r="AA45" s="171"/>
      <c r="AB45" s="171"/>
      <c r="AC45" s="171"/>
      <c r="AD45" s="171"/>
      <c r="AE45" s="245"/>
      <c r="AG45" s="254" t="s">
        <v>269</v>
      </c>
      <c r="AH45" s="25"/>
      <c r="AI45" s="25"/>
      <c r="AJ45" s="25"/>
      <c r="AK45" s="25"/>
      <c r="AL45" s="265"/>
      <c r="AP45" s="311"/>
      <c r="AQ45" s="3"/>
      <c r="AR45" s="3"/>
      <c r="AS45" s="3"/>
      <c r="AT45" s="3"/>
      <c r="AU45" s="3"/>
      <c r="AV45" s="3"/>
      <c r="AW45" s="3"/>
      <c r="AX45" s="3"/>
      <c r="AY45" s="3"/>
      <c r="AZ45" s="3"/>
      <c r="BA45" s="3"/>
      <c r="BB45" s="3"/>
      <c r="BC45" s="3"/>
    </row>
    <row r="46" ht="15.75" customHeight="1">
      <c r="A46" s="311"/>
      <c r="C46" s="325">
        <v>0.0</v>
      </c>
      <c r="D46" s="322"/>
      <c r="E46" s="171"/>
      <c r="F46" s="171"/>
      <c r="G46" s="171"/>
      <c r="H46" s="171"/>
      <c r="I46" s="171"/>
      <c r="J46" s="171"/>
      <c r="M46" s="325">
        <v>0.0</v>
      </c>
      <c r="N46" s="322"/>
      <c r="O46" s="171"/>
      <c r="P46" s="171"/>
      <c r="Q46" s="171"/>
      <c r="R46" s="171"/>
      <c r="S46" s="171"/>
      <c r="T46" s="171"/>
      <c r="W46" s="325">
        <v>0.0</v>
      </c>
      <c r="X46" s="322"/>
      <c r="Y46" s="171"/>
      <c r="Z46" s="171"/>
      <c r="AA46" s="171"/>
      <c r="AB46" s="171"/>
      <c r="AC46" s="171"/>
      <c r="AD46" s="171"/>
      <c r="AE46" s="245"/>
      <c r="AG46" s="31"/>
      <c r="AH46" s="31"/>
      <c r="AI46" s="31"/>
      <c r="AJ46" s="31"/>
      <c r="AK46" s="31"/>
      <c r="AL46" s="328"/>
      <c r="AP46" s="311"/>
      <c r="AQ46" s="3"/>
      <c r="AR46" s="3"/>
      <c r="AS46" s="3"/>
      <c r="AT46" s="3"/>
      <c r="AU46" s="3"/>
      <c r="AV46" s="3"/>
      <c r="AW46" s="3"/>
      <c r="AX46" s="3"/>
      <c r="AY46" s="3"/>
      <c r="AZ46" s="3"/>
      <c r="BA46" s="3"/>
      <c r="BB46" s="3"/>
      <c r="BC46" s="3"/>
    </row>
    <row r="47" ht="15.75" customHeight="1">
      <c r="A47" s="311"/>
      <c r="C47" s="325">
        <v>0.0</v>
      </c>
      <c r="D47" s="322"/>
      <c r="E47" s="171"/>
      <c r="F47" s="171"/>
      <c r="G47" s="171"/>
      <c r="H47" s="171"/>
      <c r="I47" s="171"/>
      <c r="J47" s="171"/>
      <c r="M47" s="325">
        <v>0.0</v>
      </c>
      <c r="N47" s="322"/>
      <c r="O47" s="171"/>
      <c r="P47" s="171"/>
      <c r="Q47" s="171"/>
      <c r="R47" s="171"/>
      <c r="S47" s="171"/>
      <c r="T47" s="171"/>
      <c r="W47" s="325">
        <v>0.0</v>
      </c>
      <c r="X47" s="322"/>
      <c r="Y47" s="171"/>
      <c r="Z47" s="171"/>
      <c r="AA47" s="171"/>
      <c r="AB47" s="171"/>
      <c r="AC47" s="171"/>
      <c r="AD47" s="171"/>
      <c r="AE47" s="245"/>
      <c r="AG47" s="245"/>
      <c r="AH47" s="245"/>
      <c r="AI47" s="245"/>
      <c r="AJ47" s="245"/>
      <c r="AK47" s="245"/>
      <c r="AL47" s="245"/>
      <c r="AP47" s="311"/>
      <c r="AQ47" s="3"/>
      <c r="AR47" s="3"/>
      <c r="AS47" s="3"/>
      <c r="AT47" s="3"/>
      <c r="AU47" s="3"/>
      <c r="AV47" s="3"/>
      <c r="AW47" s="3"/>
      <c r="AX47" s="3"/>
      <c r="AY47" s="3"/>
      <c r="AZ47" s="3"/>
      <c r="BA47" s="3"/>
      <c r="BB47" s="3"/>
      <c r="BC47" s="3"/>
    </row>
    <row r="48" ht="15.75" customHeight="1">
      <c r="A48" s="311"/>
      <c r="C48" s="270"/>
      <c r="D48" s="256"/>
      <c r="E48" s="256"/>
      <c r="F48" s="256"/>
      <c r="G48" s="256"/>
      <c r="H48" s="256"/>
      <c r="I48" s="256"/>
      <c r="J48" s="256"/>
      <c r="K48" s="256"/>
      <c r="L48" s="256"/>
      <c r="M48" s="256"/>
      <c r="N48" s="256"/>
      <c r="O48" s="256"/>
      <c r="P48" s="256"/>
      <c r="Q48" s="256"/>
      <c r="R48" s="256"/>
      <c r="S48" s="256"/>
      <c r="T48" s="256"/>
      <c r="U48" s="256"/>
      <c r="V48" s="256"/>
      <c r="W48" s="256"/>
      <c r="X48" s="256"/>
      <c r="Y48" s="256"/>
      <c r="Z48" s="256"/>
      <c r="AA48" s="256"/>
      <c r="AB48" s="256"/>
      <c r="AC48" s="256"/>
      <c r="AD48" s="256"/>
      <c r="AE48" s="256"/>
      <c r="AF48" s="256"/>
      <c r="AG48" s="256"/>
      <c r="AH48" s="256"/>
      <c r="AI48" s="256"/>
      <c r="AJ48" s="256"/>
      <c r="AK48" s="256"/>
      <c r="AL48" s="256"/>
      <c r="AM48" s="256"/>
      <c r="AN48" s="256"/>
      <c r="AP48" s="311"/>
      <c r="AQ48" s="3"/>
      <c r="AR48" s="3"/>
      <c r="AS48" s="3"/>
      <c r="AT48" s="3"/>
      <c r="AU48" s="3"/>
      <c r="AV48" s="3"/>
      <c r="AW48" s="3"/>
      <c r="AX48" s="3"/>
      <c r="AY48" s="3"/>
      <c r="AZ48" s="3"/>
      <c r="BA48" s="3"/>
      <c r="BB48" s="3"/>
      <c r="BC48" s="3"/>
    </row>
    <row r="49" ht="15.75" customHeight="1">
      <c r="A49" s="311"/>
      <c r="B49" s="245" t="str">
        <f>IMAGE("http://i.imgur.com/DhOsDAQ.png")</f>
        <v/>
      </c>
      <c r="C49" s="329" t="str">
        <f>IMAGE("http://i.imgur.com/NJZrETt.png",2)</f>
        <v/>
      </c>
      <c r="E49" s="334"/>
      <c r="G49" s="330"/>
      <c r="H49" s="330"/>
      <c r="I49" s="334"/>
      <c r="K49" s="319" t="str">
        <f>IMAGE("http://i.imgur.com/GYlWKEy.png",2)</f>
        <v/>
      </c>
      <c r="L49" s="319"/>
      <c r="M49" s="325">
        <v>0.0</v>
      </c>
      <c r="N49" s="322"/>
      <c r="O49" s="171"/>
      <c r="P49" s="171"/>
      <c r="Q49" s="171"/>
      <c r="R49" s="171"/>
      <c r="S49" s="171"/>
      <c r="T49" s="171"/>
      <c r="U49" s="335" t="str">
        <f>IMAGE("http://i.imgur.com/1atTEws.png",3)</f>
        <v/>
      </c>
      <c r="W49" s="325">
        <v>0.0</v>
      </c>
      <c r="X49" s="322"/>
      <c r="Y49" s="171"/>
      <c r="Z49" s="171"/>
      <c r="AA49" s="171"/>
      <c r="AB49" s="171"/>
      <c r="AC49" s="171"/>
      <c r="AD49" s="171"/>
      <c r="AE49" s="335" t="str">
        <f>IMAGE("http://i.imgur.com/1atTEws.png",3)</f>
        <v/>
      </c>
      <c r="AG49" s="325">
        <v>0.0</v>
      </c>
      <c r="AH49" s="322"/>
      <c r="AI49" s="171"/>
      <c r="AJ49" s="171"/>
      <c r="AK49" s="171"/>
      <c r="AL49" s="171"/>
      <c r="AM49" s="171"/>
      <c r="AN49" s="171"/>
      <c r="AO49" s="245" t="str">
        <f>IMAGE("http://i.imgur.com/NNIwrh4.png",3)</f>
        <v/>
      </c>
      <c r="AP49" s="311"/>
      <c r="AQ49" s="3"/>
      <c r="AR49" s="3"/>
      <c r="AS49" s="3"/>
      <c r="AT49" s="3"/>
      <c r="AU49" s="3"/>
      <c r="AV49" s="3"/>
      <c r="AW49" s="3"/>
      <c r="AX49" s="3"/>
      <c r="AY49" s="3"/>
      <c r="AZ49" s="3"/>
      <c r="BA49" s="3"/>
      <c r="BB49" s="3"/>
      <c r="BC49" s="3"/>
    </row>
    <row r="50" ht="15.75" customHeight="1">
      <c r="A50" s="311"/>
      <c r="E50" s="254" t="s">
        <v>270</v>
      </c>
      <c r="F50" s="25"/>
      <c r="G50" s="25"/>
      <c r="H50" s="25"/>
      <c r="I50" s="25"/>
      <c r="J50" s="331"/>
      <c r="L50" s="319"/>
      <c r="M50" s="325">
        <v>0.0</v>
      </c>
      <c r="N50" s="322"/>
      <c r="O50" s="171"/>
      <c r="P50" s="171"/>
      <c r="Q50" s="171"/>
      <c r="R50" s="171"/>
      <c r="S50" s="171"/>
      <c r="T50" s="171"/>
      <c r="W50" s="325">
        <v>0.0</v>
      </c>
      <c r="X50" s="322"/>
      <c r="Y50" s="171"/>
      <c r="Z50" s="171"/>
      <c r="AA50" s="171"/>
      <c r="AB50" s="171"/>
      <c r="AC50" s="171"/>
      <c r="AD50" s="171"/>
      <c r="AG50" s="325">
        <v>0.0</v>
      </c>
      <c r="AH50" s="322"/>
      <c r="AI50" s="171"/>
      <c r="AJ50" s="171"/>
      <c r="AK50" s="171"/>
      <c r="AL50" s="171"/>
      <c r="AM50" s="171"/>
      <c r="AN50" s="171"/>
      <c r="AP50" s="311"/>
      <c r="AQ50" s="3"/>
      <c r="AR50" s="3"/>
      <c r="AS50" s="3"/>
      <c r="AT50" s="3"/>
      <c r="AU50" s="3"/>
      <c r="AV50" s="3"/>
      <c r="AW50" s="3"/>
      <c r="AX50" s="3"/>
      <c r="AY50" s="3"/>
      <c r="AZ50" s="3"/>
      <c r="BA50" s="3"/>
      <c r="BB50" s="3"/>
      <c r="BC50" s="3"/>
    </row>
    <row r="51" ht="15.75" customHeight="1">
      <c r="A51" s="311"/>
      <c r="E51" s="31"/>
      <c r="F51" s="31"/>
      <c r="G51" s="31"/>
      <c r="H51" s="31"/>
      <c r="I51" s="31"/>
      <c r="J51" s="332"/>
      <c r="L51" s="319"/>
      <c r="M51" s="325">
        <v>0.0</v>
      </c>
      <c r="N51" s="322"/>
      <c r="O51" s="171"/>
      <c r="P51" s="171"/>
      <c r="Q51" s="171"/>
      <c r="R51" s="171"/>
      <c r="S51" s="171"/>
      <c r="T51" s="171"/>
      <c r="W51" s="325">
        <v>0.0</v>
      </c>
      <c r="X51" s="322"/>
      <c r="Y51" s="171"/>
      <c r="Z51" s="171"/>
      <c r="AA51" s="171"/>
      <c r="AB51" s="171"/>
      <c r="AC51" s="171"/>
      <c r="AD51" s="171"/>
      <c r="AG51" s="325">
        <v>0.0</v>
      </c>
      <c r="AH51" s="322"/>
      <c r="AI51" s="171"/>
      <c r="AJ51" s="171"/>
      <c r="AK51" s="171"/>
      <c r="AL51" s="171"/>
      <c r="AM51" s="171"/>
      <c r="AN51" s="171"/>
      <c r="AP51" s="311"/>
      <c r="AQ51" s="3"/>
      <c r="AR51" s="3"/>
      <c r="AS51" s="3"/>
      <c r="AT51" s="3"/>
      <c r="AU51" s="3"/>
      <c r="AV51" s="3"/>
      <c r="AW51" s="3"/>
      <c r="AX51" s="3"/>
      <c r="AY51" s="3"/>
      <c r="AZ51" s="3"/>
      <c r="BA51" s="3"/>
      <c r="BB51" s="3"/>
      <c r="BC51" s="3"/>
    </row>
    <row r="52" ht="15.75" customHeight="1">
      <c r="A52" s="311"/>
      <c r="E52" s="319"/>
      <c r="F52" s="319"/>
      <c r="G52" s="330"/>
      <c r="H52" s="330"/>
      <c r="I52" s="319"/>
      <c r="J52" s="319"/>
      <c r="L52" s="319"/>
      <c r="M52" s="325">
        <v>0.0</v>
      </c>
      <c r="N52" s="322"/>
      <c r="O52" s="171"/>
      <c r="P52" s="171"/>
      <c r="Q52" s="171"/>
      <c r="R52" s="171"/>
      <c r="S52" s="171"/>
      <c r="T52" s="171"/>
      <c r="W52" s="325">
        <v>0.0</v>
      </c>
      <c r="X52" s="322"/>
      <c r="Y52" s="171"/>
      <c r="Z52" s="171"/>
      <c r="AA52" s="171"/>
      <c r="AB52" s="171"/>
      <c r="AC52" s="171"/>
      <c r="AD52" s="171"/>
      <c r="AG52" s="325">
        <v>0.0</v>
      </c>
      <c r="AH52" s="322"/>
      <c r="AI52" s="171"/>
      <c r="AJ52" s="171"/>
      <c r="AK52" s="171"/>
      <c r="AL52" s="171"/>
      <c r="AM52" s="171"/>
      <c r="AN52" s="171"/>
      <c r="AP52" s="311"/>
      <c r="AQ52" s="336"/>
      <c r="AR52" s="336"/>
      <c r="AS52" s="336"/>
      <c r="AT52" s="336"/>
      <c r="AU52" s="336"/>
      <c r="AV52" s="336"/>
      <c r="AW52" s="336"/>
      <c r="AX52" s="336"/>
      <c r="AY52" s="336"/>
      <c r="AZ52" s="336"/>
      <c r="BA52" s="336"/>
      <c r="BB52" s="336"/>
      <c r="BC52" s="336"/>
    </row>
    <row r="53" ht="15.75" customHeight="1">
      <c r="A53" s="311"/>
      <c r="C53" s="270"/>
      <c r="D53" s="256"/>
      <c r="E53" s="256"/>
      <c r="F53" s="256"/>
      <c r="G53" s="256"/>
      <c r="H53" s="256"/>
      <c r="I53" s="256"/>
      <c r="J53" s="256"/>
      <c r="K53" s="256"/>
      <c r="L53" s="256"/>
      <c r="M53" s="256"/>
      <c r="N53" s="256"/>
      <c r="O53" s="256"/>
      <c r="P53" s="256"/>
      <c r="Q53" s="256"/>
      <c r="R53" s="256"/>
      <c r="S53" s="256"/>
      <c r="T53" s="256"/>
      <c r="U53" s="256"/>
      <c r="V53" s="256"/>
      <c r="W53" s="256"/>
      <c r="X53" s="256"/>
      <c r="Y53" s="256"/>
      <c r="Z53" s="256"/>
      <c r="AA53" s="256"/>
      <c r="AB53" s="256"/>
      <c r="AC53" s="256"/>
      <c r="AD53" s="256"/>
      <c r="AE53" s="256"/>
      <c r="AF53" s="256"/>
      <c r="AG53" s="256"/>
      <c r="AH53" s="256"/>
      <c r="AI53" s="256"/>
      <c r="AJ53" s="256"/>
      <c r="AK53" s="256"/>
      <c r="AL53" s="256"/>
      <c r="AM53" s="256"/>
      <c r="AN53" s="256"/>
      <c r="AP53" s="311"/>
      <c r="AQ53" s="336"/>
      <c r="AR53" s="336"/>
      <c r="AS53" s="336"/>
      <c r="AT53" s="336"/>
      <c r="AU53" s="336"/>
      <c r="AV53" s="336"/>
      <c r="AW53" s="336"/>
      <c r="AX53" s="336"/>
      <c r="AY53" s="336"/>
      <c r="AZ53" s="336"/>
      <c r="BA53" s="336"/>
      <c r="BB53" s="336"/>
      <c r="BC53" s="336"/>
    </row>
    <row r="54" ht="15.75" customHeight="1">
      <c r="A54" s="311"/>
      <c r="B54" s="245" t="str">
        <f>IMAGE("http://i.imgur.com/BMbfOFs.png")</f>
        <v/>
      </c>
      <c r="C54" s="325">
        <v>0.0</v>
      </c>
      <c r="D54" s="322"/>
      <c r="E54" s="171"/>
      <c r="F54" s="171"/>
      <c r="G54" s="171"/>
      <c r="H54" s="171"/>
      <c r="I54" s="171"/>
      <c r="J54" s="171"/>
      <c r="K54" s="326" t="str">
        <f>IMAGE("http://i.imgur.com/1atTEws.png",3)</f>
        <v/>
      </c>
      <c r="M54" s="325">
        <v>0.0</v>
      </c>
      <c r="N54" s="322"/>
      <c r="O54" s="171"/>
      <c r="P54" s="171"/>
      <c r="Q54" s="171"/>
      <c r="R54" s="171"/>
      <c r="S54" s="171"/>
      <c r="T54" s="171"/>
      <c r="U54" s="326" t="str">
        <f>IMAGE("http://i.imgur.com/1atTEws.png",3)</f>
        <v/>
      </c>
      <c r="W54" s="325">
        <v>0.0</v>
      </c>
      <c r="X54" s="322"/>
      <c r="Y54" s="171"/>
      <c r="Z54" s="171"/>
      <c r="AA54" s="171"/>
      <c r="AB54" s="171"/>
      <c r="AC54" s="171"/>
      <c r="AD54" s="171"/>
      <c r="AE54" s="245"/>
      <c r="AF54" s="245" t="str">
        <f>IMAGE("http://i.imgur.com/4gaCjL0.png",2)</f>
        <v/>
      </c>
      <c r="AG54" s="334"/>
      <c r="AH54" s="334"/>
      <c r="AI54" s="245"/>
      <c r="AJ54" s="245"/>
      <c r="AK54" s="334"/>
      <c r="AL54" s="334"/>
      <c r="AM54" s="245" t="str">
        <f>IMAGE("http://i.imgur.com/OR783hS.png",2)</f>
        <v/>
      </c>
      <c r="AO54" s="245" t="str">
        <f>IMAGE("http://i.imgur.com/Pb1Q0X9.png")</f>
        <v/>
      </c>
      <c r="AP54" s="311"/>
      <c r="AQ54" s="336"/>
      <c r="AR54" s="336"/>
      <c r="AS54" s="336"/>
      <c r="AT54" s="336"/>
      <c r="AU54" s="336"/>
      <c r="AV54" s="336"/>
      <c r="AW54" s="336"/>
      <c r="AX54" s="336"/>
      <c r="AY54" s="336"/>
      <c r="AZ54" s="336"/>
      <c r="BA54" s="336"/>
      <c r="BB54" s="336"/>
      <c r="BC54" s="336"/>
    </row>
    <row r="55" ht="15.75" customHeight="1">
      <c r="A55" s="311"/>
      <c r="C55" s="325">
        <v>0.0</v>
      </c>
      <c r="D55" s="322"/>
      <c r="E55" s="171"/>
      <c r="F55" s="171"/>
      <c r="G55" s="171"/>
      <c r="H55" s="171"/>
      <c r="I55" s="171"/>
      <c r="J55" s="171"/>
      <c r="M55" s="325">
        <v>0.0</v>
      </c>
      <c r="N55" s="322"/>
      <c r="O55" s="171"/>
      <c r="P55" s="171"/>
      <c r="Q55" s="171"/>
      <c r="R55" s="171"/>
      <c r="S55" s="171"/>
      <c r="T55" s="171"/>
      <c r="W55" s="325">
        <v>0.0</v>
      </c>
      <c r="X55" s="322"/>
      <c r="Y55" s="171"/>
      <c r="Z55" s="171"/>
      <c r="AA55" s="171"/>
      <c r="AB55" s="171"/>
      <c r="AC55" s="171"/>
      <c r="AD55" s="171"/>
      <c r="AE55" s="245"/>
      <c r="AG55" s="254" t="s">
        <v>271</v>
      </c>
      <c r="AH55" s="25"/>
      <c r="AI55" s="25"/>
      <c r="AJ55" s="25"/>
      <c r="AK55" s="25"/>
      <c r="AL55" s="265"/>
      <c r="AP55" s="311"/>
      <c r="AQ55" s="336"/>
      <c r="AR55" s="336"/>
      <c r="AS55" s="336"/>
      <c r="AT55" s="336"/>
      <c r="AU55" s="336"/>
      <c r="AV55" s="336"/>
      <c r="AW55" s="336"/>
      <c r="AX55" s="336"/>
      <c r="AY55" s="336"/>
      <c r="AZ55" s="336"/>
      <c r="BA55" s="336"/>
      <c r="BB55" s="336"/>
      <c r="BC55" s="336"/>
    </row>
    <row r="56" ht="15.75" customHeight="1">
      <c r="A56" s="311"/>
      <c r="C56" s="325">
        <v>0.0</v>
      </c>
      <c r="D56" s="322"/>
      <c r="E56" s="171"/>
      <c r="F56" s="171"/>
      <c r="G56" s="171"/>
      <c r="H56" s="171"/>
      <c r="I56" s="171"/>
      <c r="J56" s="171"/>
      <c r="M56" s="325">
        <v>0.0</v>
      </c>
      <c r="N56" s="322"/>
      <c r="O56" s="171"/>
      <c r="P56" s="171"/>
      <c r="Q56" s="171"/>
      <c r="R56" s="171"/>
      <c r="S56" s="171"/>
      <c r="T56" s="171"/>
      <c r="W56" s="325">
        <v>0.0</v>
      </c>
      <c r="X56" s="322"/>
      <c r="Y56" s="171"/>
      <c r="Z56" s="171"/>
      <c r="AA56" s="171"/>
      <c r="AB56" s="171"/>
      <c r="AC56" s="171"/>
      <c r="AD56" s="171"/>
      <c r="AE56" s="245"/>
      <c r="AG56" s="31"/>
      <c r="AH56" s="31"/>
      <c r="AI56" s="31"/>
      <c r="AJ56" s="31"/>
      <c r="AK56" s="31"/>
      <c r="AL56" s="328"/>
      <c r="AP56" s="311"/>
      <c r="AQ56" s="336"/>
      <c r="AR56" s="336"/>
      <c r="AS56" s="336"/>
      <c r="AT56" s="336"/>
      <c r="AU56" s="336"/>
      <c r="AV56" s="336"/>
      <c r="AW56" s="336"/>
      <c r="AX56" s="336"/>
      <c r="AY56" s="336"/>
      <c r="AZ56" s="336"/>
      <c r="BA56" s="336"/>
      <c r="BB56" s="336"/>
      <c r="BC56" s="336"/>
    </row>
    <row r="57" ht="15.75" customHeight="1">
      <c r="A57" s="31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G57" s="270"/>
      <c r="AH57" s="270"/>
      <c r="AI57" s="337"/>
      <c r="AJ57" s="337"/>
      <c r="AK57" s="270"/>
      <c r="AL57" s="270"/>
      <c r="AM57" s="42"/>
      <c r="AN57" s="42"/>
      <c r="AP57" s="311"/>
      <c r="AQ57" s="336"/>
      <c r="AR57" s="336"/>
      <c r="AS57" s="336"/>
      <c r="AT57" s="336"/>
      <c r="AU57" s="336"/>
      <c r="AV57" s="336"/>
      <c r="AW57" s="336"/>
      <c r="AX57" s="336"/>
      <c r="AY57" s="336"/>
      <c r="AZ57" s="336"/>
      <c r="BA57" s="336"/>
      <c r="BB57" s="336"/>
      <c r="BC57" s="336"/>
    </row>
    <row r="58" ht="15.75" customHeight="1">
      <c r="A58" s="311"/>
      <c r="B58" s="245" t="str">
        <f>IMAGE("http://i.imgur.com/BMbfOFs.png")</f>
        <v/>
      </c>
      <c r="C58" s="329" t="str">
        <f>IMAGE("http://i.imgur.com/L1yfsX1.png",2)</f>
        <v/>
      </c>
      <c r="E58" s="334"/>
      <c r="G58" s="330"/>
      <c r="H58" s="330"/>
      <c r="I58" s="334"/>
      <c r="K58" s="319" t="str">
        <f>IMAGE("http://i.imgur.com/GYlWKEy.png",2)</f>
        <v/>
      </c>
      <c r="L58" s="319"/>
      <c r="M58" s="325">
        <v>0.0</v>
      </c>
      <c r="N58" s="322"/>
      <c r="O58" s="171"/>
      <c r="P58" s="171"/>
      <c r="Q58" s="171"/>
      <c r="R58" s="171"/>
      <c r="S58" s="171"/>
      <c r="T58" s="171"/>
      <c r="U58" s="326" t="str">
        <f>IMAGE("http://i.imgur.com/1atTEws.png",3)</f>
        <v/>
      </c>
      <c r="W58" s="325">
        <v>0.0</v>
      </c>
      <c r="X58" s="322"/>
      <c r="Y58" s="171"/>
      <c r="Z58" s="171"/>
      <c r="AA58" s="171"/>
      <c r="AB58" s="171"/>
      <c r="AC58" s="171"/>
      <c r="AD58" s="171"/>
      <c r="AE58" s="326" t="str">
        <f>IMAGE("http://i.imgur.com/1atTEws.png",3)</f>
        <v/>
      </c>
      <c r="AG58" s="325">
        <v>0.0</v>
      </c>
      <c r="AH58" s="322"/>
      <c r="AI58" s="171"/>
      <c r="AJ58" s="171"/>
      <c r="AK58" s="171"/>
      <c r="AL58" s="171"/>
      <c r="AM58" s="171"/>
      <c r="AN58" s="171"/>
      <c r="AO58" s="245" t="str">
        <f>IMAGE("http://i.imgur.com/Pb1Q0X9.png")</f>
        <v/>
      </c>
      <c r="AP58" s="311"/>
      <c r="AQ58" s="336"/>
      <c r="AR58" s="336"/>
      <c r="AS58" s="336"/>
      <c r="AT58" s="336"/>
      <c r="AU58" s="336"/>
      <c r="AV58" s="336"/>
      <c r="AW58" s="336"/>
      <c r="AX58" s="336"/>
      <c r="AY58" s="336"/>
      <c r="AZ58" s="336"/>
      <c r="BA58" s="336"/>
      <c r="BB58" s="336"/>
      <c r="BC58" s="336"/>
    </row>
    <row r="59" ht="15.75" customHeight="1">
      <c r="A59" s="311"/>
      <c r="E59" s="254" t="s">
        <v>272</v>
      </c>
      <c r="F59" s="25"/>
      <c r="G59" s="25"/>
      <c r="H59" s="25"/>
      <c r="I59" s="25"/>
      <c r="J59" s="331"/>
      <c r="L59" s="319"/>
      <c r="M59" s="325">
        <v>0.0</v>
      </c>
      <c r="N59" s="322"/>
      <c r="O59" s="171"/>
      <c r="P59" s="171"/>
      <c r="Q59" s="171"/>
      <c r="R59" s="171"/>
      <c r="S59" s="171"/>
      <c r="T59" s="171"/>
      <c r="W59" s="325">
        <v>0.0</v>
      </c>
      <c r="X59" s="322"/>
      <c r="Y59" s="171"/>
      <c r="Z59" s="171"/>
      <c r="AA59" s="171"/>
      <c r="AB59" s="171"/>
      <c r="AC59" s="171"/>
      <c r="AD59" s="171"/>
      <c r="AG59" s="325">
        <v>0.0</v>
      </c>
      <c r="AH59" s="322"/>
      <c r="AI59" s="171"/>
      <c r="AJ59" s="171"/>
      <c r="AK59" s="171"/>
      <c r="AL59" s="171"/>
      <c r="AM59" s="171"/>
      <c r="AN59" s="171"/>
      <c r="AP59" s="311"/>
      <c r="AQ59" s="336"/>
      <c r="AR59" s="336"/>
      <c r="AS59" s="336"/>
      <c r="AT59" s="336"/>
      <c r="AU59" s="336"/>
      <c r="AV59" s="336"/>
      <c r="AW59" s="336"/>
      <c r="AX59" s="336"/>
      <c r="AY59" s="336"/>
      <c r="AZ59" s="336"/>
      <c r="BA59" s="336"/>
      <c r="BB59" s="336"/>
      <c r="BC59" s="336"/>
    </row>
    <row r="60" ht="15.75" customHeight="1">
      <c r="A60" s="311"/>
      <c r="E60" s="31"/>
      <c r="F60" s="31"/>
      <c r="G60" s="31"/>
      <c r="H60" s="31"/>
      <c r="I60" s="31"/>
      <c r="J60" s="332"/>
      <c r="L60" s="319"/>
      <c r="M60" s="325">
        <v>0.0</v>
      </c>
      <c r="N60" s="322"/>
      <c r="O60" s="171"/>
      <c r="P60" s="171"/>
      <c r="Q60" s="171"/>
      <c r="R60" s="171"/>
      <c r="S60" s="171"/>
      <c r="T60" s="171"/>
      <c r="W60" s="325">
        <v>0.0</v>
      </c>
      <c r="X60" s="322"/>
      <c r="Y60" s="171"/>
      <c r="Z60" s="171"/>
      <c r="AA60" s="171"/>
      <c r="AB60" s="171"/>
      <c r="AC60" s="171"/>
      <c r="AD60" s="171"/>
      <c r="AG60" s="325">
        <v>0.0</v>
      </c>
      <c r="AH60" s="322"/>
      <c r="AI60" s="171"/>
      <c r="AJ60" s="171"/>
      <c r="AK60" s="171"/>
      <c r="AL60" s="171"/>
      <c r="AM60" s="171"/>
      <c r="AN60" s="171"/>
      <c r="AP60" s="311"/>
      <c r="AQ60" s="336"/>
      <c r="AR60" s="336"/>
      <c r="AS60" s="336"/>
      <c r="AT60" s="336"/>
      <c r="AU60" s="336"/>
      <c r="AV60" s="336"/>
      <c r="AW60" s="336"/>
      <c r="AX60" s="336"/>
      <c r="AY60" s="336"/>
      <c r="AZ60" s="336"/>
      <c r="BA60" s="336"/>
      <c r="BB60" s="336"/>
      <c r="BC60" s="336"/>
    </row>
    <row r="61" ht="15.75" customHeight="1">
      <c r="A61" s="311"/>
      <c r="C61" s="42"/>
      <c r="D61" s="42"/>
      <c r="E61" s="324"/>
      <c r="F61" s="324"/>
      <c r="G61" s="338"/>
      <c r="H61" s="338"/>
      <c r="I61" s="324"/>
      <c r="J61" s="324"/>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P61" s="311"/>
      <c r="AQ61" s="336"/>
      <c r="AR61" s="336"/>
      <c r="AS61" s="336"/>
      <c r="AT61" s="336"/>
      <c r="AU61" s="336"/>
      <c r="AV61" s="336"/>
      <c r="AW61" s="336"/>
      <c r="AX61" s="336"/>
      <c r="AY61" s="336"/>
      <c r="AZ61" s="336"/>
      <c r="BA61" s="336"/>
      <c r="BB61" s="336"/>
      <c r="BC61" s="336"/>
    </row>
    <row r="62" ht="15.75" customHeight="1">
      <c r="A62" s="311"/>
      <c r="B62" s="245" t="str">
        <f>IMAGE("http://i.imgur.com/BMbfOFs.png")</f>
        <v/>
      </c>
      <c r="C62" s="325">
        <v>0.0</v>
      </c>
      <c r="D62" s="322"/>
      <c r="E62" s="171"/>
      <c r="F62" s="171"/>
      <c r="G62" s="171"/>
      <c r="H62" s="171"/>
      <c r="I62" s="171"/>
      <c r="J62" s="171"/>
      <c r="K62" s="326" t="str">
        <f>IMAGE("http://i.imgur.com/1atTEws.png",3)</f>
        <v/>
      </c>
      <c r="M62" s="325">
        <v>0.0</v>
      </c>
      <c r="N62" s="322"/>
      <c r="O62" s="171"/>
      <c r="P62" s="171"/>
      <c r="Q62" s="171"/>
      <c r="R62" s="171"/>
      <c r="S62" s="171"/>
      <c r="T62" s="171"/>
      <c r="U62" s="326" t="str">
        <f>IMAGE("http://i.imgur.com/1atTEws.png",3)</f>
        <v/>
      </c>
      <c r="W62" s="325">
        <v>0.0</v>
      </c>
      <c r="X62" s="322"/>
      <c r="Y62" s="171"/>
      <c r="Z62" s="171"/>
      <c r="AA62" s="171"/>
      <c r="AB62" s="171"/>
      <c r="AC62" s="171"/>
      <c r="AD62" s="171"/>
      <c r="AE62" s="245"/>
      <c r="AF62" s="245" t="str">
        <f>IMAGE("http://i.imgur.com/4gaCjL0.png",2)</f>
        <v/>
      </c>
      <c r="AG62" s="334"/>
      <c r="AH62" s="334"/>
      <c r="AI62" s="245"/>
      <c r="AJ62" s="245"/>
      <c r="AK62" s="334"/>
      <c r="AL62" s="334"/>
      <c r="AM62" s="245" t="str">
        <f>IMAGE("http://i.imgur.com/xud2MwT.png",2)</f>
        <v/>
      </c>
      <c r="AO62" s="245" t="str">
        <f>IMAGE("http://i.imgur.com/Pb1Q0X9.png")</f>
        <v/>
      </c>
      <c r="AP62" s="311"/>
      <c r="AQ62" s="336"/>
      <c r="AR62" s="336"/>
      <c r="AS62" s="336"/>
      <c r="AT62" s="336"/>
      <c r="AU62" s="336"/>
      <c r="AV62" s="336"/>
      <c r="AW62" s="336"/>
      <c r="AX62" s="336"/>
      <c r="AY62" s="336"/>
      <c r="AZ62" s="336"/>
      <c r="BA62" s="336"/>
      <c r="BB62" s="336"/>
      <c r="BC62" s="336"/>
    </row>
    <row r="63" ht="15.75" customHeight="1">
      <c r="A63" s="311"/>
      <c r="C63" s="325">
        <v>0.0</v>
      </c>
      <c r="D63" s="322"/>
      <c r="E63" s="171"/>
      <c r="F63" s="171"/>
      <c r="G63" s="171"/>
      <c r="H63" s="171"/>
      <c r="I63" s="171"/>
      <c r="J63" s="171"/>
      <c r="M63" s="325">
        <v>0.0</v>
      </c>
      <c r="N63" s="322"/>
      <c r="O63" s="171"/>
      <c r="P63" s="171"/>
      <c r="Q63" s="171"/>
      <c r="R63" s="171"/>
      <c r="S63" s="171"/>
      <c r="T63" s="171"/>
      <c r="W63" s="325">
        <v>0.0</v>
      </c>
      <c r="X63" s="322"/>
      <c r="Y63" s="171"/>
      <c r="Z63" s="171"/>
      <c r="AA63" s="171"/>
      <c r="AB63" s="171"/>
      <c r="AC63" s="171"/>
      <c r="AD63" s="171"/>
      <c r="AE63" s="245"/>
      <c r="AG63" s="254" t="s">
        <v>273</v>
      </c>
      <c r="AH63" s="25"/>
      <c r="AI63" s="25"/>
      <c r="AJ63" s="25"/>
      <c r="AK63" s="25"/>
      <c r="AL63" s="265"/>
      <c r="AP63" s="311"/>
      <c r="AQ63" s="336"/>
      <c r="AR63" s="336"/>
      <c r="AS63" s="336"/>
      <c r="AT63" s="336"/>
      <c r="AU63" s="336"/>
      <c r="AV63" s="336"/>
      <c r="AW63" s="336"/>
      <c r="AX63" s="336"/>
      <c r="AY63" s="336"/>
      <c r="AZ63" s="336"/>
      <c r="BA63" s="336"/>
      <c r="BB63" s="336"/>
      <c r="BC63" s="336"/>
    </row>
    <row r="64" ht="15.75" customHeight="1">
      <c r="A64" s="311"/>
      <c r="C64" s="325">
        <v>0.0</v>
      </c>
      <c r="D64" s="322"/>
      <c r="E64" s="171"/>
      <c r="F64" s="171"/>
      <c r="G64" s="171"/>
      <c r="H64" s="171"/>
      <c r="I64" s="171"/>
      <c r="J64" s="171"/>
      <c r="M64" s="325">
        <v>0.0</v>
      </c>
      <c r="N64" s="322"/>
      <c r="O64" s="171"/>
      <c r="P64" s="171"/>
      <c r="Q64" s="171"/>
      <c r="R64" s="171"/>
      <c r="S64" s="171"/>
      <c r="T64" s="171"/>
      <c r="W64" s="325">
        <v>0.0</v>
      </c>
      <c r="X64" s="322"/>
      <c r="Y64" s="171"/>
      <c r="Z64" s="171"/>
      <c r="AA64" s="171"/>
      <c r="AB64" s="171"/>
      <c r="AC64" s="171"/>
      <c r="AD64" s="171"/>
      <c r="AE64" s="245"/>
      <c r="AG64" s="31"/>
      <c r="AH64" s="31"/>
      <c r="AI64" s="31"/>
      <c r="AJ64" s="31"/>
      <c r="AK64" s="31"/>
      <c r="AL64" s="328"/>
      <c r="AP64" s="311"/>
      <c r="AQ64" s="3"/>
      <c r="AR64" s="3"/>
      <c r="AS64" s="3"/>
      <c r="AT64" s="3"/>
      <c r="AU64" s="3"/>
      <c r="AV64" s="3"/>
      <c r="AW64" s="3"/>
      <c r="AX64" s="3"/>
      <c r="AY64" s="3"/>
      <c r="AZ64" s="3"/>
      <c r="BA64" s="3"/>
      <c r="BB64" s="3"/>
      <c r="BC64" s="3"/>
    </row>
    <row r="65" ht="15.75" customHeight="1">
      <c r="A65" s="311"/>
      <c r="C65" s="339"/>
      <c r="D65" s="205"/>
      <c r="E65" s="205"/>
      <c r="F65" s="205"/>
      <c r="G65" s="205"/>
      <c r="H65" s="205"/>
      <c r="I65" s="205"/>
      <c r="J65" s="205"/>
      <c r="K65" s="205"/>
      <c r="L65" s="205"/>
      <c r="M65" s="339"/>
      <c r="N65" s="205"/>
      <c r="O65" s="205"/>
      <c r="P65" s="205"/>
      <c r="Q65" s="205"/>
      <c r="R65" s="205"/>
      <c r="S65" s="205"/>
      <c r="T65" s="205"/>
      <c r="U65" s="205"/>
      <c r="V65" s="205"/>
      <c r="W65" s="340"/>
      <c r="X65" s="205"/>
      <c r="Y65" s="205"/>
      <c r="Z65" s="205"/>
      <c r="AA65" s="205"/>
      <c r="AB65" s="205"/>
      <c r="AC65" s="205"/>
      <c r="AD65" s="205"/>
      <c r="AE65" s="205"/>
      <c r="AG65" s="245"/>
      <c r="AH65" s="245"/>
      <c r="AI65" s="245"/>
      <c r="AJ65" s="245"/>
      <c r="AK65" s="245"/>
      <c r="AL65" s="245"/>
      <c r="AP65" s="311"/>
      <c r="AQ65" s="3"/>
      <c r="AR65" s="3"/>
      <c r="AS65" s="3"/>
      <c r="AT65" s="3"/>
      <c r="AU65" s="3"/>
      <c r="AV65" s="3"/>
      <c r="AW65" s="3"/>
      <c r="AX65" s="3"/>
      <c r="AY65" s="3"/>
      <c r="AZ65" s="3"/>
      <c r="BA65" s="3"/>
      <c r="BB65" s="3"/>
      <c r="BC65" s="3"/>
    </row>
    <row r="66" ht="15.75" customHeight="1">
      <c r="A66" s="311"/>
      <c r="B66" s="245" t="str">
        <f>IMAGE("http://i.imgur.com/MaFA5BQ.png",2)</f>
        <v/>
      </c>
      <c r="AP66" s="311"/>
      <c r="AQ66" s="3" t="s">
        <v>274</v>
      </c>
      <c r="AR66" s="2" t="str">
        <f>IFERROR(__xludf.DUMMYFUNCTION("arrayformula(if(regexmatch(AR79,""resist[a-z ]+?""&amp;AQ66:AQ78&amp;""[a-z ]+?damage""),
  if(find(""damage"",regexextract(AR79,""resist[a-z ]+?""&amp;AQ66:AQ78&amp;""[a-z ]+?damage""))&gt;find(AQ66:AQ78,regexextract(AR79,""resist[a-z ]+?""&amp;AQ66:AQ78&amp;""[a-z ]+?damage"")),r"&amp;"egexextract(AR79,""resist[a-z ]+?""&amp;AQ66:AQ78&amp;""[a-z ]+?damage""),""""),"""")
 &amp;if(isnumber(find(AQ66:AQ78,""bludgeoningpiercingslashing"")),
  if(regexmatch(AR79,""resist[a-z ]+?no[a-z ]+?magical[a-z ]+?damage""),
  if(find(""damage"",regexextract(AR79,"&amp;"""resist[a-z ]+?no[a-z ]+?magical[a-z ]+?damage""))&gt;find(""magical"",regexextract(AR79,""resist[a-z ]+?no[a-z ]+?magical[a-z ]+?damage"")),regexextract(AR79,""resist[a-z ]+?no[a-z ]+?magical[a-z ]+?damage""),""""),""""),""""))"),"")</f>
        <v/>
      </c>
      <c r="AS66" s="2" t="str">
        <f>IFERROR(__xludf.DUMMYFUNCTION("arrayformula(if(regexmatch(AR79,""immun[a-z ]+?""&amp;AQ66:AQ78&amp;""[a-z ]+?damage""),
  if(find(""damage"",regexextract(AR79,""immun[a-z ]+?""&amp;AQ66:AQ78&amp;""[a-z ]+?damage""))&gt;find(AQ66:AQ78,regexextract(AR79,""immun[a-z ]+?""&amp;AQ66:AQ78&amp;""[a-z ]+?damage"")),rege"&amp;"xextract(AR79,""immun[a-z ]+?""&amp;AQ66:AQ78&amp;""[a-z ]+?damage""),""""),"""")
 &amp;if(isnumber(find(AQ66:AQ78,""bludgeoningpiercingslashing"")),
  if(regexmatch(AR79,""immun[a-z ]+?no[a-z ]+?magical[a-z ]+?damage""),
  if(find(""damage"",regexextract(AR79,""immu"&amp;"n[a-z ]+?no[a-z ]+?magical[a-z ]+?damage""))&gt;find(""magical"",regexextract(AR79,""immun[a-z ]+?no[a-z ]+?magical[a-z ]+?damage"")),regexextract(AR79,""immun[a-z ]+?no[a-z ]+?magical[a-z ]+?damage""),""""),""""),""""))"),"")</f>
        <v/>
      </c>
      <c r="AT66" s="2" t="str">
        <f>IFERROR(__xludf.DUMMYFUNCTION("arrayformula(if(regexmatch(AR79,""vulner[a-z ]+?""&amp;AQ66:AQ78&amp;""[a-z ]+?damage""),
  if(find(""damage"",regexextract(AR79,""vulner[a-z ]+?""&amp;AQ66:AQ78&amp;""[a-z ]+?damage""))&gt;find(AQ66:AQ78,regexextract(AR79,""vulner[a-z ]+?""&amp;AQ66:AQ78&amp;""[a-z ]+?damage"")),r"&amp;"egexextract(AR79,""vulner[a-z ]+?""&amp;AQ66:AQ78&amp;""[a-z ]+?damage""),""""),""""))"),"")</f>
        <v/>
      </c>
      <c r="AU66" s="3" t="str">
        <f t="array" ref="AU66:AU78">if(isnumber(find("nonmagical",AR66:AR78)),"Nonmagical ","")&amp;AQ66:AQ78</f>
        <v>bludgeoning</v>
      </c>
      <c r="AV66" s="3" t="str">
        <f t="array" ref="AV66:AV78">if(isnumber(find("nonmagical",AS66:AS78)),"Nonmagical ","")&amp;AQ66:AQ78</f>
        <v>bludgeoning</v>
      </c>
      <c r="AW66" s="3"/>
      <c r="AX66" s="3"/>
      <c r="AY66" s="3"/>
      <c r="AZ66" s="3"/>
      <c r="BA66" s="3"/>
      <c r="BB66" s="3"/>
      <c r="BC66" s="3"/>
    </row>
    <row r="67" ht="15.75" customHeight="1">
      <c r="A67" s="311"/>
      <c r="B67" s="311" t="str">
        <f>IMAGE("https://i.imgur.com/dLCrlMP.png",1)</f>
        <v/>
      </c>
      <c r="C67" s="311"/>
      <c r="D67" s="311"/>
      <c r="E67" s="311"/>
      <c r="F67" s="311"/>
      <c r="G67" s="311"/>
      <c r="H67" s="311"/>
      <c r="I67" s="311"/>
      <c r="J67" s="311"/>
      <c r="K67" s="311"/>
      <c r="L67" s="311"/>
      <c r="M67" s="311"/>
      <c r="N67" s="311"/>
      <c r="O67" s="311"/>
      <c r="P67" s="311"/>
      <c r="Q67" s="311"/>
      <c r="R67" s="311" t="str">
        <f>IMAGE("https://i.imgur.com/UEkMpNa.png",1)</f>
        <v/>
      </c>
      <c r="S67" s="311" t="str">
        <f>IMAGE("https://i.imgur.com/dLCrlMP.png",1)</f>
        <v/>
      </c>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t="str">
        <f>IMAGE("https://i.imgur.com/UEkMpNa.png",1)</f>
        <v/>
      </c>
      <c r="AP67" s="311"/>
      <c r="AQ67" s="3" t="s">
        <v>275</v>
      </c>
      <c r="AR67" s="2" t="str">
        <f>IFERROR(__xludf.DUMMYFUNCTION("""COMPUTED_VALUE"""),"")</f>
        <v/>
      </c>
      <c r="AS67" s="2" t="str">
        <f>IFERROR(__xludf.DUMMYFUNCTION("""COMPUTED_VALUE"""),"")</f>
        <v/>
      </c>
      <c r="AT67" s="2" t="str">
        <f>IFERROR(__xludf.DUMMYFUNCTION("""COMPUTED_VALUE"""),"")</f>
        <v/>
      </c>
      <c r="AU67" s="3" t="s">
        <v>275</v>
      </c>
      <c r="AV67" s="3" t="s">
        <v>275</v>
      </c>
      <c r="AW67" s="3"/>
      <c r="AX67" s="3"/>
      <c r="AY67" s="3"/>
      <c r="AZ67" s="3"/>
      <c r="BA67" s="3"/>
      <c r="BB67" s="3"/>
      <c r="BC67" s="3"/>
    </row>
    <row r="68" ht="15.75" customHeight="1">
      <c r="A68" s="311"/>
      <c r="C68" s="341" t="s">
        <v>276</v>
      </c>
      <c r="D68" s="25"/>
      <c r="E68" s="25"/>
      <c r="F68" s="25"/>
      <c r="G68" s="25"/>
      <c r="H68" s="25"/>
      <c r="I68" s="25"/>
      <c r="J68" s="25"/>
      <c r="K68" s="25"/>
      <c r="L68" s="25"/>
      <c r="M68" s="315"/>
      <c r="N68" s="341" t="s">
        <v>4</v>
      </c>
      <c r="O68" s="25"/>
      <c r="P68" s="25"/>
      <c r="Q68" s="25"/>
      <c r="T68" s="341" t="s">
        <v>277</v>
      </c>
      <c r="U68" s="25"/>
      <c r="V68" s="25"/>
      <c r="W68" s="25"/>
      <c r="X68" s="25"/>
      <c r="Y68" s="25"/>
      <c r="Z68" s="25"/>
      <c r="AA68" s="314"/>
      <c r="AB68" s="341" t="s">
        <v>278</v>
      </c>
      <c r="AC68" s="25"/>
      <c r="AD68" s="25"/>
      <c r="AE68" s="25"/>
      <c r="AF68" s="25"/>
      <c r="AG68" s="25"/>
      <c r="AH68" s="341"/>
      <c r="AI68" s="341" t="s">
        <v>279</v>
      </c>
      <c r="AJ68" s="25"/>
      <c r="AK68" s="25"/>
      <c r="AL68" s="25"/>
      <c r="AM68" s="25"/>
      <c r="AN68" s="25"/>
      <c r="AP68" s="311"/>
      <c r="AQ68" s="3" t="s">
        <v>280</v>
      </c>
      <c r="AR68" s="2" t="str">
        <f>IFERROR(__xludf.DUMMYFUNCTION("""COMPUTED_VALUE"""),"")</f>
        <v/>
      </c>
      <c r="AS68" s="2" t="str">
        <f>IFERROR(__xludf.DUMMYFUNCTION("""COMPUTED_VALUE"""),"")</f>
        <v/>
      </c>
      <c r="AT68" s="2" t="str">
        <f>IFERROR(__xludf.DUMMYFUNCTION("""COMPUTED_VALUE"""),"")</f>
        <v/>
      </c>
      <c r="AU68" s="3" t="s">
        <v>280</v>
      </c>
      <c r="AV68" s="3" t="s">
        <v>280</v>
      </c>
      <c r="AW68" s="3"/>
      <c r="AX68" s="3"/>
      <c r="AY68" s="3"/>
      <c r="AZ68" s="3"/>
      <c r="BA68" s="3"/>
      <c r="BB68" s="3"/>
      <c r="BC68" s="3"/>
    </row>
    <row r="69" ht="15.75" customHeight="1">
      <c r="A69" s="311"/>
      <c r="C69" s="163" t="str">
        <f t="array" ref="C69:C78">substitute(v2.1!$AR$6:$AR$15," ","")</f>
        <v>Wizard</v>
      </c>
      <c r="D69" s="156"/>
      <c r="E69" s="156"/>
      <c r="F69" s="156"/>
      <c r="G69" s="156"/>
      <c r="H69" s="156"/>
      <c r="I69" s="156"/>
      <c r="J69" s="156"/>
      <c r="K69" s="156"/>
      <c r="L69" s="156"/>
      <c r="M69" s="157" t="str">
        <f t="shared" ref="M69:M79" si="5">IMAGE("http://i.imgur.com/qlVxTyw.png",3)</f>
        <v/>
      </c>
      <c r="N69" s="285">
        <f t="array" ref="N69:N78">if(C69:C78&lt;&gt;"",vlookup(C69:C78,v2.1!AR6:AT15,3,false),"")</f>
        <v>8</v>
      </c>
      <c r="O69" s="156"/>
      <c r="P69" s="156"/>
      <c r="Q69" s="156"/>
      <c r="T69" s="163" t="str">
        <f>IFERROR(__xludf.DUMMYFUNCTION("iferror(filter(proper(AU66:AU78),AR66:AR78&lt;&gt;"""",AS66:AS78="""",AT66:AT78=""""),"""")"),"")</f>
        <v/>
      </c>
      <c r="U69" s="156"/>
      <c r="V69" s="156"/>
      <c r="W69" s="156"/>
      <c r="X69" s="156"/>
      <c r="Y69" s="156"/>
      <c r="Z69" s="156"/>
      <c r="AA69" s="157" t="str">
        <f t="shared" ref="AA69:AA79" si="6">IMAGE("http://i.imgur.com/qlVxTyw.png",3)</f>
        <v/>
      </c>
      <c r="AB69" s="163" t="str">
        <f>IFERROR(__xludf.DUMMYFUNCTION("iferror(filter(proper(AV66:AV78),AS66:AS78&lt;&gt;""""),"""")"),"")</f>
        <v/>
      </c>
      <c r="AC69" s="156"/>
      <c r="AD69" s="156"/>
      <c r="AE69" s="156"/>
      <c r="AF69" s="156"/>
      <c r="AG69" s="156"/>
      <c r="AH69" s="157" t="str">
        <f t="shared" ref="AH69:AH79" si="7">IMAGE("http://i.imgur.com/qlVxTyw.png",3)</f>
        <v/>
      </c>
      <c r="AI69" s="163" t="str">
        <f>IFERROR(__xludf.DUMMYFUNCTION("iferror(filter(proper(AQ66:AQ78),AR66:AR78="""",AS66:AS78="""",AT66:AT78&lt;&gt;""""),"""")"),"")</f>
        <v/>
      </c>
      <c r="AJ69" s="156"/>
      <c r="AK69" s="156"/>
      <c r="AL69" s="156"/>
      <c r="AM69" s="156"/>
      <c r="AN69" s="156"/>
      <c r="AP69" s="311"/>
      <c r="AQ69" s="3" t="s">
        <v>281</v>
      </c>
      <c r="AR69" s="2" t="str">
        <f>IFERROR(__xludf.DUMMYFUNCTION("""COMPUTED_VALUE"""),"")</f>
        <v/>
      </c>
      <c r="AS69" s="2" t="str">
        <f>IFERROR(__xludf.DUMMYFUNCTION("""COMPUTED_VALUE"""),"")</f>
        <v/>
      </c>
      <c r="AT69" s="2" t="str">
        <f>IFERROR(__xludf.DUMMYFUNCTION("""COMPUTED_VALUE"""),"")</f>
        <v/>
      </c>
      <c r="AU69" s="3" t="s">
        <v>281</v>
      </c>
      <c r="AV69" s="3" t="s">
        <v>281</v>
      </c>
      <c r="AW69" s="3"/>
      <c r="AX69" s="3"/>
      <c r="AY69" s="3"/>
      <c r="AZ69" s="3"/>
      <c r="BA69" s="3"/>
      <c r="BB69" s="3"/>
      <c r="BC69" s="3"/>
    </row>
    <row r="70" ht="15.75" customHeight="1">
      <c r="A70" s="311"/>
      <c r="C70" s="163" t="s">
        <v>9</v>
      </c>
      <c r="D70" s="156"/>
      <c r="E70" s="156"/>
      <c r="F70" s="156"/>
      <c r="G70" s="156"/>
      <c r="H70" s="156"/>
      <c r="I70" s="156"/>
      <c r="J70" s="156"/>
      <c r="K70" s="156"/>
      <c r="L70" s="156"/>
      <c r="M70" s="157" t="str">
        <f t="shared" si="5"/>
        <v/>
      </c>
      <c r="N70" s="285" t="s">
        <v>9</v>
      </c>
      <c r="O70" s="156"/>
      <c r="P70" s="156"/>
      <c r="Q70" s="156"/>
      <c r="T70" s="163"/>
      <c r="U70" s="156"/>
      <c r="V70" s="156"/>
      <c r="W70" s="156"/>
      <c r="X70" s="156"/>
      <c r="Y70" s="156"/>
      <c r="Z70" s="156"/>
      <c r="AA70" s="157" t="str">
        <f t="shared" si="6"/>
        <v/>
      </c>
      <c r="AB70" s="163"/>
      <c r="AC70" s="156"/>
      <c r="AD70" s="156"/>
      <c r="AE70" s="156"/>
      <c r="AF70" s="156"/>
      <c r="AG70" s="156"/>
      <c r="AH70" s="157" t="str">
        <f t="shared" si="7"/>
        <v/>
      </c>
      <c r="AI70" s="163"/>
      <c r="AJ70" s="156"/>
      <c r="AK70" s="156"/>
      <c r="AL70" s="156"/>
      <c r="AM70" s="156"/>
      <c r="AN70" s="156"/>
      <c r="AP70" s="311"/>
      <c r="AQ70" s="3" t="s">
        <v>282</v>
      </c>
      <c r="AR70" s="2" t="str">
        <f>IFERROR(__xludf.DUMMYFUNCTION("""COMPUTED_VALUE"""),"")</f>
        <v/>
      </c>
      <c r="AS70" s="2" t="str">
        <f>IFERROR(__xludf.DUMMYFUNCTION("""COMPUTED_VALUE"""),"")</f>
        <v/>
      </c>
      <c r="AT70" s="2" t="str">
        <f>IFERROR(__xludf.DUMMYFUNCTION("""COMPUTED_VALUE"""),"")</f>
        <v/>
      </c>
      <c r="AU70" s="3" t="s">
        <v>282</v>
      </c>
      <c r="AV70" s="3" t="s">
        <v>282</v>
      </c>
      <c r="AW70" s="3"/>
      <c r="AX70" s="3"/>
      <c r="AY70" s="3"/>
      <c r="AZ70" s="3"/>
      <c r="BA70" s="3"/>
      <c r="BB70" s="3"/>
      <c r="BC70" s="3"/>
    </row>
    <row r="71" ht="15.75" customHeight="1">
      <c r="A71" s="311"/>
      <c r="C71" s="163" t="s">
        <v>9</v>
      </c>
      <c r="D71" s="156"/>
      <c r="E71" s="156"/>
      <c r="F71" s="156"/>
      <c r="G71" s="156"/>
      <c r="H71" s="156"/>
      <c r="I71" s="156"/>
      <c r="J71" s="156"/>
      <c r="K71" s="156"/>
      <c r="L71" s="156"/>
      <c r="M71" s="316" t="str">
        <f t="shared" si="5"/>
        <v/>
      </c>
      <c r="N71" s="285" t="s">
        <v>9</v>
      </c>
      <c r="O71" s="156"/>
      <c r="P71" s="156"/>
      <c r="Q71" s="156"/>
      <c r="T71" s="163"/>
      <c r="U71" s="156"/>
      <c r="V71" s="156"/>
      <c r="W71" s="156"/>
      <c r="X71" s="156"/>
      <c r="Y71" s="156"/>
      <c r="Z71" s="156"/>
      <c r="AA71" s="316" t="str">
        <f t="shared" si="6"/>
        <v/>
      </c>
      <c r="AB71" s="163"/>
      <c r="AC71" s="156"/>
      <c r="AD71" s="156"/>
      <c r="AE71" s="156"/>
      <c r="AF71" s="156"/>
      <c r="AG71" s="156"/>
      <c r="AH71" s="316" t="str">
        <f t="shared" si="7"/>
        <v/>
      </c>
      <c r="AI71" s="163"/>
      <c r="AJ71" s="156"/>
      <c r="AK71" s="156"/>
      <c r="AL71" s="156"/>
      <c r="AM71" s="156"/>
      <c r="AN71" s="156"/>
      <c r="AP71" s="311"/>
      <c r="AQ71" s="3" t="s">
        <v>283</v>
      </c>
      <c r="AR71" s="2" t="str">
        <f>IFERROR(__xludf.DUMMYFUNCTION("""COMPUTED_VALUE"""),"")</f>
        <v/>
      </c>
      <c r="AS71" s="2" t="str">
        <f>IFERROR(__xludf.DUMMYFUNCTION("""COMPUTED_VALUE"""),"")</f>
        <v/>
      </c>
      <c r="AT71" s="2" t="str">
        <f>IFERROR(__xludf.DUMMYFUNCTION("""COMPUTED_VALUE"""),"")</f>
        <v/>
      </c>
      <c r="AU71" s="3" t="s">
        <v>283</v>
      </c>
      <c r="AV71" s="3" t="s">
        <v>283</v>
      </c>
      <c r="AW71" s="3"/>
      <c r="AX71" s="3"/>
      <c r="AY71" s="3"/>
      <c r="AZ71" s="3"/>
      <c r="BA71" s="3"/>
      <c r="BB71" s="3"/>
      <c r="BC71" s="3"/>
    </row>
    <row r="72" ht="15.75" customHeight="1">
      <c r="A72" s="311"/>
      <c r="C72" s="163" t="s">
        <v>9</v>
      </c>
      <c r="D72" s="156"/>
      <c r="E72" s="156"/>
      <c r="F72" s="156"/>
      <c r="G72" s="156"/>
      <c r="H72" s="156"/>
      <c r="I72" s="156"/>
      <c r="J72" s="156"/>
      <c r="K72" s="156"/>
      <c r="L72" s="156"/>
      <c r="M72" s="316" t="str">
        <f t="shared" si="5"/>
        <v/>
      </c>
      <c r="N72" s="285" t="s">
        <v>9</v>
      </c>
      <c r="O72" s="156"/>
      <c r="P72" s="156"/>
      <c r="Q72" s="156"/>
      <c r="T72" s="163"/>
      <c r="U72" s="156"/>
      <c r="V72" s="156"/>
      <c r="W72" s="156"/>
      <c r="X72" s="156"/>
      <c r="Y72" s="156"/>
      <c r="Z72" s="156"/>
      <c r="AA72" s="316" t="str">
        <f t="shared" si="6"/>
        <v/>
      </c>
      <c r="AB72" s="163"/>
      <c r="AC72" s="156"/>
      <c r="AD72" s="156"/>
      <c r="AE72" s="156"/>
      <c r="AF72" s="156"/>
      <c r="AG72" s="156"/>
      <c r="AH72" s="316" t="str">
        <f t="shared" si="7"/>
        <v/>
      </c>
      <c r="AI72" s="163"/>
      <c r="AJ72" s="156"/>
      <c r="AK72" s="156"/>
      <c r="AL72" s="156"/>
      <c r="AM72" s="156"/>
      <c r="AN72" s="156"/>
      <c r="AP72" s="311"/>
      <c r="AQ72" s="3" t="s">
        <v>284</v>
      </c>
      <c r="AR72" s="2" t="str">
        <f>IFERROR(__xludf.DUMMYFUNCTION("""COMPUTED_VALUE"""),"")</f>
        <v/>
      </c>
      <c r="AS72" s="2" t="str">
        <f>IFERROR(__xludf.DUMMYFUNCTION("""COMPUTED_VALUE"""),"")</f>
        <v/>
      </c>
      <c r="AT72" s="2" t="str">
        <f>IFERROR(__xludf.DUMMYFUNCTION("""COMPUTED_VALUE"""),"")</f>
        <v/>
      </c>
      <c r="AU72" s="3" t="s">
        <v>284</v>
      </c>
      <c r="AV72" s="3" t="s">
        <v>284</v>
      </c>
      <c r="AW72" s="3"/>
      <c r="AX72" s="3"/>
      <c r="AY72" s="3"/>
      <c r="AZ72" s="3"/>
      <c r="BA72" s="3"/>
      <c r="BB72" s="3"/>
      <c r="BC72" s="3"/>
    </row>
    <row r="73" ht="15.75" customHeight="1">
      <c r="A73" s="311"/>
      <c r="C73" s="163" t="s">
        <v>9</v>
      </c>
      <c r="D73" s="156"/>
      <c r="E73" s="156"/>
      <c r="F73" s="156"/>
      <c r="G73" s="156"/>
      <c r="H73" s="156"/>
      <c r="I73" s="156"/>
      <c r="J73" s="156"/>
      <c r="K73" s="156"/>
      <c r="L73" s="156"/>
      <c r="M73" s="316" t="str">
        <f t="shared" si="5"/>
        <v/>
      </c>
      <c r="N73" s="285" t="s">
        <v>9</v>
      </c>
      <c r="O73" s="156"/>
      <c r="P73" s="156"/>
      <c r="Q73" s="156"/>
      <c r="T73" s="163"/>
      <c r="U73" s="156"/>
      <c r="V73" s="156"/>
      <c r="W73" s="156"/>
      <c r="X73" s="156"/>
      <c r="Y73" s="156"/>
      <c r="Z73" s="156"/>
      <c r="AA73" s="316" t="str">
        <f t="shared" si="6"/>
        <v/>
      </c>
      <c r="AB73" s="163"/>
      <c r="AC73" s="156"/>
      <c r="AD73" s="156"/>
      <c r="AE73" s="156"/>
      <c r="AF73" s="156"/>
      <c r="AG73" s="156"/>
      <c r="AH73" s="316" t="str">
        <f t="shared" si="7"/>
        <v/>
      </c>
      <c r="AI73" s="163"/>
      <c r="AJ73" s="156"/>
      <c r="AK73" s="156"/>
      <c r="AL73" s="156"/>
      <c r="AM73" s="156"/>
      <c r="AN73" s="156"/>
      <c r="AP73" s="311"/>
      <c r="AQ73" s="3" t="s">
        <v>285</v>
      </c>
      <c r="AR73" s="2" t="str">
        <f>IFERROR(__xludf.DUMMYFUNCTION("""COMPUTED_VALUE"""),"")</f>
        <v/>
      </c>
      <c r="AS73" s="2" t="str">
        <f>IFERROR(__xludf.DUMMYFUNCTION("""COMPUTED_VALUE"""),"")</f>
        <v/>
      </c>
      <c r="AT73" s="2" t="str">
        <f>IFERROR(__xludf.DUMMYFUNCTION("""COMPUTED_VALUE"""),"")</f>
        <v/>
      </c>
      <c r="AU73" s="3" t="s">
        <v>285</v>
      </c>
      <c r="AV73" s="3" t="s">
        <v>285</v>
      </c>
      <c r="AW73" s="3"/>
      <c r="AX73" s="3"/>
      <c r="AY73" s="3"/>
      <c r="AZ73" s="3"/>
      <c r="BA73" s="3"/>
      <c r="BB73" s="3"/>
      <c r="BC73" s="3"/>
    </row>
    <row r="74" ht="15.75" customHeight="1">
      <c r="A74" s="311"/>
      <c r="C74" s="163" t="s">
        <v>9</v>
      </c>
      <c r="D74" s="156"/>
      <c r="E74" s="156"/>
      <c r="F74" s="156"/>
      <c r="G74" s="156"/>
      <c r="H74" s="156"/>
      <c r="I74" s="156"/>
      <c r="J74" s="156"/>
      <c r="K74" s="156"/>
      <c r="L74" s="156"/>
      <c r="M74" s="316" t="str">
        <f t="shared" si="5"/>
        <v/>
      </c>
      <c r="N74" s="285" t="s">
        <v>9</v>
      </c>
      <c r="O74" s="156"/>
      <c r="P74" s="156"/>
      <c r="Q74" s="156"/>
      <c r="T74" s="163"/>
      <c r="U74" s="156"/>
      <c r="V74" s="156"/>
      <c r="W74" s="156"/>
      <c r="X74" s="156"/>
      <c r="Y74" s="156"/>
      <c r="Z74" s="156"/>
      <c r="AA74" s="316" t="str">
        <f t="shared" si="6"/>
        <v/>
      </c>
      <c r="AB74" s="163"/>
      <c r="AC74" s="156"/>
      <c r="AD74" s="156"/>
      <c r="AE74" s="156"/>
      <c r="AF74" s="156"/>
      <c r="AG74" s="156"/>
      <c r="AH74" s="316" t="str">
        <f t="shared" si="7"/>
        <v/>
      </c>
      <c r="AI74" s="163"/>
      <c r="AJ74" s="156"/>
      <c r="AK74" s="156"/>
      <c r="AL74" s="156"/>
      <c r="AM74" s="156"/>
      <c r="AN74" s="156"/>
      <c r="AP74" s="311"/>
      <c r="AQ74" s="3" t="s">
        <v>286</v>
      </c>
      <c r="AR74" s="2" t="str">
        <f>IFERROR(__xludf.DUMMYFUNCTION("""COMPUTED_VALUE"""),"")</f>
        <v/>
      </c>
      <c r="AS74" s="7" t="str">
        <f>IFERROR(__xludf.DUMMYFUNCTION("""COMPUTED_VALUE"""),"")</f>
        <v/>
      </c>
      <c r="AT74" s="2" t="str">
        <f>IFERROR(__xludf.DUMMYFUNCTION("""COMPUTED_VALUE"""),"")</f>
        <v/>
      </c>
      <c r="AU74" s="3" t="s">
        <v>286</v>
      </c>
      <c r="AV74" s="3" t="s">
        <v>286</v>
      </c>
      <c r="AW74" s="3"/>
      <c r="AX74" s="3"/>
      <c r="AY74" s="3"/>
      <c r="AZ74" s="3"/>
      <c r="BA74" s="3"/>
      <c r="BB74" s="3"/>
      <c r="BC74" s="3"/>
    </row>
    <row r="75" ht="15.75" customHeight="1">
      <c r="A75" s="311"/>
      <c r="C75" s="163" t="s">
        <v>9</v>
      </c>
      <c r="D75" s="156"/>
      <c r="E75" s="156"/>
      <c r="F75" s="156"/>
      <c r="G75" s="156"/>
      <c r="H75" s="156"/>
      <c r="I75" s="156"/>
      <c r="J75" s="156"/>
      <c r="K75" s="156"/>
      <c r="L75" s="156"/>
      <c r="M75" s="316" t="str">
        <f t="shared" si="5"/>
        <v/>
      </c>
      <c r="N75" s="285" t="s">
        <v>9</v>
      </c>
      <c r="O75" s="156"/>
      <c r="P75" s="156"/>
      <c r="Q75" s="156"/>
      <c r="T75" s="163"/>
      <c r="U75" s="156"/>
      <c r="V75" s="156"/>
      <c r="W75" s="156"/>
      <c r="X75" s="156"/>
      <c r="Y75" s="156"/>
      <c r="Z75" s="156"/>
      <c r="AA75" s="157" t="str">
        <f t="shared" si="6"/>
        <v/>
      </c>
      <c r="AB75" s="163"/>
      <c r="AC75" s="156"/>
      <c r="AD75" s="156"/>
      <c r="AE75" s="156"/>
      <c r="AF75" s="156"/>
      <c r="AG75" s="156"/>
      <c r="AH75" s="157" t="str">
        <f t="shared" si="7"/>
        <v/>
      </c>
      <c r="AI75" s="163"/>
      <c r="AJ75" s="156"/>
      <c r="AK75" s="156"/>
      <c r="AL75" s="156"/>
      <c r="AM75" s="156"/>
      <c r="AN75" s="156"/>
      <c r="AP75" s="311"/>
      <c r="AQ75" s="3" t="s">
        <v>287</v>
      </c>
      <c r="AR75" s="2" t="str">
        <f>IFERROR(__xludf.DUMMYFUNCTION("""COMPUTED_VALUE"""),"")</f>
        <v/>
      </c>
      <c r="AS75" s="2" t="str">
        <f>IFERROR(__xludf.DUMMYFUNCTION("""COMPUTED_VALUE"""),"")</f>
        <v/>
      </c>
      <c r="AT75" s="2" t="str">
        <f>IFERROR(__xludf.DUMMYFUNCTION("""COMPUTED_VALUE"""),"")</f>
        <v/>
      </c>
      <c r="AU75" s="3" t="s">
        <v>287</v>
      </c>
      <c r="AV75" s="3" t="s">
        <v>287</v>
      </c>
      <c r="AW75" s="3"/>
      <c r="AX75" s="3"/>
      <c r="AY75" s="3"/>
      <c r="AZ75" s="3"/>
      <c r="BA75" s="3"/>
      <c r="BB75" s="3"/>
      <c r="BC75" s="3"/>
    </row>
    <row r="76" ht="15.75" customHeight="1">
      <c r="A76" s="311"/>
      <c r="C76" s="163" t="s">
        <v>9</v>
      </c>
      <c r="D76" s="156"/>
      <c r="E76" s="156"/>
      <c r="F76" s="156"/>
      <c r="G76" s="156"/>
      <c r="H76" s="156"/>
      <c r="I76" s="156"/>
      <c r="J76" s="156"/>
      <c r="K76" s="156"/>
      <c r="L76" s="156"/>
      <c r="M76" s="316" t="str">
        <f t="shared" si="5"/>
        <v/>
      </c>
      <c r="N76" s="285" t="s">
        <v>9</v>
      </c>
      <c r="O76" s="156"/>
      <c r="P76" s="156"/>
      <c r="Q76" s="156"/>
      <c r="T76" s="163"/>
      <c r="U76" s="156"/>
      <c r="V76" s="156"/>
      <c r="W76" s="156"/>
      <c r="X76" s="156"/>
      <c r="Y76" s="156"/>
      <c r="Z76" s="156"/>
      <c r="AA76" s="157" t="str">
        <f t="shared" si="6"/>
        <v/>
      </c>
      <c r="AB76" s="163"/>
      <c r="AC76" s="156"/>
      <c r="AD76" s="156"/>
      <c r="AE76" s="156"/>
      <c r="AF76" s="156"/>
      <c r="AG76" s="156"/>
      <c r="AH76" s="157" t="str">
        <f t="shared" si="7"/>
        <v/>
      </c>
      <c r="AI76" s="163"/>
      <c r="AJ76" s="156"/>
      <c r="AK76" s="156"/>
      <c r="AL76" s="156"/>
      <c r="AM76" s="156"/>
      <c r="AN76" s="156"/>
      <c r="AP76" s="311"/>
      <c r="AQ76" s="3" t="s">
        <v>288</v>
      </c>
      <c r="AR76" s="2" t="str">
        <f>IFERROR(__xludf.DUMMYFUNCTION("""COMPUTED_VALUE"""),"")</f>
        <v/>
      </c>
      <c r="AS76" s="7" t="str">
        <f>IFERROR(__xludf.DUMMYFUNCTION("""COMPUTED_VALUE"""),"")</f>
        <v/>
      </c>
      <c r="AT76" s="2" t="str">
        <f>IFERROR(__xludf.DUMMYFUNCTION("""COMPUTED_VALUE"""),"")</f>
        <v/>
      </c>
      <c r="AU76" s="3" t="s">
        <v>288</v>
      </c>
      <c r="AV76" s="3" t="s">
        <v>288</v>
      </c>
      <c r="AW76" s="3"/>
      <c r="AX76" s="3"/>
      <c r="AY76" s="3"/>
      <c r="AZ76" s="3"/>
      <c r="BA76" s="3"/>
      <c r="BB76" s="3"/>
      <c r="BC76" s="3"/>
    </row>
    <row r="77" ht="15.75" customHeight="1">
      <c r="A77" s="311"/>
      <c r="C77" s="163" t="s">
        <v>9</v>
      </c>
      <c r="D77" s="156"/>
      <c r="E77" s="156"/>
      <c r="F77" s="156"/>
      <c r="G77" s="156"/>
      <c r="H77" s="156"/>
      <c r="I77" s="156"/>
      <c r="J77" s="156"/>
      <c r="K77" s="156"/>
      <c r="L77" s="156"/>
      <c r="M77" s="316" t="str">
        <f t="shared" si="5"/>
        <v/>
      </c>
      <c r="N77" s="285" t="s">
        <v>9</v>
      </c>
      <c r="O77" s="156"/>
      <c r="P77" s="156"/>
      <c r="Q77" s="156"/>
      <c r="T77" s="163"/>
      <c r="U77" s="156"/>
      <c r="V77" s="156"/>
      <c r="W77" s="156"/>
      <c r="X77" s="156"/>
      <c r="Y77" s="156"/>
      <c r="Z77" s="156"/>
      <c r="AA77" s="316" t="str">
        <f t="shared" si="6"/>
        <v/>
      </c>
      <c r="AB77" s="163"/>
      <c r="AC77" s="156"/>
      <c r="AD77" s="156"/>
      <c r="AE77" s="156"/>
      <c r="AF77" s="156"/>
      <c r="AG77" s="156"/>
      <c r="AH77" s="316" t="str">
        <f t="shared" si="7"/>
        <v/>
      </c>
      <c r="AI77" s="163"/>
      <c r="AJ77" s="156"/>
      <c r="AK77" s="156"/>
      <c r="AL77" s="156"/>
      <c r="AM77" s="156"/>
      <c r="AN77" s="156"/>
      <c r="AP77" s="311"/>
      <c r="AQ77" s="3" t="s">
        <v>289</v>
      </c>
      <c r="AR77" s="7" t="str">
        <f>IFERROR(__xludf.DUMMYFUNCTION("""COMPUTED_VALUE"""),"")</f>
        <v/>
      </c>
      <c r="AS77" s="7" t="str">
        <f>IFERROR(__xludf.DUMMYFUNCTION("""COMPUTED_VALUE"""),"")</f>
        <v/>
      </c>
      <c r="AT77" s="2" t="str">
        <f>IFERROR(__xludf.DUMMYFUNCTION("""COMPUTED_VALUE"""),"")</f>
        <v/>
      </c>
      <c r="AU77" s="3" t="s">
        <v>289</v>
      </c>
      <c r="AV77" s="3" t="s">
        <v>289</v>
      </c>
      <c r="AW77" s="3"/>
      <c r="AX77" s="3"/>
      <c r="AY77" s="3"/>
      <c r="AZ77" s="3"/>
      <c r="BA77" s="3"/>
      <c r="BB77" s="3"/>
      <c r="BC77" s="3"/>
    </row>
    <row r="78" ht="15.75" customHeight="1">
      <c r="A78" s="311"/>
      <c r="C78" s="342" t="s">
        <v>9</v>
      </c>
      <c r="D78" s="35"/>
      <c r="E78" s="35"/>
      <c r="F78" s="35"/>
      <c r="G78" s="35"/>
      <c r="H78" s="35"/>
      <c r="I78" s="35"/>
      <c r="J78" s="35"/>
      <c r="K78" s="35"/>
      <c r="L78" s="35"/>
      <c r="M78" s="343" t="str">
        <f t="shared" si="5"/>
        <v/>
      </c>
      <c r="N78" s="344" t="s">
        <v>9</v>
      </c>
      <c r="O78" s="35"/>
      <c r="P78" s="35"/>
      <c r="Q78" s="35"/>
      <c r="T78" s="163"/>
      <c r="U78" s="156"/>
      <c r="V78" s="156"/>
      <c r="W78" s="156"/>
      <c r="X78" s="156"/>
      <c r="Y78" s="156"/>
      <c r="Z78" s="156"/>
      <c r="AA78" s="316" t="str">
        <f t="shared" si="6"/>
        <v/>
      </c>
      <c r="AB78" s="163"/>
      <c r="AC78" s="156"/>
      <c r="AD78" s="156"/>
      <c r="AE78" s="156"/>
      <c r="AF78" s="156"/>
      <c r="AG78" s="156"/>
      <c r="AH78" s="316" t="str">
        <f t="shared" si="7"/>
        <v/>
      </c>
      <c r="AI78" s="163"/>
      <c r="AJ78" s="156"/>
      <c r="AK78" s="156"/>
      <c r="AL78" s="156"/>
      <c r="AM78" s="156"/>
      <c r="AN78" s="156"/>
      <c r="AP78" s="311"/>
      <c r="AQ78" s="3" t="s">
        <v>290</v>
      </c>
      <c r="AR78" s="7" t="str">
        <f>IFERROR(__xludf.DUMMYFUNCTION("""COMPUTED_VALUE"""),"")</f>
        <v/>
      </c>
      <c r="AS78" s="7" t="str">
        <f>IFERROR(__xludf.DUMMYFUNCTION("""COMPUTED_VALUE"""),"")</f>
        <v/>
      </c>
      <c r="AT78" s="2" t="str">
        <f>IFERROR(__xludf.DUMMYFUNCTION("""COMPUTED_VALUE"""),"")</f>
        <v/>
      </c>
      <c r="AU78" s="3" t="s">
        <v>290</v>
      </c>
      <c r="AV78" s="3" t="s">
        <v>290</v>
      </c>
      <c r="AW78" s="3"/>
      <c r="AX78" s="3"/>
      <c r="AY78" s="3"/>
      <c r="AZ78" s="3"/>
      <c r="BA78" s="3"/>
      <c r="BB78" s="3"/>
      <c r="BC78" s="3"/>
    </row>
    <row r="79" ht="15.75" customHeight="1">
      <c r="A79" s="311"/>
      <c r="C79" s="345" t="str">
        <f>"Total "&amp;if(and(level&lt;&gt;"",sum(N69:Q78)&lt;&gt;level),"Doesn't Equal Given ","")&amp;"Level"</f>
        <v>Total Level</v>
      </c>
      <c r="D79" s="346"/>
      <c r="E79" s="346"/>
      <c r="F79" s="346"/>
      <c r="G79" s="346"/>
      <c r="H79" s="346"/>
      <c r="I79" s="346"/>
      <c r="J79" s="346"/>
      <c r="K79" s="346"/>
      <c r="L79" s="346"/>
      <c r="M79" s="347" t="str">
        <f t="shared" si="5"/>
        <v/>
      </c>
      <c r="N79" s="348">
        <f>if(sum(N69:Q78)=0," ",sum(N69:Q78))</f>
        <v>8</v>
      </c>
      <c r="O79" s="346"/>
      <c r="P79" s="346"/>
      <c r="Q79" s="346"/>
      <c r="T79" s="349"/>
      <c r="U79" s="156"/>
      <c r="V79" s="156"/>
      <c r="W79" s="156"/>
      <c r="X79" s="156"/>
      <c r="Y79" s="156"/>
      <c r="Z79" s="156"/>
      <c r="AA79" s="316" t="str">
        <f t="shared" si="6"/>
        <v/>
      </c>
      <c r="AB79" s="163"/>
      <c r="AC79" s="156"/>
      <c r="AD79" s="156"/>
      <c r="AE79" s="156"/>
      <c r="AF79" s="156"/>
      <c r="AG79" s="156"/>
      <c r="AH79" s="316" t="str">
        <f t="shared" si="7"/>
        <v/>
      </c>
      <c r="AI79" s="163"/>
      <c r="AJ79" s="156"/>
      <c r="AK79" s="156"/>
      <c r="AL79" s="156"/>
      <c r="AM79" s="156"/>
      <c r="AN79" s="156"/>
      <c r="AP79" s="311"/>
      <c r="AQ79" s="3"/>
      <c r="AR79" s="3" t="str">
        <f>lower(textjoin("~",True,v2.1!$BA$32:$BA$56,$BA$3:$BA$24,raceResists,v2.1!$AW$16))</f>
        <v>finesse, light, thrown (range 20/60)~-~intelligence, wisdom, choose 2, arcana, history, insight, investigation, medicine, religion, dagger, dart, sling, quarterstaff, light crossbow, -, longsword, shortsword, shortbow, longbow</v>
      </c>
      <c r="AS79" s="3"/>
      <c r="AT79" s="3"/>
      <c r="AU79" s="3"/>
      <c r="AV79" s="3"/>
      <c r="AW79" s="3"/>
      <c r="AX79" s="3"/>
      <c r="AY79" s="3"/>
      <c r="AZ79" s="3"/>
      <c r="BA79" s="3"/>
      <c r="BB79" s="3"/>
      <c r="BC79" s="3"/>
    </row>
    <row r="80" ht="15.75" customHeight="1">
      <c r="A80" s="311"/>
      <c r="C80" s="312"/>
      <c r="D80" s="317"/>
      <c r="E80" s="317"/>
      <c r="F80" s="317"/>
      <c r="G80" s="317"/>
      <c r="H80" s="317"/>
      <c r="I80" s="317"/>
      <c r="J80" s="317"/>
      <c r="K80" s="317"/>
      <c r="L80" s="317"/>
      <c r="M80" s="317"/>
      <c r="N80" s="317"/>
      <c r="O80" s="317"/>
      <c r="P80" s="317"/>
      <c r="Q80" s="317"/>
      <c r="T80" s="350"/>
      <c r="U80" s="350"/>
      <c r="V80" s="351"/>
      <c r="W80" s="351"/>
      <c r="X80" s="352"/>
      <c r="Y80" s="352"/>
      <c r="Z80" s="352"/>
      <c r="AA80" s="352"/>
      <c r="AB80" s="352"/>
      <c r="AC80" s="352"/>
      <c r="AD80" s="352"/>
      <c r="AE80" s="352"/>
      <c r="AF80" s="352"/>
      <c r="AG80" s="312"/>
      <c r="AH80" s="312"/>
      <c r="AI80" s="312"/>
      <c r="AJ80" s="312"/>
      <c r="AK80" s="312"/>
      <c r="AL80" s="312"/>
      <c r="AM80" s="312"/>
      <c r="AN80" s="312"/>
      <c r="AP80" s="311"/>
      <c r="AQ80" s="3"/>
      <c r="AR80" s="3"/>
      <c r="AS80" s="3"/>
      <c r="AT80" s="3"/>
      <c r="AU80" s="3"/>
      <c r="AV80" s="3"/>
      <c r="AW80" s="3"/>
      <c r="AX80" s="3"/>
      <c r="AY80" s="3"/>
      <c r="AZ80" s="3"/>
      <c r="BA80" s="3"/>
      <c r="BB80" s="3"/>
      <c r="BC80" s="3"/>
    </row>
    <row r="81" ht="15.75" customHeight="1">
      <c r="A81" s="311"/>
      <c r="C81" s="12"/>
      <c r="D81" s="311"/>
      <c r="E81" s="311"/>
      <c r="F81" s="311"/>
      <c r="G81" s="311"/>
      <c r="H81" s="311"/>
      <c r="I81" s="311"/>
      <c r="J81" s="311"/>
      <c r="K81" s="311"/>
      <c r="L81" s="311"/>
      <c r="M81" s="311"/>
      <c r="N81" s="311"/>
      <c r="O81" s="311"/>
      <c r="P81" s="311"/>
      <c r="Q81" s="311"/>
      <c r="T81" s="311"/>
      <c r="U81" s="353"/>
      <c r="V81" s="354"/>
      <c r="W81" s="354"/>
      <c r="X81" s="355"/>
      <c r="Y81" s="355"/>
      <c r="Z81" s="355"/>
      <c r="AA81" s="355"/>
      <c r="AB81" s="355"/>
      <c r="AC81" s="355"/>
      <c r="AD81" s="355"/>
      <c r="AE81" s="355"/>
      <c r="AF81" s="355"/>
      <c r="AG81" s="311"/>
      <c r="AH81" s="311"/>
      <c r="AI81" s="311"/>
      <c r="AJ81" s="311"/>
      <c r="AK81" s="311"/>
      <c r="AL81" s="311"/>
      <c r="AM81" s="311"/>
      <c r="AN81" s="311"/>
      <c r="AP81" s="311"/>
      <c r="AQ81" s="3" t="str">
        <f>v2.1!$I$174</f>
        <v>Blue</v>
      </c>
      <c r="AR81" s="3"/>
      <c r="AS81" s="3"/>
      <c r="AT81" s="3"/>
      <c r="AU81" s="3"/>
      <c r="AV81" s="3"/>
      <c r="AW81" s="3"/>
      <c r="AX81" s="3"/>
      <c r="AY81" s="3"/>
      <c r="AZ81" s="3"/>
      <c r="BA81" s="3"/>
      <c r="BB81" s="3"/>
      <c r="BC81" s="3"/>
    </row>
  </sheetData>
  <mergeCells count="340">
    <mergeCell ref="M11:T11"/>
    <mergeCell ref="W11:AB11"/>
    <mergeCell ref="M12:T12"/>
    <mergeCell ref="W12:AB12"/>
    <mergeCell ref="AD12:AF12"/>
    <mergeCell ref="AH12:AO12"/>
    <mergeCell ref="M13:T13"/>
    <mergeCell ref="W13:AB13"/>
    <mergeCell ref="AD13:AF13"/>
    <mergeCell ref="AH13:AO13"/>
    <mergeCell ref="AO16:AO20"/>
    <mergeCell ref="U17:V19"/>
    <mergeCell ref="X17:AD17"/>
    <mergeCell ref="AE17:AF19"/>
    <mergeCell ref="X18:AD18"/>
    <mergeCell ref="C16:AN16"/>
    <mergeCell ref="N17:T17"/>
    <mergeCell ref="N18:T18"/>
    <mergeCell ref="N19:T19"/>
    <mergeCell ref="X19:AD19"/>
    <mergeCell ref="AH19:AN19"/>
    <mergeCell ref="N21:T21"/>
    <mergeCell ref="X39:AD39"/>
    <mergeCell ref="E40:I41"/>
    <mergeCell ref="N40:T40"/>
    <mergeCell ref="X40:AD40"/>
    <mergeCell ref="N41:T41"/>
    <mergeCell ref="X41:AD41"/>
    <mergeCell ref="N47:T47"/>
    <mergeCell ref="N49:T49"/>
    <mergeCell ref="N50:T50"/>
    <mergeCell ref="N51:T51"/>
    <mergeCell ref="N52:T52"/>
    <mergeCell ref="N54:T54"/>
    <mergeCell ref="N55:T55"/>
    <mergeCell ref="N56:T56"/>
    <mergeCell ref="N58:T58"/>
    <mergeCell ref="U58:V60"/>
    <mergeCell ref="N59:T59"/>
    <mergeCell ref="N60:T60"/>
    <mergeCell ref="N62:T62"/>
    <mergeCell ref="U62:V64"/>
    <mergeCell ref="N63:T63"/>
    <mergeCell ref="N64:T64"/>
    <mergeCell ref="B66:AO66"/>
    <mergeCell ref="T68:Z68"/>
    <mergeCell ref="AB68:AG68"/>
    <mergeCell ref="T69:Z69"/>
    <mergeCell ref="T70:Z70"/>
    <mergeCell ref="AI70:AN70"/>
    <mergeCell ref="T73:Z73"/>
    <mergeCell ref="T74:Z74"/>
    <mergeCell ref="T75:Z75"/>
    <mergeCell ref="T76:Z76"/>
    <mergeCell ref="T77:Z77"/>
    <mergeCell ref="T78:Z78"/>
    <mergeCell ref="T79:Z79"/>
    <mergeCell ref="AB74:AG74"/>
    <mergeCell ref="AB75:AG75"/>
    <mergeCell ref="AB76:AG76"/>
    <mergeCell ref="AB77:AG77"/>
    <mergeCell ref="AB78:AG78"/>
    <mergeCell ref="AB79:AG79"/>
    <mergeCell ref="AB69:AG69"/>
    <mergeCell ref="AB70:AG70"/>
    <mergeCell ref="T71:Z71"/>
    <mergeCell ref="AB71:AG71"/>
    <mergeCell ref="T72:Z72"/>
    <mergeCell ref="AB72:AG72"/>
    <mergeCell ref="AB73:AG73"/>
    <mergeCell ref="AI76:AN76"/>
    <mergeCell ref="AI77:AN77"/>
    <mergeCell ref="AI78:AN78"/>
    <mergeCell ref="AI79:AN79"/>
    <mergeCell ref="AI68:AN68"/>
    <mergeCell ref="AI69:AN69"/>
    <mergeCell ref="AI71:AN71"/>
    <mergeCell ref="AI72:AN72"/>
    <mergeCell ref="AI73:AN73"/>
    <mergeCell ref="AI74:AN74"/>
    <mergeCell ref="AI75:AN75"/>
    <mergeCell ref="D22:J22"/>
    <mergeCell ref="D23:J23"/>
    <mergeCell ref="D24:J24"/>
    <mergeCell ref="D25:J25"/>
    <mergeCell ref="B13:G13"/>
    <mergeCell ref="I13:K13"/>
    <mergeCell ref="B16:B20"/>
    <mergeCell ref="C17:E20"/>
    <mergeCell ref="F18:J19"/>
    <mergeCell ref="B21:B26"/>
    <mergeCell ref="D21:J21"/>
    <mergeCell ref="U21:V25"/>
    <mergeCell ref="U27:V31"/>
    <mergeCell ref="U33:V37"/>
    <mergeCell ref="U39:V42"/>
    <mergeCell ref="U44:V47"/>
    <mergeCell ref="U49:V52"/>
    <mergeCell ref="U54:V56"/>
    <mergeCell ref="K17:K20"/>
    <mergeCell ref="K21:L25"/>
    <mergeCell ref="N22:T22"/>
    <mergeCell ref="N23:T23"/>
    <mergeCell ref="N24:T24"/>
    <mergeCell ref="N25:T25"/>
    <mergeCell ref="N27:T27"/>
    <mergeCell ref="N28:T28"/>
    <mergeCell ref="N29:T29"/>
    <mergeCell ref="N30:T30"/>
    <mergeCell ref="N31:T31"/>
    <mergeCell ref="N33:T33"/>
    <mergeCell ref="N34:T34"/>
    <mergeCell ref="N35:T35"/>
    <mergeCell ref="N36:T36"/>
    <mergeCell ref="N37:T37"/>
    <mergeCell ref="N39:T39"/>
    <mergeCell ref="N42:T42"/>
    <mergeCell ref="N44:T44"/>
    <mergeCell ref="N45:T45"/>
    <mergeCell ref="N46:T46"/>
    <mergeCell ref="AH50:AN50"/>
    <mergeCell ref="AH51:AN51"/>
    <mergeCell ref="AO67:AO81"/>
    <mergeCell ref="AH40:AN40"/>
    <mergeCell ref="AH41:AN41"/>
    <mergeCell ref="AO44:AO48"/>
    <mergeCell ref="AG45:AK46"/>
    <mergeCell ref="AH49:AN49"/>
    <mergeCell ref="AO49:AO53"/>
    <mergeCell ref="AH52:AN52"/>
    <mergeCell ref="X42:AD42"/>
    <mergeCell ref="AH42:AN42"/>
    <mergeCell ref="AE39:AF42"/>
    <mergeCell ref="AF44:AF47"/>
    <mergeCell ref="AE49:AF52"/>
    <mergeCell ref="AF54:AF57"/>
    <mergeCell ref="AE58:AF60"/>
    <mergeCell ref="AF62:AF65"/>
    <mergeCell ref="AO21:AO26"/>
    <mergeCell ref="AO27:AO32"/>
    <mergeCell ref="X36:AD36"/>
    <mergeCell ref="X37:AD37"/>
    <mergeCell ref="AH39:AN39"/>
    <mergeCell ref="AO39:AO43"/>
    <mergeCell ref="X44:AD44"/>
    <mergeCell ref="AM44:AN47"/>
    <mergeCell ref="AM54:AN57"/>
    <mergeCell ref="AO54:AO57"/>
    <mergeCell ref="AO58:AO61"/>
    <mergeCell ref="AM62:AN65"/>
    <mergeCell ref="AO62:AO65"/>
    <mergeCell ref="X45:AD45"/>
    <mergeCell ref="X46:AD46"/>
    <mergeCell ref="X47:AD47"/>
    <mergeCell ref="X49:AD49"/>
    <mergeCell ref="X50:AD50"/>
    <mergeCell ref="X51:AD51"/>
    <mergeCell ref="X52:AD52"/>
    <mergeCell ref="AG55:AK56"/>
    <mergeCell ref="AH58:AN58"/>
    <mergeCell ref="AH59:AN59"/>
    <mergeCell ref="AH60:AN60"/>
    <mergeCell ref="AG63:AK64"/>
    <mergeCell ref="X63:AD63"/>
    <mergeCell ref="X64:AD64"/>
    <mergeCell ref="X54:AD54"/>
    <mergeCell ref="X55:AD55"/>
    <mergeCell ref="X56:AD56"/>
    <mergeCell ref="X58:AD58"/>
    <mergeCell ref="X59:AD59"/>
    <mergeCell ref="X60:AD60"/>
    <mergeCell ref="X62:AD62"/>
    <mergeCell ref="K62:L64"/>
    <mergeCell ref="N68:Q68"/>
    <mergeCell ref="N71:Q71"/>
    <mergeCell ref="N72:Q72"/>
    <mergeCell ref="N73:Q73"/>
    <mergeCell ref="N74:Q74"/>
    <mergeCell ref="N75:Q75"/>
    <mergeCell ref="N76:Q76"/>
    <mergeCell ref="N77:Q77"/>
    <mergeCell ref="N78:Q78"/>
    <mergeCell ref="I49:J49"/>
    <mergeCell ref="K49:K52"/>
    <mergeCell ref="K54:L56"/>
    <mergeCell ref="I58:J58"/>
    <mergeCell ref="K58:K61"/>
    <mergeCell ref="R67:R81"/>
    <mergeCell ref="S67:S81"/>
    <mergeCell ref="N79:Q79"/>
    <mergeCell ref="I39:J39"/>
    <mergeCell ref="K39:K42"/>
    <mergeCell ref="B27:B32"/>
    <mergeCell ref="C27:D30"/>
    <mergeCell ref="B33:B38"/>
    <mergeCell ref="D37:J37"/>
    <mergeCell ref="B39:B43"/>
    <mergeCell ref="C39:D42"/>
    <mergeCell ref="E39:F39"/>
    <mergeCell ref="C49:D52"/>
    <mergeCell ref="E49:F49"/>
    <mergeCell ref="B54:B57"/>
    <mergeCell ref="B58:B61"/>
    <mergeCell ref="C58:D61"/>
    <mergeCell ref="E58:F58"/>
    <mergeCell ref="B62:B65"/>
    <mergeCell ref="B67:B81"/>
    <mergeCell ref="B44:B48"/>
    <mergeCell ref="D44:J44"/>
    <mergeCell ref="K44:L47"/>
    <mergeCell ref="D45:J45"/>
    <mergeCell ref="D46:J46"/>
    <mergeCell ref="D47:J47"/>
    <mergeCell ref="B49:B53"/>
    <mergeCell ref="E50:I51"/>
    <mergeCell ref="D54:J54"/>
    <mergeCell ref="D55:J55"/>
    <mergeCell ref="D56:J56"/>
    <mergeCell ref="E59:I60"/>
    <mergeCell ref="D62:J62"/>
    <mergeCell ref="D63:J63"/>
    <mergeCell ref="N69:Q69"/>
    <mergeCell ref="N70:Q70"/>
    <mergeCell ref="C74:L74"/>
    <mergeCell ref="C75:L75"/>
    <mergeCell ref="C76:L76"/>
    <mergeCell ref="C77:L77"/>
    <mergeCell ref="C78:L78"/>
    <mergeCell ref="C79:L79"/>
    <mergeCell ref="D64:J64"/>
    <mergeCell ref="C68:L68"/>
    <mergeCell ref="C69:L69"/>
    <mergeCell ref="C70:L70"/>
    <mergeCell ref="C71:L71"/>
    <mergeCell ref="C72:L72"/>
    <mergeCell ref="C73:L73"/>
    <mergeCell ref="AD2:AF2"/>
    <mergeCell ref="AH2:AK2"/>
    <mergeCell ref="I2:K2"/>
    <mergeCell ref="I3:K3"/>
    <mergeCell ref="W2:AB2"/>
    <mergeCell ref="W3:AB3"/>
    <mergeCell ref="AD3:AF3"/>
    <mergeCell ref="AH3:AO3"/>
    <mergeCell ref="B4:G4"/>
    <mergeCell ref="I4:K4"/>
    <mergeCell ref="AD4:AF4"/>
    <mergeCell ref="AH4:AO4"/>
    <mergeCell ref="B5:G5"/>
    <mergeCell ref="I5:K5"/>
    <mergeCell ref="M4:T4"/>
    <mergeCell ref="W4:AB4"/>
    <mergeCell ref="M5:T5"/>
    <mergeCell ref="W5:AB5"/>
    <mergeCell ref="AD5:AF5"/>
    <mergeCell ref="AH5:AO5"/>
    <mergeCell ref="B6:G6"/>
    <mergeCell ref="I6:K6"/>
    <mergeCell ref="M6:T6"/>
    <mergeCell ref="W6:AB6"/>
    <mergeCell ref="AD6:AF6"/>
    <mergeCell ref="AH6:AO6"/>
    <mergeCell ref="B7:G7"/>
    <mergeCell ref="I7:K7"/>
    <mergeCell ref="M7:T7"/>
    <mergeCell ref="W7:AB7"/>
    <mergeCell ref="AD7:AF7"/>
    <mergeCell ref="AH7:AO7"/>
    <mergeCell ref="B8:G8"/>
    <mergeCell ref="I8:K8"/>
    <mergeCell ref="M8:T8"/>
    <mergeCell ref="W8:AB8"/>
    <mergeCell ref="AD8:AF8"/>
    <mergeCell ref="AH8:AO8"/>
    <mergeCell ref="B9:G9"/>
    <mergeCell ref="I9:K9"/>
    <mergeCell ref="AD9:AF9"/>
    <mergeCell ref="AH9:AO9"/>
    <mergeCell ref="M9:T9"/>
    <mergeCell ref="W9:AB9"/>
    <mergeCell ref="B10:G10"/>
    <mergeCell ref="I10:K10"/>
    <mergeCell ref="M10:T10"/>
    <mergeCell ref="W10:AB10"/>
    <mergeCell ref="AD10:AF10"/>
    <mergeCell ref="AH10:AO10"/>
    <mergeCell ref="B11:G11"/>
    <mergeCell ref="I11:K11"/>
    <mergeCell ref="AD11:AF11"/>
    <mergeCell ref="AH11:AO11"/>
    <mergeCell ref="B12:G12"/>
    <mergeCell ref="I12:K12"/>
    <mergeCell ref="B14:T14"/>
    <mergeCell ref="W14:AO14"/>
    <mergeCell ref="A1:A15"/>
    <mergeCell ref="U1:V15"/>
    <mergeCell ref="AP1:AP15"/>
    <mergeCell ref="B2:G2"/>
    <mergeCell ref="M2:P2"/>
    <mergeCell ref="B3:G3"/>
    <mergeCell ref="M3:T3"/>
    <mergeCell ref="X27:AD27"/>
    <mergeCell ref="X28:AD28"/>
    <mergeCell ref="AH28:AN28"/>
    <mergeCell ref="AH29:AN29"/>
    <mergeCell ref="AH30:AN30"/>
    <mergeCell ref="AH31:AN31"/>
    <mergeCell ref="AM33:AN36"/>
    <mergeCell ref="AO33:AO38"/>
    <mergeCell ref="AG34:AK35"/>
    <mergeCell ref="AH17:AN17"/>
    <mergeCell ref="AH18:AN18"/>
    <mergeCell ref="AF21:AF24"/>
    <mergeCell ref="AK21:AL21"/>
    <mergeCell ref="AM21:AN24"/>
    <mergeCell ref="AG22:AK23"/>
    <mergeCell ref="AH27:AN27"/>
    <mergeCell ref="X29:AD29"/>
    <mergeCell ref="X30:AD30"/>
    <mergeCell ref="X33:AD33"/>
    <mergeCell ref="AF33:AF36"/>
    <mergeCell ref="X34:AD34"/>
    <mergeCell ref="X35:AD35"/>
    <mergeCell ref="X21:AD21"/>
    <mergeCell ref="AG21:AH21"/>
    <mergeCell ref="X22:AD22"/>
    <mergeCell ref="X23:AD23"/>
    <mergeCell ref="X24:AD24"/>
    <mergeCell ref="X25:AD25"/>
    <mergeCell ref="AE27:AF31"/>
    <mergeCell ref="X31:AD31"/>
    <mergeCell ref="D35:J35"/>
    <mergeCell ref="D36:J36"/>
    <mergeCell ref="E27:F27"/>
    <mergeCell ref="I27:J27"/>
    <mergeCell ref="K27:K30"/>
    <mergeCell ref="E28:I29"/>
    <mergeCell ref="D33:J33"/>
    <mergeCell ref="K33:L37"/>
    <mergeCell ref="D34:J34"/>
  </mergeCells>
  <conditionalFormatting sqref="D21:D25 N21:N25 X21:X25 N27:N31 X27:X31 AH27:AH31 C32 D33:D37 N33:N37 X33:X37 N39:N42 X39:X42 AH39:AH42 D44:D47 N44:N47 X44:X47 N49:N52 X49:X52 AH49:AH52 D54:D56 N54:N56 X54:X56 N58:N60 X58:X60 AH58:AH60 D62:D65 N62:N65 X62:X65">
    <cfRule type="expression" dxfId="13" priority="1">
      <formula>C21=0</formula>
    </cfRule>
  </conditionalFormatting>
  <conditionalFormatting sqref="M17:M19 W17:W19 AG17:AG19 C21:C25 M21:M25 W21:W25 M27:M31 W27:W31 AG27:AG31 C33:C37 M33:M37 W33:W37 M39:M42 W39:W42 AG39:AG42 C44:C47 M44:M47 W44:W47 M49:M52 W49:W52 AG49:AG52 C54:C57 M54:M65 W54:W65 AG58:AG61 L61 V61 AF61 C62:C65">
    <cfRule type="expression" dxfId="13" priority="2">
      <formula>N17=""</formula>
    </cfRule>
  </conditionalFormatting>
  <conditionalFormatting sqref="B14 W14">
    <cfRule type="notContainsText" dxfId="3" priority="3" operator="notContains" text="ADDITIONAL ATTACKS">
      <formula>ISERROR(SEARCH(("ADDITIONAL ATTACKS"),(B14)))</formula>
    </cfRule>
  </conditionalFormatting>
  <conditionalFormatting sqref="F18 AG22 E28 AG34 E40 AG45 E50 AG55 E59 AG63 C68 N68 T68 AB68 AI68 C79 B14 W14">
    <cfRule type="expression" dxfId="0" priority="4">
      <formula>$AQ$81="Red"</formula>
    </cfRule>
  </conditionalFormatting>
  <conditionalFormatting sqref="F18 AG22 E28 AG34 E40 AG45 E50 AG55 E59 AG63 C68 N68 T68 AB68 AI68 C79 B14 W14">
    <cfRule type="expression" dxfId="4" priority="5">
      <formula>$AQ$81="Orange"</formula>
    </cfRule>
  </conditionalFormatting>
  <conditionalFormatting sqref="F18 AG22 E28 AG34 E40 AG45 E50 AG55 E59 AG63 C68 N68 T68 AB68 AI68 C79 B14 W14">
    <cfRule type="expression" dxfId="29" priority="6">
      <formula>$AQ$81="Yellow"</formula>
    </cfRule>
  </conditionalFormatting>
  <conditionalFormatting sqref="F18 AG22 E28 AG34 E40 AG45 E50 AG55 E59 AG63 C68 N68 T68 AB68 AI68 C79 B14 W14">
    <cfRule type="expression" dxfId="30" priority="7">
      <formula>$AQ$81="Green"</formula>
    </cfRule>
  </conditionalFormatting>
  <conditionalFormatting sqref="F18 AG22 E28 AG34 E40 AG45 E50 AG55 E59 AG63 C68 N68 T68 AB68 AI68 C79 B14 W14">
    <cfRule type="expression" dxfId="31" priority="8">
      <formula>$AQ$81="Cyan"</formula>
    </cfRule>
  </conditionalFormatting>
  <conditionalFormatting sqref="F18 AG22 E28 AG34 E40 AG45 E50 AG55 E59 AG63 C68 N68 T68 AB68 AI68 C79 B14 W14">
    <cfRule type="expression" dxfId="32" priority="9">
      <formula>$AQ$81="Blue"</formula>
    </cfRule>
  </conditionalFormatting>
  <conditionalFormatting sqref="F18 AG22 E28 AG34 E40 AG45 E50 AG55 E59 AG63 C68 N68 T68 AB68 AI68 C79 B14 W14">
    <cfRule type="expression" dxfId="33" priority="10">
      <formula>$AQ$81="Purple"</formula>
    </cfRule>
  </conditionalFormatting>
  <conditionalFormatting sqref="F18 AG22 E28 AG34 E40 AG45 E50 AG55 E59 AG63 C68 N68 T68 AB68 AI68 C79 B14 W14">
    <cfRule type="expression" dxfId="34" priority="11">
      <formula>$AQ$81="Magenta"</formula>
    </cfRule>
  </conditionalFormatting>
  <dataValidations>
    <dataValidation type="list" allowBlank="1" sqref="B3:B7 B9:B13 W3:W13">
      <formula1>'Attack Info'!$B$7:$B$201</formula1>
    </dataValidation>
    <dataValidation type="list" allowBlank="1" sqref="B8">
      <formula1>'Attack Info'!$B$7:$B$101</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4" width="3.0"/>
    <col customWidth="1" hidden="1" min="45" max="54" width="3.0"/>
  </cols>
  <sheetData>
    <row r="1" ht="15.75" customHeight="1">
      <c r="B1" s="12"/>
      <c r="D1" s="12" t="str">
        <f>image("https://i.imgur.com/tyy4AZI.png",2)</f>
        <v/>
      </c>
      <c r="E1" s="356"/>
      <c r="F1" s="356"/>
      <c r="G1" s="356" t="str">
        <f>image("https://i.imgur.com/WaGBhTs.png",2)</f>
        <v/>
      </c>
      <c r="J1" s="12" t="str">
        <f>image("https://i.imgur.com/TEYG3Cu.png",2)</f>
        <v/>
      </c>
      <c r="K1" s="356"/>
      <c r="L1" s="356"/>
      <c r="M1" s="356" t="str">
        <f>image("https://i.imgur.com/K9uRIHq.png",2)</f>
        <v/>
      </c>
      <c r="P1" s="12" t="str">
        <f>image("https://i.imgur.com/pxT3mKE.png",2)</f>
        <v/>
      </c>
      <c r="Q1" s="356"/>
      <c r="R1" s="356"/>
      <c r="S1" s="356" t="str">
        <f>image("https://i.imgur.com/4cvX7w7.png",2)</f>
        <v/>
      </c>
      <c r="V1" s="12" t="str">
        <f>image("https://i.imgur.com/SFt4gRI.png",2)</f>
        <v/>
      </c>
      <c r="W1" s="356"/>
      <c r="X1" s="356"/>
      <c r="Y1" s="356" t="str">
        <f>image("https://i.imgur.com/3bc1YTD.png",2)</f>
        <v/>
      </c>
      <c r="AB1" s="12" t="str">
        <f>image("https://i.imgur.com/fg0HuKV.png",2)</f>
        <v/>
      </c>
      <c r="AC1" s="356"/>
      <c r="AD1" s="356"/>
      <c r="AE1" s="356"/>
      <c r="AF1" s="356" t="str">
        <f>image("https://i.imgur.com/luE9jT2.png",2)</f>
        <v/>
      </c>
      <c r="AI1" s="12" t="str">
        <f>image("https://i.imgur.com/vesvvn5.png",2)</f>
        <v/>
      </c>
      <c r="AJ1" s="356"/>
      <c r="AK1" s="356"/>
      <c r="AL1" s="356"/>
      <c r="AM1" s="356" t="str">
        <f>image("https://i.imgur.com/3iztAPl.png",2)</f>
        <v/>
      </c>
      <c r="AP1" s="357"/>
      <c r="AS1" s="358"/>
      <c r="AT1" s="358"/>
      <c r="AU1" s="359"/>
      <c r="AV1" s="358"/>
      <c r="AW1" s="358"/>
      <c r="AX1" s="358"/>
      <c r="AY1" s="358"/>
      <c r="AZ1" s="358"/>
      <c r="BA1" s="358"/>
      <c r="BB1" s="358"/>
    </row>
    <row r="2" ht="15.75" customHeight="1">
      <c r="B2" s="12" t="str">
        <f>image("https://i.imgur.com/dFmmAEm.png",2)</f>
        <v/>
      </c>
      <c r="C2" s="360"/>
      <c r="E2" s="361">
        <v>0.0</v>
      </c>
      <c r="F2" s="25"/>
      <c r="H2" s="360"/>
      <c r="I2" s="360"/>
      <c r="K2" s="362">
        <v>0.0</v>
      </c>
      <c r="L2" s="25"/>
      <c r="N2" s="360"/>
      <c r="O2" s="360"/>
      <c r="Q2" s="363">
        <v>0.0</v>
      </c>
      <c r="R2" s="25"/>
      <c r="T2" s="360"/>
      <c r="U2" s="360"/>
      <c r="W2" s="364">
        <v>0.0</v>
      </c>
      <c r="X2" s="25"/>
      <c r="Z2" s="360"/>
      <c r="AA2" s="360"/>
      <c r="AC2" s="365">
        <f>SUM(E2*0.01+K2*0.1+Q2+W2*10)</f>
        <v>0</v>
      </c>
      <c r="AD2" s="25"/>
      <c r="AE2" s="25"/>
      <c r="AG2" s="360"/>
      <c r="AH2" s="360"/>
      <c r="AJ2" s="365">
        <f>sum(AS6:AS25,AU6:AU25,AW6:AW25,AS29:AS49,AU29:AU49,AW29:AW49,AC2)</f>
        <v>0</v>
      </c>
      <c r="AK2" s="25"/>
      <c r="AL2" s="25"/>
      <c r="AN2" s="360"/>
      <c r="AO2" s="360"/>
      <c r="AP2" s="366"/>
      <c r="AQ2" s="4" t="str">
        <f>image("https://i.imgur.com/M2OcRIZ.png",2)</f>
        <v/>
      </c>
      <c r="AS2" s="358"/>
      <c r="AT2" s="358"/>
      <c r="AU2" s="359"/>
      <c r="AV2" s="358"/>
      <c r="AW2" s="358"/>
      <c r="AX2" s="358"/>
      <c r="AY2" s="358"/>
      <c r="AZ2" s="358"/>
      <c r="BA2" s="358"/>
      <c r="BB2" s="358"/>
    </row>
    <row r="3" ht="15.75" customHeight="1">
      <c r="C3" s="367"/>
      <c r="E3" s="31"/>
      <c r="F3" s="31"/>
      <c r="H3" s="368" t="s">
        <v>291</v>
      </c>
      <c r="I3" s="70"/>
      <c r="K3" s="31"/>
      <c r="L3" s="31"/>
      <c r="N3" s="368" t="s">
        <v>292</v>
      </c>
      <c r="O3" s="70"/>
      <c r="Q3" s="31"/>
      <c r="R3" s="31"/>
      <c r="T3" s="368" t="s">
        <v>293</v>
      </c>
      <c r="U3" s="70"/>
      <c r="W3" s="31"/>
      <c r="X3" s="31"/>
      <c r="Z3" s="368" t="s">
        <v>294</v>
      </c>
      <c r="AA3" s="70"/>
      <c r="AC3" s="31"/>
      <c r="AD3" s="31"/>
      <c r="AE3" s="31"/>
      <c r="AG3" s="368" t="s">
        <v>295</v>
      </c>
      <c r="AH3" s="70"/>
      <c r="AJ3" s="31"/>
      <c r="AK3" s="31"/>
      <c r="AL3" s="31"/>
      <c r="AN3" s="368" t="s">
        <v>296</v>
      </c>
      <c r="AO3" s="70"/>
      <c r="AP3" s="70"/>
      <c r="AS3" s="358"/>
      <c r="AT3" s="358"/>
      <c r="AU3" s="359"/>
      <c r="AV3" s="358"/>
      <c r="AW3" s="358"/>
      <c r="AX3" s="358"/>
      <c r="AY3" s="358"/>
      <c r="AZ3" s="358"/>
      <c r="BA3" s="358"/>
      <c r="BB3" s="358"/>
    </row>
    <row r="4" ht="15.75" customHeight="1">
      <c r="C4" s="369"/>
      <c r="D4" s="171"/>
      <c r="E4" s="370"/>
      <c r="F4" s="370"/>
      <c r="G4" s="171"/>
      <c r="H4" s="369"/>
      <c r="I4" s="369"/>
      <c r="J4" s="171"/>
      <c r="K4" s="370"/>
      <c r="L4" s="370"/>
      <c r="M4" s="171"/>
      <c r="N4" s="369"/>
      <c r="P4" s="171"/>
      <c r="Q4" s="370"/>
      <c r="R4" s="370"/>
      <c r="S4" s="171"/>
      <c r="T4" s="369"/>
      <c r="U4" s="369"/>
      <c r="V4" s="171"/>
      <c r="W4" s="370"/>
      <c r="X4" s="370"/>
      <c r="Y4" s="171"/>
      <c r="Z4" s="369"/>
      <c r="AA4" s="369"/>
      <c r="AB4" s="171"/>
      <c r="AC4" s="356"/>
      <c r="AD4" s="356"/>
      <c r="AE4" s="370"/>
      <c r="AF4" s="171"/>
      <c r="AG4" s="369"/>
      <c r="AH4" s="369"/>
      <c r="AI4" s="171"/>
      <c r="AJ4" s="370"/>
      <c r="AK4" s="370"/>
      <c r="AL4" s="370"/>
      <c r="AM4" s="171"/>
      <c r="AN4" s="369"/>
      <c r="AO4" s="369"/>
      <c r="AP4" s="371"/>
      <c r="AS4" s="358"/>
      <c r="AT4" s="358"/>
      <c r="AU4" s="359"/>
      <c r="AV4" s="358"/>
      <c r="AW4" s="358"/>
      <c r="AX4" s="358"/>
      <c r="AY4" s="358"/>
      <c r="AZ4" s="358"/>
      <c r="BA4" s="358" t="str">
        <f>IFERROR(__xludf.DUMMYFUNCTION("iferror(ifna(filter(substitute(transpose(split(textjoin("","",True,D6:D25,R6:R25,AF6:AF25),"","")),"" (A)"",""""),isnumber(find(""(A)"",transpose(split(textjoin("","",True,D6:D25,R6:R25,AF6:AF25),"",""))))),""""))"),"")</f>
        <v/>
      </c>
      <c r="BB4" s="358"/>
    </row>
    <row r="5" ht="15.75" customHeight="1">
      <c r="C5" s="372" t="s">
        <v>297</v>
      </c>
      <c r="D5" s="373" t="s">
        <v>298</v>
      </c>
      <c r="E5" s="171"/>
      <c r="F5" s="171"/>
      <c r="G5" s="374" t="s">
        <v>299</v>
      </c>
      <c r="H5" s="171"/>
      <c r="I5" s="171"/>
      <c r="J5" s="171"/>
      <c r="K5" s="375" t="s">
        <v>300</v>
      </c>
      <c r="L5" s="171"/>
      <c r="M5" s="376" t="s">
        <v>205</v>
      </c>
      <c r="N5" s="171"/>
      <c r="O5" s="377"/>
      <c r="P5" s="378"/>
      <c r="Q5" s="372" t="s">
        <v>297</v>
      </c>
      <c r="R5" s="373" t="s">
        <v>298</v>
      </c>
      <c r="S5" s="171"/>
      <c r="T5" s="171"/>
      <c r="U5" s="374" t="s">
        <v>301</v>
      </c>
      <c r="V5" s="171"/>
      <c r="W5" s="171"/>
      <c r="X5" s="171"/>
      <c r="Y5" s="375" t="s">
        <v>300</v>
      </c>
      <c r="Z5" s="171"/>
      <c r="AA5" s="376" t="s">
        <v>205</v>
      </c>
      <c r="AB5" s="171"/>
      <c r="AC5" s="377"/>
      <c r="AD5" s="378"/>
      <c r="AE5" s="372" t="s">
        <v>297</v>
      </c>
      <c r="AF5" s="373" t="s">
        <v>298</v>
      </c>
      <c r="AG5" s="171"/>
      <c r="AH5" s="171"/>
      <c r="AI5" s="374" t="s">
        <v>302</v>
      </c>
      <c r="AJ5" s="171"/>
      <c r="AK5" s="171"/>
      <c r="AL5" s="171"/>
      <c r="AM5" s="375" t="s">
        <v>300</v>
      </c>
      <c r="AN5" s="171"/>
      <c r="AO5" s="376" t="s">
        <v>205</v>
      </c>
      <c r="AP5" s="171"/>
      <c r="AS5" s="379" t="s">
        <v>303</v>
      </c>
      <c r="AT5" s="380" t="s">
        <v>304</v>
      </c>
      <c r="AU5" s="381" t="s">
        <v>303</v>
      </c>
      <c r="AV5" s="380" t="s">
        <v>304</v>
      </c>
      <c r="AW5" s="381" t="s">
        <v>303</v>
      </c>
      <c r="AX5" s="380" t="s">
        <v>304</v>
      </c>
      <c r="AY5" s="358"/>
      <c r="AZ5" s="358"/>
      <c r="BA5" s="358"/>
      <c r="BB5" s="358"/>
    </row>
    <row r="6" ht="15.75" customHeight="1">
      <c r="C6" s="382"/>
      <c r="D6" s="383"/>
      <c r="E6" s="74"/>
      <c r="F6" s="74"/>
      <c r="G6" s="74"/>
      <c r="H6" s="74"/>
      <c r="I6" s="74"/>
      <c r="J6" s="74"/>
      <c r="K6" s="384"/>
      <c r="L6" s="74"/>
      <c r="M6" s="385">
        <v>0.0</v>
      </c>
      <c r="N6" s="74"/>
      <c r="O6" s="386"/>
      <c r="P6" s="387"/>
      <c r="Q6" s="388"/>
      <c r="R6" s="383"/>
      <c r="S6" s="74"/>
      <c r="T6" s="74"/>
      <c r="U6" s="74"/>
      <c r="V6" s="74"/>
      <c r="W6" s="74"/>
      <c r="X6" s="74"/>
      <c r="Y6" s="384"/>
      <c r="Z6" s="74"/>
      <c r="AA6" s="385">
        <v>0.0</v>
      </c>
      <c r="AB6" s="74"/>
      <c r="AC6" s="386"/>
      <c r="AD6" s="387"/>
      <c r="AE6" s="382"/>
      <c r="AF6" s="383"/>
      <c r="AG6" s="74"/>
      <c r="AH6" s="74"/>
      <c r="AI6" s="74"/>
      <c r="AJ6" s="74"/>
      <c r="AK6" s="74"/>
      <c r="AL6" s="74"/>
      <c r="AM6" s="384"/>
      <c r="AN6" s="74"/>
      <c r="AO6" s="385">
        <v>0.0</v>
      </c>
      <c r="AP6" s="74"/>
      <c r="AS6" s="389">
        <f>IFERROR(__xludf.DUMMYFUNCTION("if(OR(and(C6="""",D6="""",K6="""",M6=""""),K6=""-""),"""",if(iferror(regexextract(text(K6,""#.##""),""[0-9]+""),"""")="""",0,if(isnumber(find(""pp"",lower(K6))),value(left(K6,find(""pp"",lower(K6))-1))*10,if(isnumber(find(""sp"",lower(K6))),value(left(K6,"&amp;"find(""sp"",lower(K6))-1))*0.1,if(isnumber(find(""gp"",lower(K6))),value(left(K6,find(""gp"",lower(K6))-1)),if(isnumber(find(""cp"",lower(K6))),value(left(K6,find(""cp"",lower(K6))-1))*0.01,K6))))*if(C6="""",1,C6)))"),0.0)</f>
        <v>0</v>
      </c>
      <c r="AT6" s="390">
        <f t="shared" ref="AT6:AT25" si="1">if(M6="-",0,if(and(C6="",D6="",K6="",M6=""),"",if(C6="",M6,C6*M6)))</f>
        <v>0</v>
      </c>
      <c r="AU6" s="389">
        <f>IFERROR(__xludf.DUMMYFUNCTION("if(OR(and(Q6="""",R6="""",Y6="""",AA6=""""),Y6=""-""),"""",if(iferror(regexextract(text(Y6,""#.##""),""[0-9]+""),"""")="""",0,if(isnumber(find(""pp"",lower(Y6))),value(left(Y6,find(""pp"",lower(Y6))-1))*10,if(isnumber(find(""sp"",lower(Y6))),value(left(Y6"&amp;",find(""sp"",lower(Y6))-1))*0.1,if(isnumber(find(""gp"",lower(Y6))),value(left(Y6,find(""gp"",lower(Y6))-1)),if(isnumber(find(""cp"",lower(Y6))),value(left(Y6,find(""cp"",lower(Y6))-1))*0.01,Y6))))*if(Q6="""",1,Q6)))"),0.0)</f>
        <v>0</v>
      </c>
      <c r="AV6" s="390">
        <f t="shared" ref="AV6:AV25" si="2">if(AA6="-",0,if(and(Q6="",R6="",Y6="",AA6=""),"",if(Q6="",AA6,Q6*AA6)))</f>
        <v>0</v>
      </c>
      <c r="AW6" s="389">
        <f>IFERROR(__xludf.DUMMYFUNCTION("if(OR(and(AE6="""",AF6="""",AM6="""",AO6=""""),AM6=""-""),"""",if(iferror(regexextract(text(AM6,""#.##""),""[0-9]+""),"""")="""",0,if(isnumber(find(""pp"",lower(AM6))),value(left(AM6,find(""pp"",lower(AM6))-1))*10,if(isnumber(find(""sp"",lower(AM6))),valu"&amp;"e(left(AM6,find(""sp"",lower(AM6))-1))*0.1,if(isnumber(find(""gp"",lower(AM6))),value(left(AM6,find(""gp"",lower(AM6))-1)),if(isnumber(find(""cp"",lower(AM6))),value(left(AM6,find(""cp"",lower(AM6))-1))*0.01,AM6))))*if(AE6="""",1,AE6)))"),0.0)</f>
        <v>0</v>
      </c>
      <c r="AX6" s="391">
        <f t="shared" ref="AX6:AX25" si="3">if(AO6="-",0,if(and(AE6="",AF6="",AM6="",AO6=""),"",if(AE6="",AO6,AE6*AO6)))</f>
        <v>0</v>
      </c>
      <c r="AY6" s="358"/>
      <c r="AZ6" s="358"/>
      <c r="BA6" s="358"/>
      <c r="BB6" s="358"/>
    </row>
    <row r="7" ht="15.75" customHeight="1">
      <c r="C7" s="382"/>
      <c r="D7" s="383"/>
      <c r="E7" s="74"/>
      <c r="F7" s="74"/>
      <c r="G7" s="74"/>
      <c r="H7" s="74"/>
      <c r="I7" s="74"/>
      <c r="J7" s="74"/>
      <c r="K7" s="384"/>
      <c r="L7" s="74"/>
      <c r="M7" s="385">
        <v>0.0</v>
      </c>
      <c r="N7" s="74"/>
      <c r="O7" s="386"/>
      <c r="P7" s="387"/>
      <c r="Q7" s="382"/>
      <c r="R7" s="383"/>
      <c r="S7" s="74"/>
      <c r="T7" s="74"/>
      <c r="U7" s="74"/>
      <c r="V7" s="74"/>
      <c r="W7" s="74"/>
      <c r="X7" s="74"/>
      <c r="Y7" s="384"/>
      <c r="Z7" s="74"/>
      <c r="AA7" s="385">
        <v>0.0</v>
      </c>
      <c r="AB7" s="74"/>
      <c r="AC7" s="392"/>
      <c r="AD7" s="387"/>
      <c r="AE7" s="388"/>
      <c r="AF7" s="393"/>
      <c r="AG7" s="74"/>
      <c r="AH7" s="74"/>
      <c r="AI7" s="74"/>
      <c r="AJ7" s="74"/>
      <c r="AK7" s="74"/>
      <c r="AL7" s="74"/>
      <c r="AM7" s="384"/>
      <c r="AN7" s="74"/>
      <c r="AO7" s="394">
        <v>0.0</v>
      </c>
      <c r="AP7" s="74"/>
      <c r="AS7" s="389">
        <f>IFERROR(__xludf.DUMMYFUNCTION("if(OR(and(C7="""",D7="""",K7="""",M7=""""),K7=""-""),"""",if(iferror(regexextract(text(K7,""#.##""),""[0-9]+""),"""")="""",0,if(isnumber(find(""pp"",lower(K7))),value(left(K7,find(""pp"",lower(K7))-1))*10,if(isnumber(find(""sp"",lower(K7))),value(left(K7,"&amp;"find(""sp"",lower(K7))-1))*0.1,if(isnumber(find(""gp"",lower(K7))),value(left(K7,find(""gp"",lower(K7))-1)),if(isnumber(find(""cp"",lower(K7))),value(left(K7,find(""cp"",lower(K7))-1))*0.01,K7))))*if(C7="""",1,C7)))"),0.0)</f>
        <v>0</v>
      </c>
      <c r="AT7" s="390">
        <f t="shared" si="1"/>
        <v>0</v>
      </c>
      <c r="AU7" s="389">
        <f>IFERROR(__xludf.DUMMYFUNCTION("if(OR(and(Q7="""",R7="""",Y7="""",AA7=""""),Y7=""-""),"""",if(iferror(regexextract(text(Y7,""#.##""),""[0-9]+""),"""")="""",0,if(isnumber(find(""pp"",lower(Y7))),value(left(Y7,find(""pp"",lower(Y7))-1))*10,if(isnumber(find(""sp"",lower(Y7))),value(left(Y7"&amp;",find(""sp"",lower(Y7))-1))*0.1,if(isnumber(find(""gp"",lower(Y7))),value(left(Y7,find(""gp"",lower(Y7))-1)),if(isnumber(find(""cp"",lower(Y7))),value(left(Y7,find(""cp"",lower(Y7))-1))*0.01,Y7))))*if(Q7="""",1,Q7)))"),0.0)</f>
        <v>0</v>
      </c>
      <c r="AV7" s="390">
        <f t="shared" si="2"/>
        <v>0</v>
      </c>
      <c r="AW7" s="389">
        <f>IFERROR(__xludf.DUMMYFUNCTION("if(OR(and(AE7="""",AF7="""",AM7="""",AO7=""""),AM7=""-""),"""",if(iferror(regexextract(text(AM7,""#.##""),""[0-9]+""),"""")="""",0,if(isnumber(find(""pp"",lower(AM7))),value(left(AM7,find(""pp"",lower(AM7))-1))*10,if(isnumber(find(""sp"",lower(AM7))),valu"&amp;"e(left(AM7,find(""sp"",lower(AM7))-1))*0.1,if(isnumber(find(""gp"",lower(AM7))),value(left(AM7,find(""gp"",lower(AM7))-1)),if(isnumber(find(""cp"",lower(AM7))),value(left(AM7,find(""cp"",lower(AM7))-1))*0.01,AM7))))*if(AE7="""",1,AE7)))"),0.0)</f>
        <v>0</v>
      </c>
      <c r="AX7" s="391">
        <f t="shared" si="3"/>
        <v>0</v>
      </c>
      <c r="AY7" s="358"/>
      <c r="AZ7" s="358"/>
      <c r="BA7" s="358"/>
      <c r="BB7" s="358"/>
    </row>
    <row r="8" ht="15.75" customHeight="1">
      <c r="C8" s="382"/>
      <c r="D8" s="383"/>
      <c r="E8" s="74"/>
      <c r="F8" s="74"/>
      <c r="G8" s="74"/>
      <c r="H8" s="74"/>
      <c r="I8" s="74"/>
      <c r="J8" s="74"/>
      <c r="K8" s="384"/>
      <c r="L8" s="74"/>
      <c r="M8" s="385">
        <v>0.0</v>
      </c>
      <c r="N8" s="74"/>
      <c r="O8" s="392"/>
      <c r="P8" s="387"/>
      <c r="Q8" s="388"/>
      <c r="R8" s="383"/>
      <c r="S8" s="74"/>
      <c r="T8" s="74"/>
      <c r="U8" s="74"/>
      <c r="V8" s="74"/>
      <c r="W8" s="74"/>
      <c r="X8" s="74"/>
      <c r="Y8" s="384"/>
      <c r="Z8" s="74"/>
      <c r="AA8" s="385">
        <v>0.0</v>
      </c>
      <c r="AB8" s="74"/>
      <c r="AC8" s="392"/>
      <c r="AD8" s="387"/>
      <c r="AE8" s="388"/>
      <c r="AF8" s="383"/>
      <c r="AG8" s="74"/>
      <c r="AH8" s="74"/>
      <c r="AI8" s="74"/>
      <c r="AJ8" s="74"/>
      <c r="AK8" s="74"/>
      <c r="AL8" s="74"/>
      <c r="AM8" s="384"/>
      <c r="AN8" s="74"/>
      <c r="AO8" s="394">
        <v>0.0</v>
      </c>
      <c r="AP8" s="74"/>
      <c r="AS8" s="389">
        <f>IFERROR(__xludf.DUMMYFUNCTION("if(OR(and(C8="""",D8="""",K8="""",M8=""""),K8=""-""),"""",if(iferror(regexextract(text(K8,""#.##""),""[0-9]+""),"""")="""",0,if(isnumber(find(""pp"",lower(K8))),value(left(K8,find(""pp"",lower(K8))-1))*10,if(isnumber(find(""sp"",lower(K8))),value(left(K8,"&amp;"find(""sp"",lower(K8))-1))*0.1,if(isnumber(find(""gp"",lower(K8))),value(left(K8,find(""gp"",lower(K8))-1)),if(isnumber(find(""cp"",lower(K8))),value(left(K8,find(""cp"",lower(K8))-1))*0.01,K8))))*if(C8="""",1,C8)))"),0.0)</f>
        <v>0</v>
      </c>
      <c r="AT8" s="390">
        <f t="shared" si="1"/>
        <v>0</v>
      </c>
      <c r="AU8" s="389">
        <f>IFERROR(__xludf.DUMMYFUNCTION("if(OR(and(Q8="""",R8="""",Y8="""",AA8=""""),Y8=""-""),"""",if(iferror(regexextract(text(Y8,""#.##""),""[0-9]+""),"""")="""",0,if(isnumber(find(""pp"",lower(Y8))),value(left(Y8,find(""pp"",lower(Y8))-1))*10,if(isnumber(find(""sp"",lower(Y8))),value(left(Y8"&amp;",find(""sp"",lower(Y8))-1))*0.1,if(isnumber(find(""gp"",lower(Y8))),value(left(Y8,find(""gp"",lower(Y8))-1)),if(isnumber(find(""cp"",lower(Y8))),value(left(Y8,find(""cp"",lower(Y8))-1))*0.01,Y8))))*if(Q8="""",1,Q8)))"),0.0)</f>
        <v>0</v>
      </c>
      <c r="AV8" s="390">
        <f t="shared" si="2"/>
        <v>0</v>
      </c>
      <c r="AW8" s="389">
        <f>IFERROR(__xludf.DUMMYFUNCTION("if(OR(and(AE8="""",AF8="""",AM8="""",AO8=""""),AM8=""-""),"""",if(iferror(regexextract(text(AM8,""#.##""),""[0-9]+""),"""")="""",0,if(isnumber(find(""pp"",lower(AM8))),value(left(AM8,find(""pp"",lower(AM8))-1))*10,if(isnumber(find(""sp"",lower(AM8))),valu"&amp;"e(left(AM8,find(""sp"",lower(AM8))-1))*0.1,if(isnumber(find(""gp"",lower(AM8))),value(left(AM8,find(""gp"",lower(AM8))-1)),if(isnumber(find(""cp"",lower(AM8))),value(left(AM8,find(""cp"",lower(AM8))-1))*0.01,AM8))))*if(AE8="""",1,AE8)))"),0.0)</f>
        <v>0</v>
      </c>
      <c r="AX8" s="391">
        <f t="shared" si="3"/>
        <v>0</v>
      </c>
      <c r="AY8" s="358"/>
      <c r="AZ8" s="358"/>
      <c r="BA8" s="358"/>
      <c r="BB8" s="358"/>
    </row>
    <row r="9" ht="15.75" customHeight="1">
      <c r="C9" s="382"/>
      <c r="D9" s="383"/>
      <c r="E9" s="74"/>
      <c r="F9" s="74"/>
      <c r="G9" s="74"/>
      <c r="H9" s="74"/>
      <c r="I9" s="74"/>
      <c r="J9" s="74"/>
      <c r="K9" s="395"/>
      <c r="L9" s="74"/>
      <c r="M9" s="385">
        <v>0.0</v>
      </c>
      <c r="N9" s="74"/>
      <c r="O9" s="386"/>
      <c r="P9" s="387"/>
      <c r="Q9" s="388"/>
      <c r="R9" s="383"/>
      <c r="S9" s="74"/>
      <c r="T9" s="74"/>
      <c r="U9" s="74"/>
      <c r="V9" s="74"/>
      <c r="W9" s="74"/>
      <c r="X9" s="74"/>
      <c r="Y9" s="395"/>
      <c r="Z9" s="74"/>
      <c r="AA9" s="385">
        <v>0.0</v>
      </c>
      <c r="AB9" s="74"/>
      <c r="AC9" s="386"/>
      <c r="AD9" s="387"/>
      <c r="AE9" s="388"/>
      <c r="AF9" s="383"/>
      <c r="AG9" s="74"/>
      <c r="AH9" s="74"/>
      <c r="AI9" s="74"/>
      <c r="AJ9" s="74"/>
      <c r="AK9" s="74"/>
      <c r="AL9" s="74"/>
      <c r="AM9" s="395"/>
      <c r="AN9" s="74"/>
      <c r="AO9" s="385">
        <v>0.0</v>
      </c>
      <c r="AP9" s="74"/>
      <c r="AS9" s="389">
        <f>IFERROR(__xludf.DUMMYFUNCTION("if(OR(and(C9="""",D9="""",K9="""",M9=""""),K9=""-""),"""",if(iferror(regexextract(text(K9,""#.##""),""[0-9]+""),"""")="""",0,if(isnumber(find(""pp"",lower(K9))),value(left(K9,find(""pp"",lower(K9))-1))*10,if(isnumber(find(""sp"",lower(K9))),value(left(K9,"&amp;"find(""sp"",lower(K9))-1))*0.1,if(isnumber(find(""gp"",lower(K9))),value(left(K9,find(""gp"",lower(K9))-1)),if(isnumber(find(""cp"",lower(K9))),value(left(K9,find(""cp"",lower(K9))-1))*0.01,K9))))*if(C9="""",1,C9)))"),0.0)</f>
        <v>0</v>
      </c>
      <c r="AT9" s="390">
        <f t="shared" si="1"/>
        <v>0</v>
      </c>
      <c r="AU9" s="389">
        <f>IFERROR(__xludf.DUMMYFUNCTION("if(OR(and(Q9="""",R9="""",Y9="""",AA9=""""),Y9=""-""),"""",if(iferror(regexextract(text(Y9,""#.##""),""[0-9]+""),"""")="""",0,if(isnumber(find(""pp"",lower(Y9))),value(left(Y9,find(""pp"",lower(Y9))-1))*10,if(isnumber(find(""sp"",lower(Y9))),value(left(Y9"&amp;",find(""sp"",lower(Y9))-1))*0.1,if(isnumber(find(""gp"",lower(Y9))),value(left(Y9,find(""gp"",lower(Y9))-1)),if(isnumber(find(""cp"",lower(Y9))),value(left(Y9,find(""cp"",lower(Y9))-1))*0.01,Y9))))*if(Q9="""",1,Q9)))"),0.0)</f>
        <v>0</v>
      </c>
      <c r="AV9" s="390">
        <f t="shared" si="2"/>
        <v>0</v>
      </c>
      <c r="AW9" s="389">
        <f>IFERROR(__xludf.DUMMYFUNCTION("if(OR(and(AE9="""",AF9="""",AM9="""",AO9=""""),AM9=""-""),"""",if(iferror(regexextract(text(AM9,""#.##""),""[0-9]+""),"""")="""",0,if(isnumber(find(""pp"",lower(AM9))),value(left(AM9,find(""pp"",lower(AM9))-1))*10,if(isnumber(find(""sp"",lower(AM9))),valu"&amp;"e(left(AM9,find(""sp"",lower(AM9))-1))*0.1,if(isnumber(find(""gp"",lower(AM9))),value(left(AM9,find(""gp"",lower(AM9))-1)),if(isnumber(find(""cp"",lower(AM9))),value(left(AM9,find(""cp"",lower(AM9))-1))*0.01,AM9))))*if(AE9="""",1,AE9)))"),0.0)</f>
        <v>0</v>
      </c>
      <c r="AX9" s="391">
        <f t="shared" si="3"/>
        <v>0</v>
      </c>
      <c r="AY9" s="358"/>
      <c r="AZ9" s="358"/>
      <c r="BA9" s="358"/>
      <c r="BB9" s="358"/>
    </row>
    <row r="10" ht="15.75" customHeight="1">
      <c r="C10" s="388"/>
      <c r="D10" s="383"/>
      <c r="E10" s="74"/>
      <c r="F10" s="74"/>
      <c r="G10" s="74"/>
      <c r="H10" s="74"/>
      <c r="I10" s="74"/>
      <c r="J10" s="74"/>
      <c r="K10" s="384"/>
      <c r="L10" s="74"/>
      <c r="M10" s="385">
        <v>0.0</v>
      </c>
      <c r="N10" s="74"/>
      <c r="O10" s="386"/>
      <c r="P10" s="387"/>
      <c r="Q10" s="388"/>
      <c r="R10" s="383"/>
      <c r="S10" s="74"/>
      <c r="T10" s="74"/>
      <c r="U10" s="74"/>
      <c r="V10" s="74"/>
      <c r="W10" s="74"/>
      <c r="X10" s="74"/>
      <c r="Y10" s="384"/>
      <c r="Z10" s="74"/>
      <c r="AA10" s="385">
        <v>0.0</v>
      </c>
      <c r="AB10" s="74"/>
      <c r="AC10" s="386"/>
      <c r="AD10" s="387"/>
      <c r="AE10" s="388"/>
      <c r="AF10" s="383"/>
      <c r="AG10" s="74"/>
      <c r="AH10" s="74"/>
      <c r="AI10" s="74"/>
      <c r="AJ10" s="74"/>
      <c r="AK10" s="74"/>
      <c r="AL10" s="74"/>
      <c r="AM10" s="384"/>
      <c r="AN10" s="74"/>
      <c r="AO10" s="385">
        <v>0.0</v>
      </c>
      <c r="AP10" s="74"/>
      <c r="AS10" s="389">
        <f>IFERROR(__xludf.DUMMYFUNCTION("if(OR(and(C10="""",D10="""",K10="""",M10=""""),K10=""-""),"""",if(iferror(regexextract(text(K10,""#.##""),""[0-9]+""),"""")="""",0,if(isnumber(find(""pp"",lower(K10))),value(left(K10,find(""pp"",lower(K10))-1))*10,if(isnumber(find(""sp"",lower(K10))),valu"&amp;"e(left(K10,find(""sp"",lower(K10))-1))*0.1,if(isnumber(find(""gp"",lower(K10))),value(left(K10,find(""gp"",lower(K10))-1)),if(isnumber(find(""cp"",lower(K10))),value(left(K10,find(""cp"",lower(K10))-1))*0.01,K10))))*if(C10="""",1,C10)))"),0.0)</f>
        <v>0</v>
      </c>
      <c r="AT10" s="390">
        <f t="shared" si="1"/>
        <v>0</v>
      </c>
      <c r="AU10" s="389">
        <f>IFERROR(__xludf.DUMMYFUNCTION("if(OR(and(Q10="""",R10="""",Y10="""",AA10=""""),Y10=""-""),"""",if(iferror(regexextract(text(Y10,""#.##""),""[0-9]+""),"""")="""",0,if(isnumber(find(""pp"",lower(Y10))),value(left(Y10,find(""pp"",lower(Y10))-1))*10,if(isnumber(find(""sp"",lower(Y10))),val"&amp;"ue(left(Y10,find(""sp"",lower(Y10))-1))*0.1,if(isnumber(find(""gp"",lower(Y10))),value(left(Y10,find(""gp"",lower(Y10))-1)),if(isnumber(find(""cp"",lower(Y10))),value(left(Y10,find(""cp"",lower(Y10))-1))*0.01,Y10))))*if(Q10="""",1,Q10)))"),0.0)</f>
        <v>0</v>
      </c>
      <c r="AV10" s="390">
        <f t="shared" si="2"/>
        <v>0</v>
      </c>
      <c r="AW10" s="389">
        <f>IFERROR(__xludf.DUMMYFUNCTION("if(OR(and(AE10="""",AF10="""",AM10="""",AO10=""""),AM10=""-""),"""",if(iferror(regexextract(text(AM10,""#.##""),""[0-9]+""),"""")="""",0,if(isnumber(find(""pp"",lower(AM10))),value(left(AM10,find(""pp"",lower(AM10))-1))*10,if(isnumber(find(""sp"",lower(AM"&amp;"10))),value(left(AM10,find(""sp"",lower(AM10))-1))*0.1,if(isnumber(find(""gp"",lower(AM10))),value(left(AM10,find(""gp"",lower(AM10))-1)),if(isnumber(find(""cp"",lower(AM10))),value(left(AM10,find(""cp"",lower(AM10))-1))*0.01,AM10))))*if(AE10="""",1,AE10)"&amp;"))"),0.0)</f>
        <v>0</v>
      </c>
      <c r="AX10" s="391">
        <f t="shared" si="3"/>
        <v>0</v>
      </c>
      <c r="AY10" s="358"/>
      <c r="AZ10" s="358"/>
      <c r="BA10" s="358"/>
      <c r="BB10" s="358"/>
    </row>
    <row r="11" ht="15.75" customHeight="1">
      <c r="C11" s="388"/>
      <c r="D11" s="383"/>
      <c r="E11" s="74"/>
      <c r="F11" s="74"/>
      <c r="G11" s="74"/>
      <c r="H11" s="74"/>
      <c r="I11" s="74"/>
      <c r="J11" s="74"/>
      <c r="K11" s="384"/>
      <c r="L11" s="74"/>
      <c r="M11" s="385">
        <v>0.0</v>
      </c>
      <c r="N11" s="74"/>
      <c r="O11" s="386"/>
      <c r="P11" s="387"/>
      <c r="Q11" s="388"/>
      <c r="R11" s="383"/>
      <c r="S11" s="74"/>
      <c r="T11" s="74"/>
      <c r="U11" s="74"/>
      <c r="V11" s="74"/>
      <c r="W11" s="74"/>
      <c r="X11" s="74"/>
      <c r="Y11" s="384"/>
      <c r="Z11" s="74"/>
      <c r="AA11" s="385">
        <v>0.0</v>
      </c>
      <c r="AB11" s="74"/>
      <c r="AC11" s="386"/>
      <c r="AD11" s="387"/>
      <c r="AE11" s="388"/>
      <c r="AF11" s="383"/>
      <c r="AG11" s="74"/>
      <c r="AH11" s="74"/>
      <c r="AI11" s="74"/>
      <c r="AJ11" s="74"/>
      <c r="AK11" s="74"/>
      <c r="AL11" s="74"/>
      <c r="AM11" s="384"/>
      <c r="AN11" s="74"/>
      <c r="AO11" s="385">
        <v>0.0</v>
      </c>
      <c r="AP11" s="74"/>
      <c r="AS11" s="389">
        <f>IFERROR(__xludf.DUMMYFUNCTION("if(OR(and(C11="""",D11="""",K11="""",M11=""""),K11=""-""),"""",if(iferror(regexextract(text(K11,""#.##""),""[0-9]+""),"""")="""",0,if(isnumber(find(""pp"",lower(K11))),value(left(K11,find(""pp"",lower(K11))-1))*10,if(isnumber(find(""sp"",lower(K11))),valu"&amp;"e(left(K11,find(""sp"",lower(K11))-1))*0.1,if(isnumber(find(""gp"",lower(K11))),value(left(K11,find(""gp"",lower(K11))-1)),if(isnumber(find(""cp"",lower(K11))),value(left(K11,find(""cp"",lower(K11))-1))*0.01,K11))))*if(C11="""",1,C11)))"),0.0)</f>
        <v>0</v>
      </c>
      <c r="AT11" s="390">
        <f t="shared" si="1"/>
        <v>0</v>
      </c>
      <c r="AU11" s="389">
        <f>IFERROR(__xludf.DUMMYFUNCTION("if(OR(and(Q11="""",R11="""",Y11="""",AA11=""""),Y11=""-""),"""",if(iferror(regexextract(text(Y11,""#.##""),""[0-9]+""),"""")="""",0,if(isnumber(find(""pp"",lower(Y11))),value(left(Y11,find(""pp"",lower(Y11))-1))*10,if(isnumber(find(""sp"",lower(Y11))),val"&amp;"ue(left(Y11,find(""sp"",lower(Y11))-1))*0.1,if(isnumber(find(""gp"",lower(Y11))),value(left(Y11,find(""gp"",lower(Y11))-1)),if(isnumber(find(""cp"",lower(Y11))),value(left(Y11,find(""cp"",lower(Y11))-1))*0.01,Y11))))*if(Q11="""",1,Q11)))"),0.0)</f>
        <v>0</v>
      </c>
      <c r="AV11" s="390">
        <f t="shared" si="2"/>
        <v>0</v>
      </c>
      <c r="AW11" s="389">
        <f>IFERROR(__xludf.DUMMYFUNCTION("if(OR(and(AE11="""",AF11="""",AM11="""",AO11=""""),AM11=""-""),"""",if(iferror(regexextract(text(AM11,""#.##""),""[0-9]+""),"""")="""",0,if(isnumber(find(""pp"",lower(AM11))),value(left(AM11,find(""pp"",lower(AM11))-1))*10,if(isnumber(find(""sp"",lower(AM"&amp;"11))),value(left(AM11,find(""sp"",lower(AM11))-1))*0.1,if(isnumber(find(""gp"",lower(AM11))),value(left(AM11,find(""gp"",lower(AM11))-1)),if(isnumber(find(""cp"",lower(AM11))),value(left(AM11,find(""cp"",lower(AM11))-1))*0.01,AM11))))*if(AE11="""",1,AE11)"&amp;"))"),0.0)</f>
        <v>0</v>
      </c>
      <c r="AX11" s="391">
        <f t="shared" si="3"/>
        <v>0</v>
      </c>
      <c r="AY11" s="358"/>
      <c r="AZ11" s="358"/>
      <c r="BA11" s="358"/>
      <c r="BB11" s="358"/>
    </row>
    <row r="12" ht="15.75" customHeight="1">
      <c r="C12" s="382"/>
      <c r="D12" s="383"/>
      <c r="E12" s="74"/>
      <c r="F12" s="74"/>
      <c r="G12" s="74"/>
      <c r="H12" s="74"/>
      <c r="I12" s="74"/>
      <c r="J12" s="74"/>
      <c r="K12" s="395"/>
      <c r="L12" s="74"/>
      <c r="M12" s="385">
        <v>0.0</v>
      </c>
      <c r="N12" s="74"/>
      <c r="O12" s="386"/>
      <c r="P12" s="387"/>
      <c r="Q12" s="388"/>
      <c r="R12" s="383"/>
      <c r="S12" s="74"/>
      <c r="T12" s="74"/>
      <c r="U12" s="74"/>
      <c r="V12" s="74"/>
      <c r="W12" s="74"/>
      <c r="X12" s="74"/>
      <c r="Y12" s="395"/>
      <c r="Z12" s="74"/>
      <c r="AA12" s="385">
        <v>0.0</v>
      </c>
      <c r="AB12" s="74"/>
      <c r="AC12" s="392"/>
      <c r="AD12" s="387"/>
      <c r="AE12" s="382"/>
      <c r="AF12" s="383"/>
      <c r="AG12" s="74"/>
      <c r="AH12" s="74"/>
      <c r="AI12" s="74"/>
      <c r="AJ12" s="74"/>
      <c r="AK12" s="74"/>
      <c r="AL12" s="74"/>
      <c r="AM12" s="395"/>
      <c r="AN12" s="74"/>
      <c r="AO12" s="385">
        <v>0.0</v>
      </c>
      <c r="AP12" s="74"/>
      <c r="AS12" s="389">
        <f>IFERROR(__xludf.DUMMYFUNCTION("if(OR(and(C12="""",D12="""",K12="""",M12=""""),K12=""-""),"""",if(iferror(regexextract(text(K12,""#.##""),""[0-9]+""),"""")="""",0,if(isnumber(find(""pp"",lower(K12))),value(left(K12,find(""pp"",lower(K12))-1))*10,if(isnumber(find(""sp"",lower(K12))),valu"&amp;"e(left(K12,find(""sp"",lower(K12))-1))*0.1,if(isnumber(find(""gp"",lower(K12))),value(left(K12,find(""gp"",lower(K12))-1)),if(isnumber(find(""cp"",lower(K12))),value(left(K12,find(""cp"",lower(K12))-1))*0.01,K12))))*if(C12="""",1,C12)))"),0.0)</f>
        <v>0</v>
      </c>
      <c r="AT12" s="390">
        <f t="shared" si="1"/>
        <v>0</v>
      </c>
      <c r="AU12" s="389">
        <f>IFERROR(__xludf.DUMMYFUNCTION("if(OR(and(Q12="""",R12="""",Y12="""",AA12=""""),Y12=""-""),"""",if(iferror(regexextract(text(Y12,""#.##""),""[0-9]+""),"""")="""",0,if(isnumber(find(""pp"",lower(Y12))),value(left(Y12,find(""pp"",lower(Y12))-1))*10,if(isnumber(find(""sp"",lower(Y12))),val"&amp;"ue(left(Y12,find(""sp"",lower(Y12))-1))*0.1,if(isnumber(find(""gp"",lower(Y12))),value(left(Y12,find(""gp"",lower(Y12))-1)),if(isnumber(find(""cp"",lower(Y12))),value(left(Y12,find(""cp"",lower(Y12))-1))*0.01,Y12))))*if(Q12="""",1,Q12)))"),0.0)</f>
        <v>0</v>
      </c>
      <c r="AV12" s="390">
        <f t="shared" si="2"/>
        <v>0</v>
      </c>
      <c r="AW12" s="389">
        <f>IFERROR(__xludf.DUMMYFUNCTION("if(OR(and(AE12="""",AF12="""",AM12="""",AO12=""""),AM12=""-""),"""",if(iferror(regexextract(text(AM12,""#.##""),""[0-9]+""),"""")="""",0,if(isnumber(find(""pp"",lower(AM12))),value(left(AM12,find(""pp"",lower(AM12))-1))*10,if(isnumber(find(""sp"",lower(AM"&amp;"12))),value(left(AM12,find(""sp"",lower(AM12))-1))*0.1,if(isnumber(find(""gp"",lower(AM12))),value(left(AM12,find(""gp"",lower(AM12))-1)),if(isnumber(find(""cp"",lower(AM12))),value(left(AM12,find(""cp"",lower(AM12))-1))*0.01,AM12))))*if(AE12="""",1,AE12)"&amp;"))"),0.0)</f>
        <v>0</v>
      </c>
      <c r="AX12" s="391">
        <f t="shared" si="3"/>
        <v>0</v>
      </c>
      <c r="AY12" s="358"/>
      <c r="AZ12" s="358"/>
      <c r="BA12" s="358"/>
      <c r="BB12" s="358"/>
    </row>
    <row r="13" ht="15.75" customHeight="1">
      <c r="C13" s="382"/>
      <c r="D13" s="383"/>
      <c r="E13" s="74"/>
      <c r="F13" s="74"/>
      <c r="G13" s="74"/>
      <c r="H13" s="74"/>
      <c r="I13" s="74"/>
      <c r="J13" s="74"/>
      <c r="K13" s="384"/>
      <c r="L13" s="74"/>
      <c r="M13" s="385">
        <v>0.0</v>
      </c>
      <c r="N13" s="74"/>
      <c r="O13" s="386"/>
      <c r="P13" s="387"/>
      <c r="Q13" s="388"/>
      <c r="R13" s="383"/>
      <c r="S13" s="74"/>
      <c r="T13" s="74"/>
      <c r="U13" s="74"/>
      <c r="V13" s="74"/>
      <c r="W13" s="74"/>
      <c r="X13" s="74"/>
      <c r="Y13" s="384"/>
      <c r="Z13" s="74"/>
      <c r="AA13" s="394">
        <v>0.0</v>
      </c>
      <c r="AB13" s="74"/>
      <c r="AC13" s="392"/>
      <c r="AD13" s="387"/>
      <c r="AE13" s="388"/>
      <c r="AF13" s="383"/>
      <c r="AG13" s="74"/>
      <c r="AH13" s="74"/>
      <c r="AI13" s="74"/>
      <c r="AJ13" s="74"/>
      <c r="AK13" s="74"/>
      <c r="AL13" s="74"/>
      <c r="AM13" s="396"/>
      <c r="AN13" s="74"/>
      <c r="AO13" s="394">
        <v>0.0</v>
      </c>
      <c r="AP13" s="74"/>
      <c r="AS13" s="389">
        <f>IFERROR(__xludf.DUMMYFUNCTION("if(OR(and(C13="""",D13="""",K13="""",M13=""""),K13=""-""),"""",if(iferror(regexextract(text(K13,""#.##""),""[0-9]+""),"""")="""",0,if(isnumber(find(""pp"",lower(K13))),value(left(K13,find(""pp"",lower(K13))-1))*10,if(isnumber(find(""sp"",lower(K13))),valu"&amp;"e(left(K13,find(""sp"",lower(K13))-1))*0.1,if(isnumber(find(""gp"",lower(K13))),value(left(K13,find(""gp"",lower(K13))-1)),if(isnumber(find(""cp"",lower(K13))),value(left(K13,find(""cp"",lower(K13))-1))*0.01,K13))))*if(C13="""",1,C13)))"),0.0)</f>
        <v>0</v>
      </c>
      <c r="AT13" s="390">
        <f t="shared" si="1"/>
        <v>0</v>
      </c>
      <c r="AU13" s="389">
        <f>IFERROR(__xludf.DUMMYFUNCTION("if(OR(and(Q13="""",R13="""",Y13="""",AA13=""""),Y13=""-""),"""",if(iferror(regexextract(text(Y13,""#.##""),""[0-9]+""),"""")="""",0,if(isnumber(find(""pp"",lower(Y13))),value(left(Y13,find(""pp"",lower(Y13))-1))*10,if(isnumber(find(""sp"",lower(Y13))),val"&amp;"ue(left(Y13,find(""sp"",lower(Y13))-1))*0.1,if(isnumber(find(""gp"",lower(Y13))),value(left(Y13,find(""gp"",lower(Y13))-1)),if(isnumber(find(""cp"",lower(Y13))),value(left(Y13,find(""cp"",lower(Y13))-1))*0.01,Y13))))*if(Q13="""",1,Q13)))"),0.0)</f>
        <v>0</v>
      </c>
      <c r="AV13" s="390">
        <f t="shared" si="2"/>
        <v>0</v>
      </c>
      <c r="AW13" s="389">
        <f>IFERROR(__xludf.DUMMYFUNCTION("if(OR(and(AE13="""",AF13="""",AM13="""",AO13=""""),AM13=""-""),"""",if(iferror(regexextract(text(AM13,""#.##""),""[0-9]+""),"""")="""",0,if(isnumber(find(""pp"",lower(AM13))),value(left(AM13,find(""pp"",lower(AM13))-1))*10,if(isnumber(find(""sp"",lower(AM"&amp;"13))),value(left(AM13,find(""sp"",lower(AM13))-1))*0.1,if(isnumber(find(""gp"",lower(AM13))),value(left(AM13,find(""gp"",lower(AM13))-1)),if(isnumber(find(""cp"",lower(AM13))),value(left(AM13,find(""cp"",lower(AM13))-1))*0.01,AM13))))*if(AE13="""",1,AE13)"&amp;"))"),0.0)</f>
        <v>0</v>
      </c>
      <c r="AX13" s="391">
        <f t="shared" si="3"/>
        <v>0</v>
      </c>
      <c r="AY13" s="358"/>
      <c r="AZ13" s="358"/>
      <c r="BA13" s="358"/>
      <c r="BB13" s="358"/>
    </row>
    <row r="14" ht="15.75" customHeight="1">
      <c r="C14" s="382"/>
      <c r="D14" s="383"/>
      <c r="E14" s="74"/>
      <c r="F14" s="74"/>
      <c r="G14" s="74"/>
      <c r="H14" s="74"/>
      <c r="I14" s="74"/>
      <c r="J14" s="74"/>
      <c r="K14" s="384"/>
      <c r="L14" s="74"/>
      <c r="M14" s="385">
        <v>0.0</v>
      </c>
      <c r="N14" s="74"/>
      <c r="O14" s="386"/>
      <c r="P14" s="387"/>
      <c r="Q14" s="388"/>
      <c r="R14" s="383"/>
      <c r="S14" s="74"/>
      <c r="T14" s="74"/>
      <c r="U14" s="74"/>
      <c r="V14" s="74"/>
      <c r="W14" s="74"/>
      <c r="X14" s="74"/>
      <c r="Y14" s="384"/>
      <c r="Z14" s="74"/>
      <c r="AA14" s="385">
        <v>0.0</v>
      </c>
      <c r="AB14" s="74"/>
      <c r="AC14" s="392"/>
      <c r="AD14" s="387"/>
      <c r="AE14" s="388"/>
      <c r="AF14" s="383"/>
      <c r="AG14" s="74"/>
      <c r="AH14" s="74"/>
      <c r="AI14" s="74"/>
      <c r="AJ14" s="74"/>
      <c r="AK14" s="74"/>
      <c r="AL14" s="74"/>
      <c r="AM14" s="384"/>
      <c r="AN14" s="74"/>
      <c r="AO14" s="385">
        <v>0.0</v>
      </c>
      <c r="AP14" s="74"/>
      <c r="AS14" s="389">
        <f>IFERROR(__xludf.DUMMYFUNCTION("if(OR(and(C14="""",D14="""",K14="""",M14=""""),K14=""-""),"""",if(iferror(regexextract(text(K14,""#.##""),""[0-9]+""),"""")="""",0,if(isnumber(find(""pp"",lower(K14))),value(left(K14,find(""pp"",lower(K14))-1))*10,if(isnumber(find(""sp"",lower(K14))),valu"&amp;"e(left(K14,find(""sp"",lower(K14))-1))*0.1,if(isnumber(find(""gp"",lower(K14))),value(left(K14,find(""gp"",lower(K14))-1)),if(isnumber(find(""cp"",lower(K14))),value(left(K14,find(""cp"",lower(K14))-1))*0.01,K14))))*if(C14="""",1,C14)))"),0.0)</f>
        <v>0</v>
      </c>
      <c r="AT14" s="390">
        <f t="shared" si="1"/>
        <v>0</v>
      </c>
      <c r="AU14" s="389">
        <f>IFERROR(__xludf.DUMMYFUNCTION("if(OR(and(Q14="""",R14="""",Y14="""",AA14=""""),Y14=""-""),"""",if(iferror(regexextract(text(Y14,""#.##""),""[0-9]+""),"""")="""",0,if(isnumber(find(""pp"",lower(Y14))),value(left(Y14,find(""pp"",lower(Y14))-1))*10,if(isnumber(find(""sp"",lower(Y14))),val"&amp;"ue(left(Y14,find(""sp"",lower(Y14))-1))*0.1,if(isnumber(find(""gp"",lower(Y14))),value(left(Y14,find(""gp"",lower(Y14))-1)),if(isnumber(find(""cp"",lower(Y14))),value(left(Y14,find(""cp"",lower(Y14))-1))*0.01,Y14))))*if(Q14="""",1,Q14)))"),0.0)</f>
        <v>0</v>
      </c>
      <c r="AV14" s="390">
        <f t="shared" si="2"/>
        <v>0</v>
      </c>
      <c r="AW14" s="389">
        <f>IFERROR(__xludf.DUMMYFUNCTION("if(OR(and(AE14="""",AF14="""",AM14="""",AO14=""""),AM14=""-""),"""",if(iferror(regexextract(text(AM14,""#.##""),""[0-9]+""),"""")="""",0,if(isnumber(find(""pp"",lower(AM14))),value(left(AM14,find(""pp"",lower(AM14))-1))*10,if(isnumber(find(""sp"",lower(AM"&amp;"14))),value(left(AM14,find(""sp"",lower(AM14))-1))*0.1,if(isnumber(find(""gp"",lower(AM14))),value(left(AM14,find(""gp"",lower(AM14))-1)),if(isnumber(find(""cp"",lower(AM14))),value(left(AM14,find(""cp"",lower(AM14))-1))*0.01,AM14))))*if(AE14="""",1,AE14)"&amp;"))"),0.0)</f>
        <v>0</v>
      </c>
      <c r="AX14" s="391">
        <f t="shared" si="3"/>
        <v>0</v>
      </c>
      <c r="AY14" s="358"/>
      <c r="AZ14" s="358"/>
      <c r="BA14" s="358"/>
      <c r="BB14" s="358"/>
    </row>
    <row r="15" ht="15.75" customHeight="1">
      <c r="C15" s="388"/>
      <c r="D15" s="383"/>
      <c r="E15" s="74"/>
      <c r="F15" s="74"/>
      <c r="G15" s="74"/>
      <c r="H15" s="74"/>
      <c r="I15" s="74"/>
      <c r="J15" s="74"/>
      <c r="K15" s="384"/>
      <c r="L15" s="74"/>
      <c r="M15" s="385">
        <v>0.0</v>
      </c>
      <c r="N15" s="74"/>
      <c r="O15" s="386"/>
      <c r="P15" s="387"/>
      <c r="Q15" s="388"/>
      <c r="R15" s="397"/>
      <c r="S15" s="74"/>
      <c r="T15" s="74"/>
      <c r="U15" s="74"/>
      <c r="V15" s="74"/>
      <c r="W15" s="74"/>
      <c r="X15" s="74"/>
      <c r="Y15" s="384"/>
      <c r="Z15" s="74"/>
      <c r="AA15" s="394">
        <v>0.0</v>
      </c>
      <c r="AB15" s="74"/>
      <c r="AC15" s="392"/>
      <c r="AD15" s="387"/>
      <c r="AE15" s="382"/>
      <c r="AF15" s="383"/>
      <c r="AG15" s="74"/>
      <c r="AH15" s="74"/>
      <c r="AI15" s="74"/>
      <c r="AJ15" s="74"/>
      <c r="AK15" s="74"/>
      <c r="AL15" s="74"/>
      <c r="AM15" s="384"/>
      <c r="AN15" s="74"/>
      <c r="AO15" s="394">
        <v>0.0</v>
      </c>
      <c r="AP15" s="74"/>
      <c r="AS15" s="389">
        <f>IFERROR(__xludf.DUMMYFUNCTION("if(OR(and(C15="""",D15="""",K15="""",M15=""""),K15=""-""),"""",if(iferror(regexextract(text(K15,""#.##""),""[0-9]+""),"""")="""",0,if(isnumber(find(""pp"",lower(K15))),value(left(K15,find(""pp"",lower(K15))-1))*10,if(isnumber(find(""sp"",lower(K15))),valu"&amp;"e(left(K15,find(""sp"",lower(K15))-1))*0.1,if(isnumber(find(""gp"",lower(K15))),value(left(K15,find(""gp"",lower(K15))-1)),if(isnumber(find(""cp"",lower(K15))),value(left(K15,find(""cp"",lower(K15))-1))*0.01,K15))))*if(C15="""",1,C15)))"),0.0)</f>
        <v>0</v>
      </c>
      <c r="AT15" s="390">
        <f t="shared" si="1"/>
        <v>0</v>
      </c>
      <c r="AU15" s="389">
        <f>IFERROR(__xludf.DUMMYFUNCTION("if(OR(and(Q15="""",R15="""",Y15="""",AA15=""""),Y15=""-""),"""",if(iferror(regexextract(text(Y15,""#.##""),""[0-9]+""),"""")="""",0,if(isnumber(find(""pp"",lower(Y15))),value(left(Y15,find(""pp"",lower(Y15))-1))*10,if(isnumber(find(""sp"",lower(Y15))),val"&amp;"ue(left(Y15,find(""sp"",lower(Y15))-1))*0.1,if(isnumber(find(""gp"",lower(Y15))),value(left(Y15,find(""gp"",lower(Y15))-1)),if(isnumber(find(""cp"",lower(Y15))),value(left(Y15,find(""cp"",lower(Y15))-1))*0.01,Y15))))*if(Q15="""",1,Q15)))"),0.0)</f>
        <v>0</v>
      </c>
      <c r="AV15" s="390">
        <f t="shared" si="2"/>
        <v>0</v>
      </c>
      <c r="AW15" s="389">
        <f>IFERROR(__xludf.DUMMYFUNCTION("if(OR(and(AE15="""",AF15="""",AM15="""",AO15=""""),AM15=""-""),"""",if(iferror(regexextract(text(AM15,""#.##""),""[0-9]+""),"""")="""",0,if(isnumber(find(""pp"",lower(AM15))),value(left(AM15,find(""pp"",lower(AM15))-1))*10,if(isnumber(find(""sp"",lower(AM"&amp;"15))),value(left(AM15,find(""sp"",lower(AM15))-1))*0.1,if(isnumber(find(""gp"",lower(AM15))),value(left(AM15,find(""gp"",lower(AM15))-1)),if(isnumber(find(""cp"",lower(AM15))),value(left(AM15,find(""cp"",lower(AM15))-1))*0.01,AM15))))*if(AE15="""",1,AE15)"&amp;"))"),0.0)</f>
        <v>0</v>
      </c>
      <c r="AX15" s="391">
        <f t="shared" si="3"/>
        <v>0</v>
      </c>
      <c r="AY15" s="358"/>
      <c r="AZ15" s="358"/>
      <c r="BA15" s="358"/>
      <c r="BB15" s="358"/>
    </row>
    <row r="16" ht="15.75" customHeight="1">
      <c r="C16" s="388"/>
      <c r="D16" s="383"/>
      <c r="E16" s="74"/>
      <c r="F16" s="74"/>
      <c r="G16" s="74"/>
      <c r="H16" s="74"/>
      <c r="I16" s="74"/>
      <c r="J16" s="74"/>
      <c r="K16" s="395"/>
      <c r="L16" s="74"/>
      <c r="M16" s="385">
        <v>0.0</v>
      </c>
      <c r="N16" s="74"/>
      <c r="O16" s="386"/>
      <c r="P16" s="387"/>
      <c r="Q16" s="388"/>
      <c r="R16" s="397"/>
      <c r="S16" s="74"/>
      <c r="T16" s="74"/>
      <c r="U16" s="74"/>
      <c r="V16" s="74"/>
      <c r="W16" s="74"/>
      <c r="X16" s="74"/>
      <c r="Y16" s="398"/>
      <c r="Z16" s="74"/>
      <c r="AA16" s="394">
        <v>0.0</v>
      </c>
      <c r="AB16" s="74"/>
      <c r="AC16" s="392"/>
      <c r="AD16" s="387"/>
      <c r="AE16" s="388"/>
      <c r="AF16" s="383"/>
      <c r="AG16" s="74"/>
      <c r="AH16" s="74"/>
      <c r="AI16" s="74"/>
      <c r="AJ16" s="74"/>
      <c r="AK16" s="74"/>
      <c r="AL16" s="74"/>
      <c r="AM16" s="395"/>
      <c r="AN16" s="74"/>
      <c r="AO16" s="385">
        <v>0.0</v>
      </c>
      <c r="AP16" s="74"/>
      <c r="AS16" s="389">
        <f>IFERROR(__xludf.DUMMYFUNCTION("if(OR(and(C16="""",D16="""",K16="""",M16=""""),K16=""-""),"""",if(iferror(regexextract(text(K16,""#.##""),""[0-9]+""),"""")="""",0,if(isnumber(find(""pp"",lower(K16))),value(left(K16,find(""pp"",lower(K16))-1))*10,if(isnumber(find(""sp"",lower(K16))),valu"&amp;"e(left(K16,find(""sp"",lower(K16))-1))*0.1,if(isnumber(find(""gp"",lower(K16))),value(left(K16,find(""gp"",lower(K16))-1)),if(isnumber(find(""cp"",lower(K16))),value(left(K16,find(""cp"",lower(K16))-1))*0.01,K16))))*if(C16="""",1,C16)))"),0.0)</f>
        <v>0</v>
      </c>
      <c r="AT16" s="390">
        <f t="shared" si="1"/>
        <v>0</v>
      </c>
      <c r="AU16" s="389">
        <f>IFERROR(__xludf.DUMMYFUNCTION("if(OR(and(Q16="""",R16="""",Y16="""",AA16=""""),Y16=""-""),"""",if(iferror(regexextract(text(Y16,""#.##""),""[0-9]+""),"""")="""",0,if(isnumber(find(""pp"",lower(Y16))),value(left(Y16,find(""pp"",lower(Y16))-1))*10,if(isnumber(find(""sp"",lower(Y16))),val"&amp;"ue(left(Y16,find(""sp"",lower(Y16))-1))*0.1,if(isnumber(find(""gp"",lower(Y16))),value(left(Y16,find(""gp"",lower(Y16))-1)),if(isnumber(find(""cp"",lower(Y16))),value(left(Y16,find(""cp"",lower(Y16))-1))*0.01,Y16))))*if(Q16="""",1,Q16)))"),0.0)</f>
        <v>0</v>
      </c>
      <c r="AV16" s="390">
        <f t="shared" si="2"/>
        <v>0</v>
      </c>
      <c r="AW16" s="389">
        <f>IFERROR(__xludf.DUMMYFUNCTION("if(OR(and(AE16="""",AF16="""",AM16="""",AO16=""""),AM16=""-""),"""",if(iferror(regexextract(text(AM16,""#.##""),""[0-9]+""),"""")="""",0,if(isnumber(find(""pp"",lower(AM16))),value(left(AM16,find(""pp"",lower(AM16))-1))*10,if(isnumber(find(""sp"",lower(AM"&amp;"16))),value(left(AM16,find(""sp"",lower(AM16))-1))*0.1,if(isnumber(find(""gp"",lower(AM16))),value(left(AM16,find(""gp"",lower(AM16))-1)),if(isnumber(find(""cp"",lower(AM16))),value(left(AM16,find(""cp"",lower(AM16))-1))*0.01,AM16))))*if(AE16="""",1,AE16)"&amp;"))"),0.0)</f>
        <v>0</v>
      </c>
      <c r="AX16" s="391">
        <f t="shared" si="3"/>
        <v>0</v>
      </c>
      <c r="AY16" s="358"/>
      <c r="AZ16" s="358"/>
      <c r="BA16" s="358"/>
      <c r="BB16" s="358"/>
    </row>
    <row r="17" ht="15.75" customHeight="1">
      <c r="C17" s="382"/>
      <c r="D17" s="383"/>
      <c r="E17" s="74"/>
      <c r="F17" s="74"/>
      <c r="G17" s="74"/>
      <c r="H17" s="74"/>
      <c r="I17" s="74"/>
      <c r="J17" s="74"/>
      <c r="K17" s="384"/>
      <c r="L17" s="74"/>
      <c r="M17" s="385">
        <v>0.0</v>
      </c>
      <c r="N17" s="74"/>
      <c r="O17" s="386"/>
      <c r="P17" s="387"/>
      <c r="Q17" s="388"/>
      <c r="R17" s="397"/>
      <c r="S17" s="74"/>
      <c r="T17" s="74"/>
      <c r="U17" s="74"/>
      <c r="V17" s="74"/>
      <c r="W17" s="74"/>
      <c r="X17" s="74"/>
      <c r="Y17" s="396"/>
      <c r="Z17" s="74"/>
      <c r="AA17" s="394">
        <v>0.0</v>
      </c>
      <c r="AB17" s="74"/>
      <c r="AC17" s="392"/>
      <c r="AD17" s="387"/>
      <c r="AE17" s="388"/>
      <c r="AF17" s="383"/>
      <c r="AG17" s="74"/>
      <c r="AH17" s="74"/>
      <c r="AI17" s="74"/>
      <c r="AJ17" s="74"/>
      <c r="AK17" s="74"/>
      <c r="AL17" s="74"/>
      <c r="AM17" s="396"/>
      <c r="AN17" s="74"/>
      <c r="AO17" s="385">
        <v>0.0</v>
      </c>
      <c r="AP17" s="74"/>
      <c r="AS17" s="389">
        <f>IFERROR(__xludf.DUMMYFUNCTION("if(OR(and(C17="""",D17="""",K17="""",M17=""""),K17=""-""),"""",if(iferror(regexextract(text(K17,""#.##""),""[0-9]+""),"""")="""",0,if(isnumber(find(""pp"",lower(K17))),value(left(K17,find(""pp"",lower(K17))-1))*10,if(isnumber(find(""sp"",lower(K17))),valu"&amp;"e(left(K17,find(""sp"",lower(K17))-1))*0.1,if(isnumber(find(""gp"",lower(K17))),value(left(K17,find(""gp"",lower(K17))-1)),if(isnumber(find(""cp"",lower(K17))),value(left(K17,find(""cp"",lower(K17))-1))*0.01,K17))))*if(C17="""",1,C17)))"),0.0)</f>
        <v>0</v>
      </c>
      <c r="AT17" s="390">
        <f t="shared" si="1"/>
        <v>0</v>
      </c>
      <c r="AU17" s="389">
        <f>IFERROR(__xludf.DUMMYFUNCTION("if(OR(and(Q17="""",R17="""",Y17="""",AA17=""""),Y17=""-""),"""",if(iferror(regexextract(text(Y17,""#.##""),""[0-9]+""),"""")="""",0,if(isnumber(find(""pp"",lower(Y17))),value(left(Y17,find(""pp"",lower(Y17))-1))*10,if(isnumber(find(""sp"",lower(Y17))),val"&amp;"ue(left(Y17,find(""sp"",lower(Y17))-1))*0.1,if(isnumber(find(""gp"",lower(Y17))),value(left(Y17,find(""gp"",lower(Y17))-1)),if(isnumber(find(""cp"",lower(Y17))),value(left(Y17,find(""cp"",lower(Y17))-1))*0.01,Y17))))*if(Q17="""",1,Q17)))"),0.0)</f>
        <v>0</v>
      </c>
      <c r="AV17" s="390">
        <f t="shared" si="2"/>
        <v>0</v>
      </c>
      <c r="AW17" s="389">
        <f>IFERROR(__xludf.DUMMYFUNCTION("if(OR(and(AE17="""",AF17="""",AM17="""",AO17=""""),AM17=""-""),"""",if(iferror(regexextract(text(AM17,""#.##""),""[0-9]+""),"""")="""",0,if(isnumber(find(""pp"",lower(AM17))),value(left(AM17,find(""pp"",lower(AM17))-1))*10,if(isnumber(find(""sp"",lower(AM"&amp;"17))),value(left(AM17,find(""sp"",lower(AM17))-1))*0.1,if(isnumber(find(""gp"",lower(AM17))),value(left(AM17,find(""gp"",lower(AM17))-1)),if(isnumber(find(""cp"",lower(AM17))),value(left(AM17,find(""cp"",lower(AM17))-1))*0.01,AM17))))*if(AE17="""",1,AE17)"&amp;"))"),0.0)</f>
        <v>0</v>
      </c>
      <c r="AX17" s="391">
        <f t="shared" si="3"/>
        <v>0</v>
      </c>
      <c r="AY17" s="358"/>
      <c r="AZ17" s="358"/>
      <c r="BA17" s="358"/>
      <c r="BB17" s="358"/>
    </row>
    <row r="18" ht="15.75" customHeight="1">
      <c r="C18" s="388"/>
      <c r="D18" s="383"/>
      <c r="E18" s="74"/>
      <c r="F18" s="74"/>
      <c r="G18" s="74"/>
      <c r="H18" s="74"/>
      <c r="I18" s="74"/>
      <c r="J18" s="74"/>
      <c r="K18" s="384"/>
      <c r="L18" s="74"/>
      <c r="M18" s="385">
        <v>0.0</v>
      </c>
      <c r="N18" s="74"/>
      <c r="O18" s="386"/>
      <c r="P18" s="387"/>
      <c r="Q18" s="388"/>
      <c r="R18" s="397"/>
      <c r="S18" s="74"/>
      <c r="T18" s="74"/>
      <c r="U18" s="74"/>
      <c r="V18" s="74"/>
      <c r="W18" s="74"/>
      <c r="X18" s="74"/>
      <c r="Y18" s="396"/>
      <c r="Z18" s="74"/>
      <c r="AA18" s="394">
        <v>0.0</v>
      </c>
      <c r="AB18" s="74"/>
      <c r="AC18" s="392"/>
      <c r="AD18" s="387"/>
      <c r="AE18" s="388"/>
      <c r="AF18" s="397"/>
      <c r="AG18" s="74"/>
      <c r="AH18" s="74"/>
      <c r="AI18" s="74"/>
      <c r="AJ18" s="74"/>
      <c r="AK18" s="74"/>
      <c r="AL18" s="74"/>
      <c r="AM18" s="396"/>
      <c r="AN18" s="74"/>
      <c r="AO18" s="394">
        <v>0.0</v>
      </c>
      <c r="AP18" s="74"/>
      <c r="AS18" s="389">
        <f>IFERROR(__xludf.DUMMYFUNCTION("if(OR(and(C18="""",D18="""",K18="""",M18=""""),K18=""-""),"""",if(iferror(regexextract(text(K18,""#.##""),""[0-9]+""),"""")="""",0,if(isnumber(find(""pp"",lower(K18))),value(left(K18,find(""pp"",lower(K18))-1))*10,if(isnumber(find(""sp"",lower(K18))),valu"&amp;"e(left(K18,find(""sp"",lower(K18))-1))*0.1,if(isnumber(find(""gp"",lower(K18))),value(left(K18,find(""gp"",lower(K18))-1)),if(isnumber(find(""cp"",lower(K18))),value(left(K18,find(""cp"",lower(K18))-1))*0.01,K18))))*if(C18="""",1,C18)))"),0.0)</f>
        <v>0</v>
      </c>
      <c r="AT18" s="390">
        <f t="shared" si="1"/>
        <v>0</v>
      </c>
      <c r="AU18" s="389">
        <f>IFERROR(__xludf.DUMMYFUNCTION("if(OR(and(Q18="""",R18="""",Y18="""",AA18=""""),Y18=""-""),"""",if(iferror(regexextract(text(Y18,""#.##""),""[0-9]+""),"""")="""",0,if(isnumber(find(""pp"",lower(Y18))),value(left(Y18,find(""pp"",lower(Y18))-1))*10,if(isnumber(find(""sp"",lower(Y18))),val"&amp;"ue(left(Y18,find(""sp"",lower(Y18))-1))*0.1,if(isnumber(find(""gp"",lower(Y18))),value(left(Y18,find(""gp"",lower(Y18))-1)),if(isnumber(find(""cp"",lower(Y18))),value(left(Y18,find(""cp"",lower(Y18))-1))*0.01,Y18))))*if(Q18="""",1,Q18)))"),0.0)</f>
        <v>0</v>
      </c>
      <c r="AV18" s="390">
        <f t="shared" si="2"/>
        <v>0</v>
      </c>
      <c r="AW18" s="389">
        <f>IFERROR(__xludf.DUMMYFUNCTION("if(OR(and(AE18="""",AF18="""",AM18="""",AO18=""""),AM18=""-""),"""",if(iferror(regexextract(text(AM18,""#.##""),""[0-9]+""),"""")="""",0,if(isnumber(find(""pp"",lower(AM18))),value(left(AM18,find(""pp"",lower(AM18))-1))*10,if(isnumber(find(""sp"",lower(AM"&amp;"18))),value(left(AM18,find(""sp"",lower(AM18))-1))*0.1,if(isnumber(find(""gp"",lower(AM18))),value(left(AM18,find(""gp"",lower(AM18))-1)),if(isnumber(find(""cp"",lower(AM18))),value(left(AM18,find(""cp"",lower(AM18))-1))*0.01,AM18))))*if(AE18="""",1,AE18)"&amp;"))"),0.0)</f>
        <v>0</v>
      </c>
      <c r="AX18" s="391">
        <f t="shared" si="3"/>
        <v>0</v>
      </c>
      <c r="AY18" s="358"/>
      <c r="AZ18" s="358"/>
      <c r="BA18" s="358"/>
      <c r="BB18" s="358"/>
    </row>
    <row r="19" ht="15.75" customHeight="1">
      <c r="C19" s="388"/>
      <c r="D19" s="383"/>
      <c r="E19" s="74"/>
      <c r="F19" s="74"/>
      <c r="G19" s="74"/>
      <c r="H19" s="74"/>
      <c r="I19" s="74"/>
      <c r="J19" s="74"/>
      <c r="K19" s="384"/>
      <c r="L19" s="74"/>
      <c r="M19" s="385">
        <v>0.0</v>
      </c>
      <c r="N19" s="74"/>
      <c r="O19" s="392"/>
      <c r="P19" s="387"/>
      <c r="Q19" s="388"/>
      <c r="R19" s="397"/>
      <c r="S19" s="74"/>
      <c r="T19" s="74"/>
      <c r="U19" s="74"/>
      <c r="V19" s="74"/>
      <c r="W19" s="74"/>
      <c r="X19" s="74"/>
      <c r="Y19" s="396"/>
      <c r="Z19" s="74"/>
      <c r="AA19" s="394">
        <v>0.0</v>
      </c>
      <c r="AB19" s="74"/>
      <c r="AC19" s="392"/>
      <c r="AD19" s="387"/>
      <c r="AE19" s="388"/>
      <c r="AF19" s="397"/>
      <c r="AG19" s="74"/>
      <c r="AH19" s="74"/>
      <c r="AI19" s="74"/>
      <c r="AJ19" s="74"/>
      <c r="AK19" s="74"/>
      <c r="AL19" s="74"/>
      <c r="AM19" s="396"/>
      <c r="AN19" s="74"/>
      <c r="AO19" s="394">
        <v>0.0</v>
      </c>
      <c r="AP19" s="74"/>
      <c r="AS19" s="389">
        <f>IFERROR(__xludf.DUMMYFUNCTION("if(OR(and(C19="""",D19="""",K19="""",M19=""""),K19=""-""),"""",if(iferror(regexextract(text(K19,""#.##""),""[0-9]+""),"""")="""",0,if(isnumber(find(""pp"",lower(K19))),value(left(K19,find(""pp"",lower(K19))-1))*10,if(isnumber(find(""sp"",lower(K19))),valu"&amp;"e(left(K19,find(""sp"",lower(K19))-1))*0.1,if(isnumber(find(""gp"",lower(K19))),value(left(K19,find(""gp"",lower(K19))-1)),if(isnumber(find(""cp"",lower(K19))),value(left(K19,find(""cp"",lower(K19))-1))*0.01,K19))))*if(C19="""",1,C19)))"),0.0)</f>
        <v>0</v>
      </c>
      <c r="AT19" s="390">
        <f t="shared" si="1"/>
        <v>0</v>
      </c>
      <c r="AU19" s="389">
        <f>IFERROR(__xludf.DUMMYFUNCTION("if(OR(and(Q19="""",R19="""",Y19="""",AA19=""""),Y19=""-""),"""",if(iferror(regexextract(text(Y19,""#.##""),""[0-9]+""),"""")="""",0,if(isnumber(find(""pp"",lower(Y19))),value(left(Y19,find(""pp"",lower(Y19))-1))*10,if(isnumber(find(""sp"",lower(Y19))),val"&amp;"ue(left(Y19,find(""sp"",lower(Y19))-1))*0.1,if(isnumber(find(""gp"",lower(Y19))),value(left(Y19,find(""gp"",lower(Y19))-1)),if(isnumber(find(""cp"",lower(Y19))),value(left(Y19,find(""cp"",lower(Y19))-1))*0.01,Y19))))*if(Q19="""",1,Q19)))"),0.0)</f>
        <v>0</v>
      </c>
      <c r="AV19" s="390">
        <f t="shared" si="2"/>
        <v>0</v>
      </c>
      <c r="AW19" s="389">
        <f>IFERROR(__xludf.DUMMYFUNCTION("if(OR(and(AE19="""",AF19="""",AM19="""",AO19=""""),AM19=""-""),"""",if(iferror(regexextract(text(AM19,""#.##""),""[0-9]+""),"""")="""",0,if(isnumber(find(""pp"",lower(AM19))),value(left(AM19,find(""pp"",lower(AM19))-1))*10,if(isnumber(find(""sp"",lower(AM"&amp;"19))),value(left(AM19,find(""sp"",lower(AM19))-1))*0.1,if(isnumber(find(""gp"",lower(AM19))),value(left(AM19,find(""gp"",lower(AM19))-1)),if(isnumber(find(""cp"",lower(AM19))),value(left(AM19,find(""cp"",lower(AM19))-1))*0.01,AM19))))*if(AE19="""",1,AE19)"&amp;"))"),0.0)</f>
        <v>0</v>
      </c>
      <c r="AX19" s="391">
        <f t="shared" si="3"/>
        <v>0</v>
      </c>
      <c r="AY19" s="358"/>
      <c r="AZ19" s="358"/>
      <c r="BA19" s="358"/>
      <c r="BB19" s="358"/>
    </row>
    <row r="20" ht="15.75" customHeight="1">
      <c r="C20" s="382"/>
      <c r="D20" s="383"/>
      <c r="E20" s="74"/>
      <c r="F20" s="74"/>
      <c r="G20" s="74"/>
      <c r="H20" s="74"/>
      <c r="I20" s="74"/>
      <c r="J20" s="74"/>
      <c r="K20" s="384"/>
      <c r="L20" s="74"/>
      <c r="M20" s="394">
        <v>0.0</v>
      </c>
      <c r="N20" s="74"/>
      <c r="O20" s="392"/>
      <c r="P20" s="387"/>
      <c r="Q20" s="388"/>
      <c r="R20" s="397"/>
      <c r="S20" s="74"/>
      <c r="T20" s="74"/>
      <c r="U20" s="74"/>
      <c r="V20" s="74"/>
      <c r="W20" s="74"/>
      <c r="X20" s="74"/>
      <c r="Y20" s="396"/>
      <c r="Z20" s="74"/>
      <c r="AA20" s="394">
        <v>0.0</v>
      </c>
      <c r="AB20" s="74"/>
      <c r="AC20" s="392"/>
      <c r="AD20" s="387"/>
      <c r="AE20" s="388"/>
      <c r="AF20" s="397"/>
      <c r="AG20" s="74"/>
      <c r="AH20" s="74"/>
      <c r="AI20" s="74"/>
      <c r="AJ20" s="74"/>
      <c r="AK20" s="74"/>
      <c r="AL20" s="74"/>
      <c r="AM20" s="396"/>
      <c r="AN20" s="74"/>
      <c r="AO20" s="394">
        <v>0.0</v>
      </c>
      <c r="AP20" s="74"/>
      <c r="AS20" s="389">
        <f>IFERROR(__xludf.DUMMYFUNCTION("if(OR(and(C20="""",D20="""",K20="""",M20=""""),K20=""-""),"""",if(iferror(regexextract(text(K20,""#.##""),""[0-9]+""),"""")="""",0,if(isnumber(find(""pp"",lower(K20))),value(left(K20,find(""pp"",lower(K20))-1))*10,if(isnumber(find(""sp"",lower(K20))),valu"&amp;"e(left(K20,find(""sp"",lower(K20))-1))*0.1,if(isnumber(find(""gp"",lower(K20))),value(left(K20,find(""gp"",lower(K20))-1)),if(isnumber(find(""cp"",lower(K20))),value(left(K20,find(""cp"",lower(K20))-1))*0.01,K20))))*if(C20="""",1,C20)))"),0.0)</f>
        <v>0</v>
      </c>
      <c r="AT20" s="390">
        <f t="shared" si="1"/>
        <v>0</v>
      </c>
      <c r="AU20" s="389">
        <f>IFERROR(__xludf.DUMMYFUNCTION("if(OR(and(Q20="""",R20="""",Y20="""",AA20=""""),Y20=""-""),"""",if(iferror(regexextract(text(Y20,""#.##""),""[0-9]+""),"""")="""",0,if(isnumber(find(""pp"",lower(Y20))),value(left(Y20,find(""pp"",lower(Y20))-1))*10,if(isnumber(find(""sp"",lower(Y20))),val"&amp;"ue(left(Y20,find(""sp"",lower(Y20))-1))*0.1,if(isnumber(find(""gp"",lower(Y20))),value(left(Y20,find(""gp"",lower(Y20))-1)),if(isnumber(find(""cp"",lower(Y20))),value(left(Y20,find(""cp"",lower(Y20))-1))*0.01,Y20))))*if(Q20="""",1,Q20)))"),0.0)</f>
        <v>0</v>
      </c>
      <c r="AV20" s="390">
        <f t="shared" si="2"/>
        <v>0</v>
      </c>
      <c r="AW20" s="389">
        <f>IFERROR(__xludf.DUMMYFUNCTION("if(OR(and(AE20="""",AF20="""",AM20="""",AO20=""""),AM20=""-""),"""",if(iferror(regexextract(text(AM20,""#.##""),""[0-9]+""),"""")="""",0,if(isnumber(find(""pp"",lower(AM20))),value(left(AM20,find(""pp"",lower(AM20))-1))*10,if(isnumber(find(""sp"",lower(AM"&amp;"20))),value(left(AM20,find(""sp"",lower(AM20))-1))*0.1,if(isnumber(find(""gp"",lower(AM20))),value(left(AM20,find(""gp"",lower(AM20))-1)),if(isnumber(find(""cp"",lower(AM20))),value(left(AM20,find(""cp"",lower(AM20))-1))*0.01,AM20))))*if(AE20="""",1,AE20)"&amp;"))"),0.0)</f>
        <v>0</v>
      </c>
      <c r="AX20" s="391">
        <f t="shared" si="3"/>
        <v>0</v>
      </c>
      <c r="AY20" s="358"/>
      <c r="AZ20" s="358"/>
      <c r="BA20" s="358"/>
      <c r="BB20" s="358"/>
    </row>
    <row r="21" ht="15.75" customHeight="1">
      <c r="C21" s="388"/>
      <c r="D21" s="383"/>
      <c r="E21" s="74"/>
      <c r="F21" s="74"/>
      <c r="G21" s="74"/>
      <c r="H21" s="74"/>
      <c r="I21" s="74"/>
      <c r="J21" s="74"/>
      <c r="K21" s="384"/>
      <c r="L21" s="74"/>
      <c r="M21" s="385">
        <v>0.0</v>
      </c>
      <c r="N21" s="74"/>
      <c r="O21" s="392"/>
      <c r="P21" s="387"/>
      <c r="Q21" s="388"/>
      <c r="R21" s="397"/>
      <c r="S21" s="74"/>
      <c r="T21" s="74"/>
      <c r="U21" s="74"/>
      <c r="V21" s="74"/>
      <c r="W21" s="74"/>
      <c r="X21" s="74"/>
      <c r="Y21" s="396"/>
      <c r="Z21" s="74"/>
      <c r="AA21" s="394">
        <v>0.0</v>
      </c>
      <c r="AB21" s="74"/>
      <c r="AC21" s="392"/>
      <c r="AD21" s="387"/>
      <c r="AE21" s="388"/>
      <c r="AF21" s="397"/>
      <c r="AG21" s="74"/>
      <c r="AH21" s="74"/>
      <c r="AI21" s="74"/>
      <c r="AJ21" s="74"/>
      <c r="AK21" s="74"/>
      <c r="AL21" s="74"/>
      <c r="AM21" s="396"/>
      <c r="AN21" s="74"/>
      <c r="AO21" s="394">
        <v>0.0</v>
      </c>
      <c r="AP21" s="74"/>
      <c r="AS21" s="389">
        <f>IFERROR(__xludf.DUMMYFUNCTION("if(OR(and(C21="""",D21="""",K21="""",M21=""""),K21=""-""),"""",if(iferror(regexextract(text(K21,""#.##""),""[0-9]+""),"""")="""",0,if(isnumber(find(""pp"",lower(K21))),value(left(K21,find(""pp"",lower(K21))-1))*10,if(isnumber(find(""sp"",lower(K21))),valu"&amp;"e(left(K21,find(""sp"",lower(K21))-1))*0.1,if(isnumber(find(""gp"",lower(K21))),value(left(K21,find(""gp"",lower(K21))-1)),if(isnumber(find(""cp"",lower(K21))),value(left(K21,find(""cp"",lower(K21))-1))*0.01,K21))))*if(C21="""",1,C21)))"),0.0)</f>
        <v>0</v>
      </c>
      <c r="AT21" s="390">
        <f t="shared" si="1"/>
        <v>0</v>
      </c>
      <c r="AU21" s="389">
        <f>IFERROR(__xludf.DUMMYFUNCTION("if(OR(and(Q21="""",R21="""",Y21="""",AA21=""""),Y21=""-""),"""",if(iferror(regexextract(text(Y21,""#.##""),""[0-9]+""),"""")="""",0,if(isnumber(find(""pp"",lower(Y21))),value(left(Y21,find(""pp"",lower(Y21))-1))*10,if(isnumber(find(""sp"",lower(Y21))),val"&amp;"ue(left(Y21,find(""sp"",lower(Y21))-1))*0.1,if(isnumber(find(""gp"",lower(Y21))),value(left(Y21,find(""gp"",lower(Y21))-1)),if(isnumber(find(""cp"",lower(Y21))),value(left(Y21,find(""cp"",lower(Y21))-1))*0.01,Y21))))*if(Q21="""",1,Q21)))"),0.0)</f>
        <v>0</v>
      </c>
      <c r="AV21" s="390">
        <f t="shared" si="2"/>
        <v>0</v>
      </c>
      <c r="AW21" s="389">
        <f>IFERROR(__xludf.DUMMYFUNCTION("if(OR(and(AE21="""",AF21="""",AM21="""",AO21=""""),AM21=""-""),"""",if(iferror(regexextract(text(AM21,""#.##""),""[0-9]+""),"""")="""",0,if(isnumber(find(""pp"",lower(AM21))),value(left(AM21,find(""pp"",lower(AM21))-1))*10,if(isnumber(find(""sp"",lower(AM"&amp;"21))),value(left(AM21,find(""sp"",lower(AM21))-1))*0.1,if(isnumber(find(""gp"",lower(AM21))),value(left(AM21,find(""gp"",lower(AM21))-1)),if(isnumber(find(""cp"",lower(AM21))),value(left(AM21,find(""cp"",lower(AM21))-1))*0.01,AM21))))*if(AE21="""",1,AE21)"&amp;"))"),0.0)</f>
        <v>0</v>
      </c>
      <c r="AX21" s="391">
        <f t="shared" si="3"/>
        <v>0</v>
      </c>
      <c r="AY21" s="358"/>
      <c r="AZ21" s="358"/>
      <c r="BA21" s="358"/>
      <c r="BB21" s="358"/>
    </row>
    <row r="22" ht="15.75" customHeight="1">
      <c r="C22" s="388"/>
      <c r="D22" s="383"/>
      <c r="E22" s="74"/>
      <c r="F22" s="74"/>
      <c r="G22" s="74"/>
      <c r="H22" s="74"/>
      <c r="I22" s="74"/>
      <c r="J22" s="74"/>
      <c r="K22" s="384"/>
      <c r="L22" s="74"/>
      <c r="M22" s="394">
        <v>0.0</v>
      </c>
      <c r="N22" s="74"/>
      <c r="O22" s="392"/>
      <c r="P22" s="387"/>
      <c r="Q22" s="388"/>
      <c r="R22" s="383"/>
      <c r="S22" s="74"/>
      <c r="T22" s="74"/>
      <c r="U22" s="74"/>
      <c r="V22" s="74"/>
      <c r="W22" s="74"/>
      <c r="X22" s="74"/>
      <c r="Y22" s="384"/>
      <c r="Z22" s="74"/>
      <c r="AA22" s="394">
        <v>0.0</v>
      </c>
      <c r="AB22" s="74"/>
      <c r="AC22" s="392"/>
      <c r="AD22" s="387"/>
      <c r="AE22" s="388"/>
      <c r="AF22" s="397"/>
      <c r="AG22" s="74"/>
      <c r="AH22" s="74"/>
      <c r="AI22" s="74"/>
      <c r="AJ22" s="74"/>
      <c r="AK22" s="74"/>
      <c r="AL22" s="74"/>
      <c r="AM22" s="396"/>
      <c r="AN22" s="74"/>
      <c r="AO22" s="394">
        <v>0.0</v>
      </c>
      <c r="AP22" s="74"/>
      <c r="AS22" s="389">
        <f>IFERROR(__xludf.DUMMYFUNCTION("if(OR(and(C22="""",D22="""",K22="""",M22=""""),K22=""-""),"""",if(iferror(regexextract(text(K22,""#.##""),""[0-9]+""),"""")="""",0,if(isnumber(find(""pp"",lower(K22))),value(left(K22,find(""pp"",lower(K22))-1))*10,if(isnumber(find(""sp"",lower(K22))),valu"&amp;"e(left(K22,find(""sp"",lower(K22))-1))*0.1,if(isnumber(find(""gp"",lower(K22))),value(left(K22,find(""gp"",lower(K22))-1)),if(isnumber(find(""cp"",lower(K22))),value(left(K22,find(""cp"",lower(K22))-1))*0.01,K22))))*if(C22="""",1,C22)))"),0.0)</f>
        <v>0</v>
      </c>
      <c r="AT22" s="390">
        <f t="shared" si="1"/>
        <v>0</v>
      </c>
      <c r="AU22" s="389">
        <f>IFERROR(__xludf.DUMMYFUNCTION("if(OR(and(Q22="""",R22="""",Y22="""",AA22=""""),Y22=""-""),"""",if(iferror(regexextract(text(Y22,""#.##""),""[0-9]+""),"""")="""",0,if(isnumber(find(""pp"",lower(Y22))),value(left(Y22,find(""pp"",lower(Y22))-1))*10,if(isnumber(find(""sp"",lower(Y22))),val"&amp;"ue(left(Y22,find(""sp"",lower(Y22))-1))*0.1,if(isnumber(find(""gp"",lower(Y22))),value(left(Y22,find(""gp"",lower(Y22))-1)),if(isnumber(find(""cp"",lower(Y22))),value(left(Y22,find(""cp"",lower(Y22))-1))*0.01,Y22))))*if(Q22="""",1,Q22)))"),0.0)</f>
        <v>0</v>
      </c>
      <c r="AV22" s="390">
        <f t="shared" si="2"/>
        <v>0</v>
      </c>
      <c r="AW22" s="389">
        <f>IFERROR(__xludf.DUMMYFUNCTION("if(OR(and(AE22="""",AF22="""",AM22="""",AO22=""""),AM22=""-""),"""",if(iferror(regexextract(text(AM22,""#.##""),""[0-9]+""),"""")="""",0,if(isnumber(find(""pp"",lower(AM22))),value(left(AM22,find(""pp"",lower(AM22))-1))*10,if(isnumber(find(""sp"",lower(AM"&amp;"22))),value(left(AM22,find(""sp"",lower(AM22))-1))*0.1,if(isnumber(find(""gp"",lower(AM22))),value(left(AM22,find(""gp"",lower(AM22))-1)),if(isnumber(find(""cp"",lower(AM22))),value(left(AM22,find(""cp"",lower(AM22))-1))*0.01,AM22))))*if(AE22="""",1,AE22)"&amp;"))"),0.0)</f>
        <v>0</v>
      </c>
      <c r="AX22" s="391">
        <f t="shared" si="3"/>
        <v>0</v>
      </c>
      <c r="AY22" s="358"/>
      <c r="AZ22" s="358"/>
      <c r="BA22" s="358"/>
      <c r="BB22" s="358"/>
    </row>
    <row r="23" ht="15.75" customHeight="1">
      <c r="C23" s="388"/>
      <c r="D23" s="383"/>
      <c r="E23" s="74"/>
      <c r="F23" s="74"/>
      <c r="G23" s="74"/>
      <c r="H23" s="74"/>
      <c r="I23" s="74"/>
      <c r="J23" s="74"/>
      <c r="K23" s="384"/>
      <c r="L23" s="74"/>
      <c r="M23" s="394">
        <v>0.0</v>
      </c>
      <c r="N23" s="74"/>
      <c r="O23" s="392"/>
      <c r="P23" s="387"/>
      <c r="Q23" s="388"/>
      <c r="R23" s="397"/>
      <c r="S23" s="74"/>
      <c r="T23" s="74"/>
      <c r="U23" s="74"/>
      <c r="V23" s="74"/>
      <c r="W23" s="74"/>
      <c r="X23" s="74"/>
      <c r="Y23" s="396"/>
      <c r="Z23" s="74"/>
      <c r="AA23" s="394">
        <v>0.0</v>
      </c>
      <c r="AB23" s="74"/>
      <c r="AC23" s="392"/>
      <c r="AD23" s="387"/>
      <c r="AE23" s="388"/>
      <c r="AF23" s="397"/>
      <c r="AG23" s="74"/>
      <c r="AH23" s="74"/>
      <c r="AI23" s="74"/>
      <c r="AJ23" s="74"/>
      <c r="AK23" s="74"/>
      <c r="AL23" s="74"/>
      <c r="AM23" s="396"/>
      <c r="AN23" s="74"/>
      <c r="AO23" s="394">
        <v>0.0</v>
      </c>
      <c r="AP23" s="74"/>
      <c r="AS23" s="389">
        <f>IFERROR(__xludf.DUMMYFUNCTION("if(OR(and(C23="""",D23="""",K23="""",M23=""""),K23=""-""),"""",if(iferror(regexextract(text(K23,""#.##""),""[0-9]+""),"""")="""",0,if(isnumber(find(""pp"",lower(K23))),value(left(K23,find(""pp"",lower(K23))-1))*10,if(isnumber(find(""sp"",lower(K23))),valu"&amp;"e(left(K23,find(""sp"",lower(K23))-1))*0.1,if(isnumber(find(""gp"",lower(K23))),value(left(K23,find(""gp"",lower(K23))-1)),if(isnumber(find(""cp"",lower(K23))),value(left(K23,find(""cp"",lower(K23))-1))*0.01,K23))))*if(C23="""",1,C23)))"),0.0)</f>
        <v>0</v>
      </c>
      <c r="AT23" s="390">
        <f t="shared" si="1"/>
        <v>0</v>
      </c>
      <c r="AU23" s="389">
        <f>IFERROR(__xludf.DUMMYFUNCTION("if(OR(and(Q23="""",R23="""",Y23="""",AA23=""""),Y23=""-""),"""",if(iferror(regexextract(text(Y23,""#.##""),""[0-9]+""),"""")="""",0,if(isnumber(find(""pp"",lower(Y23))),value(left(Y23,find(""pp"",lower(Y23))-1))*10,if(isnumber(find(""sp"",lower(Y23))),val"&amp;"ue(left(Y23,find(""sp"",lower(Y23))-1))*0.1,if(isnumber(find(""gp"",lower(Y23))),value(left(Y23,find(""gp"",lower(Y23))-1)),if(isnumber(find(""cp"",lower(Y23))),value(left(Y23,find(""cp"",lower(Y23))-1))*0.01,Y23))))*if(Q23="""",1,Q23)))"),0.0)</f>
        <v>0</v>
      </c>
      <c r="AV23" s="390">
        <f t="shared" si="2"/>
        <v>0</v>
      </c>
      <c r="AW23" s="389">
        <f>IFERROR(__xludf.DUMMYFUNCTION("if(OR(and(AE23="""",AF23="""",AM23="""",AO23=""""),AM23=""-""),"""",if(iferror(regexextract(text(AM23,""#.##""),""[0-9]+""),"""")="""",0,if(isnumber(find(""pp"",lower(AM23))),value(left(AM23,find(""pp"",lower(AM23))-1))*10,if(isnumber(find(""sp"",lower(AM"&amp;"23))),value(left(AM23,find(""sp"",lower(AM23))-1))*0.1,if(isnumber(find(""gp"",lower(AM23))),value(left(AM23,find(""gp"",lower(AM23))-1)),if(isnumber(find(""cp"",lower(AM23))),value(left(AM23,find(""cp"",lower(AM23))-1))*0.01,AM23))))*if(AE23="""",1,AE23)"&amp;"))"),0.0)</f>
        <v>0</v>
      </c>
      <c r="AX23" s="391">
        <f t="shared" si="3"/>
        <v>0</v>
      </c>
      <c r="AY23" s="358"/>
      <c r="AZ23" s="358"/>
      <c r="BA23" s="358"/>
      <c r="BB23" s="358"/>
    </row>
    <row r="24" ht="15.75" customHeight="1">
      <c r="C24" s="388"/>
      <c r="D24" s="383"/>
      <c r="E24" s="74"/>
      <c r="F24" s="74"/>
      <c r="G24" s="74"/>
      <c r="H24" s="74"/>
      <c r="I24" s="74"/>
      <c r="J24" s="74"/>
      <c r="K24" s="384"/>
      <c r="L24" s="74"/>
      <c r="M24" s="394">
        <v>0.0</v>
      </c>
      <c r="N24" s="74"/>
      <c r="O24" s="392"/>
      <c r="P24" s="387"/>
      <c r="Q24" s="388"/>
      <c r="R24" s="397"/>
      <c r="S24" s="74"/>
      <c r="T24" s="74"/>
      <c r="U24" s="74"/>
      <c r="V24" s="74"/>
      <c r="W24" s="74"/>
      <c r="X24" s="74"/>
      <c r="Y24" s="396"/>
      <c r="Z24" s="74"/>
      <c r="AA24" s="394">
        <v>0.0</v>
      </c>
      <c r="AB24" s="74"/>
      <c r="AC24" s="392"/>
      <c r="AD24" s="387"/>
      <c r="AE24" s="388"/>
      <c r="AF24" s="397"/>
      <c r="AG24" s="74"/>
      <c r="AH24" s="74"/>
      <c r="AI24" s="74"/>
      <c r="AJ24" s="74"/>
      <c r="AK24" s="74"/>
      <c r="AL24" s="74"/>
      <c r="AM24" s="396"/>
      <c r="AN24" s="74"/>
      <c r="AO24" s="394">
        <v>0.0</v>
      </c>
      <c r="AP24" s="74"/>
      <c r="AS24" s="389">
        <f>IFERROR(__xludf.DUMMYFUNCTION("if(OR(and(C24="""",D24="""",K24="""",M24=""""),K24=""-""),"""",if(iferror(regexextract(text(K24,""#.##""),""[0-9]+""),"""")="""",0,if(isnumber(find(""pp"",lower(K24))),value(left(K24,find(""pp"",lower(K24))-1))*10,if(isnumber(find(""sp"",lower(K24))),valu"&amp;"e(left(K24,find(""sp"",lower(K24))-1))*0.1,if(isnumber(find(""gp"",lower(K24))),value(left(K24,find(""gp"",lower(K24))-1)),if(isnumber(find(""cp"",lower(K24))),value(left(K24,find(""cp"",lower(K24))-1))*0.01,K24))))*if(C24="""",1,C24)))"),0.0)</f>
        <v>0</v>
      </c>
      <c r="AT24" s="390">
        <f t="shared" si="1"/>
        <v>0</v>
      </c>
      <c r="AU24" s="389">
        <f>IFERROR(__xludf.DUMMYFUNCTION("if(OR(and(Q24="""",R24="""",Y24="""",AA24=""""),Y24=""-""),"""",if(iferror(regexextract(text(Y24,""#.##""),""[0-9]+""),"""")="""",0,if(isnumber(find(""pp"",lower(Y24))),value(left(Y24,find(""pp"",lower(Y24))-1))*10,if(isnumber(find(""sp"",lower(Y24))),val"&amp;"ue(left(Y24,find(""sp"",lower(Y24))-1))*0.1,if(isnumber(find(""gp"",lower(Y24))),value(left(Y24,find(""gp"",lower(Y24))-1)),if(isnumber(find(""cp"",lower(Y24))),value(left(Y24,find(""cp"",lower(Y24))-1))*0.01,Y24))))*if(Q24="""",1,Q24)))"),0.0)</f>
        <v>0</v>
      </c>
      <c r="AV24" s="390">
        <f t="shared" si="2"/>
        <v>0</v>
      </c>
      <c r="AW24" s="389">
        <f>IFERROR(__xludf.DUMMYFUNCTION("if(OR(and(AE24="""",AF24="""",AM24="""",AO24=""""),AM24=""-""),"""",if(iferror(regexextract(text(AM24,""#.##""),""[0-9]+""),"""")="""",0,if(isnumber(find(""pp"",lower(AM24))),value(left(AM24,find(""pp"",lower(AM24))-1))*10,if(isnumber(find(""sp"",lower(AM"&amp;"24))),value(left(AM24,find(""sp"",lower(AM24))-1))*0.1,if(isnumber(find(""gp"",lower(AM24))),value(left(AM24,find(""gp"",lower(AM24))-1)),if(isnumber(find(""cp"",lower(AM24))),value(left(AM24,find(""cp"",lower(AM24))-1))*0.01,AM24))))*if(AE24="""",1,AE24)"&amp;"))"),0.0)</f>
        <v>0</v>
      </c>
      <c r="AX24" s="391">
        <f t="shared" si="3"/>
        <v>0</v>
      </c>
      <c r="AY24" s="358"/>
      <c r="AZ24" s="358"/>
      <c r="BA24" s="358"/>
      <c r="BB24" s="358"/>
    </row>
    <row r="25" ht="15.75" customHeight="1">
      <c r="C25" s="388"/>
      <c r="D25" s="383"/>
      <c r="E25" s="74"/>
      <c r="F25" s="74"/>
      <c r="G25" s="74"/>
      <c r="H25" s="74"/>
      <c r="I25" s="74"/>
      <c r="J25" s="74"/>
      <c r="K25" s="384"/>
      <c r="L25" s="74"/>
      <c r="M25" s="385">
        <v>0.0</v>
      </c>
      <c r="N25" s="74"/>
      <c r="O25" s="392"/>
      <c r="P25" s="387"/>
      <c r="Q25" s="388"/>
      <c r="R25" s="397"/>
      <c r="S25" s="74"/>
      <c r="T25" s="74"/>
      <c r="U25" s="74"/>
      <c r="V25" s="74"/>
      <c r="W25" s="74"/>
      <c r="X25" s="74"/>
      <c r="Y25" s="396"/>
      <c r="Z25" s="74"/>
      <c r="AA25" s="394">
        <v>0.0</v>
      </c>
      <c r="AB25" s="74"/>
      <c r="AC25" s="392"/>
      <c r="AD25" s="387"/>
      <c r="AE25" s="388"/>
      <c r="AF25" s="397"/>
      <c r="AG25" s="74"/>
      <c r="AH25" s="74"/>
      <c r="AI25" s="74"/>
      <c r="AJ25" s="74"/>
      <c r="AK25" s="74"/>
      <c r="AL25" s="74"/>
      <c r="AM25" s="396"/>
      <c r="AN25" s="74"/>
      <c r="AO25" s="394">
        <v>0.0</v>
      </c>
      <c r="AP25" s="74"/>
      <c r="AS25" s="399">
        <f>IFERROR(__xludf.DUMMYFUNCTION("if(OR(and(C25="""",D25="""",K25="""",M25=""""),K25=""-""),"""",if(iferror(regexextract(text(K25,""#.##""),""[0-9]+""),"""")="""",0,if(isnumber(find(""pp"",lower(K25))),value(left(K25,find(""pp"",lower(K25))-1))*10,if(isnumber(find(""sp"",lower(K25))),valu"&amp;"e(left(K25,find(""sp"",lower(K25))-1))*0.1,if(isnumber(find(""gp"",lower(K25))),value(left(K25,find(""gp"",lower(K25))-1)),if(isnumber(find(""cp"",lower(K25))),value(left(K25,find(""cp"",lower(K25))-1))*0.01,K25))))*if(C25="""",1,C25)))"),0.0)</f>
        <v>0</v>
      </c>
      <c r="AT25" s="400">
        <f t="shared" si="1"/>
        <v>0</v>
      </c>
      <c r="AU25" s="399">
        <f>IFERROR(__xludf.DUMMYFUNCTION("if(OR(and(Q25="""",R25="""",Y25="""",AA25=""""),Y25=""-""),"""",if(iferror(regexextract(text(Y25,""#.##""),""[0-9]+""),"""")="""",0,if(isnumber(find(""pp"",lower(Y25))),value(left(Y25,find(""pp"",lower(Y25))-1))*10,if(isnumber(find(""sp"",lower(Y25))),val"&amp;"ue(left(Y25,find(""sp"",lower(Y25))-1))*0.1,if(isnumber(find(""gp"",lower(Y25))),value(left(Y25,find(""gp"",lower(Y25))-1)),if(isnumber(find(""cp"",lower(Y25))),value(left(Y25,find(""cp"",lower(Y25))-1))*0.01,Y25))))*if(Q25="""",1,Q25)))"),0.0)</f>
        <v>0</v>
      </c>
      <c r="AV25" s="400">
        <f t="shared" si="2"/>
        <v>0</v>
      </c>
      <c r="AW25" s="399">
        <f>IFERROR(__xludf.DUMMYFUNCTION("if(OR(and(AE25="""",AF25="""",AM25="""",AO25=""""),AM25=""-""),"""",if(iferror(regexextract(text(AM25,""#.##""),""[0-9]+""),"""")="""",0,if(isnumber(find(""pp"",lower(AM25))),value(left(AM25,find(""pp"",lower(AM25))-1))*10,if(isnumber(find(""sp"",lower(AM"&amp;"25))),value(left(AM25,find(""sp"",lower(AM25))-1))*0.1,if(isnumber(find(""gp"",lower(AM25))),value(left(AM25,find(""gp"",lower(AM25))-1)),if(isnumber(find(""cp"",lower(AM25))),value(left(AM25,find(""cp"",lower(AM25))-1))*0.01,AM25))))*if(AE25="""",1,AE25)"&amp;"))"),0.0)</f>
        <v>0</v>
      </c>
      <c r="AX25" s="400">
        <f t="shared" si="3"/>
        <v>0</v>
      </c>
      <c r="AY25" s="358"/>
      <c r="AZ25" s="358"/>
      <c r="BA25" s="358"/>
      <c r="BB25" s="358"/>
    </row>
    <row r="26" ht="15.75" customHeight="1">
      <c r="C26" s="360"/>
      <c r="D26" s="31"/>
      <c r="E26" s="31"/>
      <c r="F26" s="31"/>
      <c r="G26" s="31"/>
      <c r="H26" s="31"/>
      <c r="I26" s="31"/>
      <c r="J26" s="31"/>
      <c r="K26" s="31"/>
      <c r="L26" s="31"/>
      <c r="M26" s="31"/>
      <c r="N26" s="31"/>
      <c r="O26" s="31"/>
      <c r="P26" s="401" t="s">
        <v>305</v>
      </c>
      <c r="Q26" s="31"/>
      <c r="R26" s="31"/>
      <c r="S26" s="31"/>
      <c r="T26" s="31"/>
      <c r="U26" s="31"/>
      <c r="V26" s="31"/>
      <c r="W26" s="31"/>
      <c r="X26" s="31"/>
      <c r="Y26" s="31"/>
      <c r="Z26" s="31"/>
      <c r="AA26" s="31"/>
      <c r="AB26" s="31"/>
      <c r="AC26" s="31"/>
      <c r="AD26" s="402">
        <f>sum(AT6:AT25,AV6:AV25,AX6:AX25,AT30:AT49,AV30:AV49,AX30:AX49)+sum(E2,K2,Q2,W2,AC2)*0.02</f>
        <v>0</v>
      </c>
      <c r="AE26" s="31"/>
      <c r="AF26" s="31"/>
      <c r="AG26" s="31"/>
      <c r="AH26" s="31"/>
      <c r="AI26" s="31"/>
      <c r="AJ26" s="403" t="s">
        <v>306</v>
      </c>
      <c r="AK26" s="404">
        <f>if(strength="-","-",strength*15*(if(isnumber(find("powerful build",lower(concatenate(v2.1!C59:AC84)))),2,1)))</f>
        <v>120</v>
      </c>
      <c r="AL26" s="31"/>
      <c r="AM26" s="31"/>
      <c r="AN26" s="31"/>
      <c r="AO26" s="31"/>
      <c r="AP26" s="31"/>
      <c r="AS26" s="358"/>
      <c r="AT26" s="405"/>
      <c r="AU26" s="359"/>
      <c r="AV26" s="405"/>
      <c r="AW26" s="358"/>
      <c r="AX26" s="358"/>
      <c r="AY26" s="358"/>
      <c r="AZ26" s="358"/>
      <c r="BA26" s="358"/>
      <c r="BB26" s="358"/>
    </row>
    <row r="27" ht="15.75" customHeight="1">
      <c r="C27" s="12"/>
      <c r="D27" s="357"/>
      <c r="E27" s="357"/>
      <c r="F27" s="357"/>
      <c r="G27" s="357"/>
      <c r="I27" s="357"/>
      <c r="J27" s="357"/>
      <c r="K27" s="357"/>
      <c r="L27" s="357"/>
      <c r="M27" s="357"/>
      <c r="N27" s="357"/>
      <c r="O27" s="12"/>
      <c r="P27" s="357"/>
      <c r="Q27" s="357"/>
      <c r="R27" s="357"/>
      <c r="S27" s="357"/>
      <c r="T27" s="357"/>
      <c r="U27" s="357"/>
      <c r="V27" s="357"/>
      <c r="W27" s="357"/>
      <c r="X27" s="357"/>
      <c r="Y27" s="357"/>
      <c r="Z27" s="357"/>
      <c r="AA27" s="357"/>
      <c r="AB27" s="357"/>
      <c r="AC27" s="357"/>
      <c r="AD27" s="356"/>
      <c r="AE27" s="357"/>
      <c r="AF27" s="357"/>
      <c r="AG27" s="357"/>
      <c r="AH27" s="357"/>
      <c r="AI27" s="357"/>
      <c r="AJ27" s="357"/>
      <c r="AK27" s="357"/>
      <c r="AL27" s="357"/>
      <c r="AM27" s="357"/>
      <c r="AN27" s="357"/>
      <c r="AO27" s="357"/>
      <c r="AP27" s="357"/>
      <c r="AS27" s="358"/>
      <c r="AT27" s="405"/>
      <c r="AU27" s="359"/>
      <c r="AV27" s="405"/>
      <c r="AW27" s="358"/>
      <c r="AX27" s="358"/>
      <c r="AY27" s="358"/>
      <c r="AZ27" s="358"/>
      <c r="BA27" s="358"/>
      <c r="BB27" s="358"/>
    </row>
    <row r="28" ht="15.75" customHeight="1">
      <c r="B28" s="12" t="str">
        <f>image("https://i.imgur.com/dFmmAEm.png",2)</f>
        <v/>
      </c>
      <c r="C28" s="406"/>
      <c r="D28" s="366"/>
      <c r="E28" s="366"/>
      <c r="F28" s="366"/>
      <c r="G28" s="366"/>
      <c r="H28" s="360"/>
      <c r="I28" s="366"/>
      <c r="J28" s="366"/>
      <c r="K28" s="366"/>
      <c r="L28" s="366"/>
      <c r="M28" s="366"/>
      <c r="N28" s="366"/>
      <c r="O28" s="406"/>
      <c r="P28" s="407"/>
      <c r="Q28" s="407"/>
      <c r="R28" s="407"/>
      <c r="S28" s="407"/>
      <c r="T28" s="407"/>
      <c r="U28" s="407"/>
      <c r="V28" s="407"/>
      <c r="W28" s="407"/>
      <c r="X28" s="407"/>
      <c r="Y28" s="407"/>
      <c r="Z28" s="407"/>
      <c r="AA28" s="407"/>
      <c r="AB28" s="407"/>
      <c r="AC28" s="407"/>
      <c r="AD28" s="408"/>
      <c r="AE28" s="366"/>
      <c r="AF28" s="366"/>
      <c r="AG28" s="366"/>
      <c r="AH28" s="366"/>
      <c r="AI28" s="366"/>
      <c r="AJ28" s="366"/>
      <c r="AK28" s="366"/>
      <c r="AL28" s="366"/>
      <c r="AM28" s="366"/>
      <c r="AN28" s="366"/>
      <c r="AO28" s="366"/>
      <c r="AP28" s="366"/>
      <c r="AQ28" s="4" t="str">
        <f>image("https://i.imgur.com/M2OcRIZ.png",2)</f>
        <v/>
      </c>
      <c r="AS28" s="358"/>
      <c r="AT28" s="405"/>
      <c r="AU28" s="359"/>
      <c r="AV28" s="405"/>
      <c r="AW28" s="358"/>
      <c r="AX28" s="358"/>
      <c r="AY28" s="358"/>
      <c r="AZ28" s="358"/>
      <c r="BA28" s="358"/>
      <c r="BB28" s="358"/>
    </row>
    <row r="29" ht="15.75" customHeight="1">
      <c r="C29" s="409" t="s">
        <v>297</v>
      </c>
      <c r="D29" s="410" t="s">
        <v>298</v>
      </c>
      <c r="E29" s="74"/>
      <c r="F29" s="74"/>
      <c r="G29" s="411"/>
      <c r="H29" s="74"/>
      <c r="I29" s="74"/>
      <c r="J29" s="74"/>
      <c r="K29" s="412" t="s">
        <v>300</v>
      </c>
      <c r="L29" s="74"/>
      <c r="M29" s="413" t="s">
        <v>205</v>
      </c>
      <c r="N29" s="74"/>
      <c r="O29" s="377"/>
      <c r="P29" s="378"/>
      <c r="Q29" s="409" t="s">
        <v>297</v>
      </c>
      <c r="R29" s="410" t="s">
        <v>298</v>
      </c>
      <c r="S29" s="74"/>
      <c r="T29" s="74"/>
      <c r="U29" s="411"/>
      <c r="V29" s="74"/>
      <c r="W29" s="74"/>
      <c r="X29" s="74"/>
      <c r="Y29" s="412" t="s">
        <v>300</v>
      </c>
      <c r="Z29" s="74"/>
      <c r="AA29" s="413" t="s">
        <v>205</v>
      </c>
      <c r="AB29" s="74"/>
      <c r="AC29" s="377"/>
      <c r="AD29" s="378"/>
      <c r="AE29" s="409" t="s">
        <v>297</v>
      </c>
      <c r="AF29" s="410" t="s">
        <v>298</v>
      </c>
      <c r="AG29" s="74"/>
      <c r="AH29" s="74"/>
      <c r="AI29" s="414"/>
      <c r="AJ29" s="74"/>
      <c r="AK29" s="74"/>
      <c r="AL29" s="74"/>
      <c r="AM29" s="412" t="s">
        <v>300</v>
      </c>
      <c r="AN29" s="74"/>
      <c r="AO29" s="413" t="s">
        <v>205</v>
      </c>
      <c r="AP29" s="74"/>
      <c r="AS29" s="379" t="s">
        <v>303</v>
      </c>
      <c r="AT29" s="380" t="s">
        <v>304</v>
      </c>
      <c r="AU29" s="381" t="s">
        <v>303</v>
      </c>
      <c r="AV29" s="380" t="s">
        <v>304</v>
      </c>
      <c r="AW29" s="381" t="s">
        <v>303</v>
      </c>
      <c r="AX29" s="380" t="s">
        <v>304</v>
      </c>
      <c r="AY29" s="358"/>
      <c r="AZ29" s="358"/>
      <c r="BA29" s="358"/>
      <c r="BB29" s="358"/>
    </row>
    <row r="30" ht="15.75" customHeight="1">
      <c r="C30" s="382"/>
      <c r="D30" s="383"/>
      <c r="E30" s="74"/>
      <c r="F30" s="74"/>
      <c r="G30" s="74"/>
      <c r="H30" s="74"/>
      <c r="I30" s="74"/>
      <c r="J30" s="74"/>
      <c r="K30" s="384"/>
      <c r="L30" s="74"/>
      <c r="M30" s="385">
        <v>0.0</v>
      </c>
      <c r="N30" s="74"/>
      <c r="O30" s="392"/>
      <c r="P30" s="387"/>
      <c r="Q30" s="388"/>
      <c r="R30" s="383"/>
      <c r="S30" s="74"/>
      <c r="T30" s="74"/>
      <c r="U30" s="74"/>
      <c r="V30" s="74"/>
      <c r="W30" s="74"/>
      <c r="X30" s="74"/>
      <c r="Y30" s="384"/>
      <c r="Z30" s="74"/>
      <c r="AA30" s="385">
        <v>0.0</v>
      </c>
      <c r="AB30" s="74"/>
      <c r="AC30" s="392"/>
      <c r="AD30" s="387"/>
      <c r="AE30" s="382"/>
      <c r="AF30" s="383"/>
      <c r="AG30" s="74"/>
      <c r="AH30" s="74"/>
      <c r="AI30" s="74"/>
      <c r="AJ30" s="74"/>
      <c r="AK30" s="74"/>
      <c r="AL30" s="74"/>
      <c r="AM30" s="384"/>
      <c r="AN30" s="74"/>
      <c r="AO30" s="394">
        <v>0.0</v>
      </c>
      <c r="AP30" s="74"/>
      <c r="AS30" s="389">
        <f>IFERROR(__xludf.DUMMYFUNCTION("if(OR(and(C30="""",D30="""",K30="""",M30=""""),K30=""-""),"""",if(iferror(regexextract(text(K30,""#.##""),""[0-9]+""),"""")="""",0,if(isnumber(find(""pp"",lower(K30))),value(left(K30,find(""pp"",lower(K30))-1))*10,if(isnumber(find(""sp"",lower(K30))),valu"&amp;"e(left(K30,find(""sp"",lower(K30))-1))*0.1,if(isnumber(find(""gp"",lower(K30))),value(left(K30,find(""gp"",lower(K30))-1)),if(isnumber(find(""cp"",lower(K30))),value(left(K30,find(""cp"",lower(K30))-1))*0.01,K30))))*if(C30="""",1,C30)))"),0.0)</f>
        <v>0</v>
      </c>
      <c r="AT30" s="390">
        <f t="shared" ref="AT30:AT51" si="4">if(M30="-",0,if(and(C30="",D30="",K30="",M30=""),"",if(C30="",M30,C30*M30)))</f>
        <v>0</v>
      </c>
      <c r="AU30" s="389">
        <f>IFERROR(__xludf.DUMMYFUNCTION("if(OR(and(Q30="""",R30="""",Y30="""",AA30=""""),Y30=""-""),"""",if(iferror(regexextract(text(Y30,""#.##""),""[0-9]+""),"""")="""",0,if(isnumber(find(""pp"",lower(Y30))),value(left(Y30,find(""pp"",lower(Y30))-1))*10,if(isnumber(find(""sp"",lower(Y30))),val"&amp;"ue(left(Y30,find(""sp"",lower(Y30))-1))*0.1,if(isnumber(find(""gp"",lower(Y30))),value(left(Y30,find(""gp"",lower(Y30))-1)),if(isnumber(find(""cp"",lower(Y30))),value(left(Y30,find(""cp"",lower(Y30))-1))*0.01,Y30))))*if(Q30="""",1,Q30)))"),0.0)</f>
        <v>0</v>
      </c>
      <c r="AV30" s="390">
        <f t="shared" ref="AV30:AV51" si="5">if(AA30="-",0,if(and(Q30="",R30="",Y30="",AA30=""),"",if(Q30="",AA30,Q30*AA30)))</f>
        <v>0</v>
      </c>
      <c r="AW30" s="389">
        <f>IFERROR(__xludf.DUMMYFUNCTION("if(OR(and(AE30="""",AF30="""",AM30="""",AO30=""""),AM30=""-""),"""",if(iferror(regexextract(text(AM30,""#.##""),""[0-9]+""),"""")="""",0,if(isnumber(find(""pp"",lower(AM30))),value(left(AM30,find(""pp"",lower(AM30))-1))*10,if(isnumber(find(""sp"",lower(AM"&amp;"30))),value(left(AM30,find(""sp"",lower(AM30))-1))*0.1,if(isnumber(find(""gp"",lower(AM30))),value(left(AM30,find(""gp"",lower(AM30))-1)),if(isnumber(find(""cp"",lower(AM30))),value(left(AM30,find(""cp"",lower(AM30))-1))*0.01,AM30))))*if(AE30="""",1,AE30)"&amp;"))"),0.0)</f>
        <v>0</v>
      </c>
      <c r="AX30" s="391">
        <f t="shared" ref="AX30:AX51" si="6">if(AO30="-",0,if(and(AE30="",AF30="",AM30="",AO30=""),"",if(AE30="",AO30,AE30*AO30)))</f>
        <v>0</v>
      </c>
      <c r="AY30" s="358"/>
      <c r="AZ30" s="358"/>
      <c r="BA30" s="358"/>
      <c r="BB30" s="358"/>
    </row>
    <row r="31" ht="15.75" customHeight="1">
      <c r="C31" s="382"/>
      <c r="D31" s="383"/>
      <c r="E31" s="74"/>
      <c r="F31" s="74"/>
      <c r="G31" s="74"/>
      <c r="H31" s="74"/>
      <c r="I31" s="74"/>
      <c r="J31" s="74"/>
      <c r="K31" s="395"/>
      <c r="L31" s="74"/>
      <c r="M31" s="385">
        <v>0.0</v>
      </c>
      <c r="N31" s="74"/>
      <c r="O31" s="386"/>
      <c r="P31" s="387"/>
      <c r="Q31" s="388"/>
      <c r="R31" s="383"/>
      <c r="S31" s="74"/>
      <c r="T31" s="74"/>
      <c r="U31" s="74"/>
      <c r="V31" s="74"/>
      <c r="W31" s="74"/>
      <c r="X31" s="74"/>
      <c r="Y31" s="395"/>
      <c r="Z31" s="74"/>
      <c r="AA31" s="385">
        <v>0.0</v>
      </c>
      <c r="AB31" s="74"/>
      <c r="AC31" s="386"/>
      <c r="AD31" s="387"/>
      <c r="AE31" s="388"/>
      <c r="AF31" s="383"/>
      <c r="AG31" s="74"/>
      <c r="AH31" s="74"/>
      <c r="AI31" s="74"/>
      <c r="AJ31" s="74"/>
      <c r="AK31" s="74"/>
      <c r="AL31" s="74"/>
      <c r="AM31" s="395"/>
      <c r="AN31" s="74"/>
      <c r="AO31" s="385">
        <v>0.0</v>
      </c>
      <c r="AP31" s="74"/>
      <c r="AS31" s="389">
        <f>IFERROR(__xludf.DUMMYFUNCTION("if(OR(and(C31="""",D31="""",K31="""",M31=""""),K31=""-""),"""",if(iferror(regexextract(text(K31,""#.##""),""[0-9]+""),"""")="""",0,if(isnumber(find(""pp"",lower(K31))),value(left(K31,find(""pp"",lower(K31))-1))*10,if(isnumber(find(""sp"",lower(K31))),valu"&amp;"e(left(K31,find(""sp"",lower(K31))-1))*0.1,if(isnumber(find(""gp"",lower(K31))),value(left(K31,find(""gp"",lower(K31))-1)),if(isnumber(find(""cp"",lower(K31))),value(left(K31,find(""cp"",lower(K31))-1))*0.01,K31))))*if(C31="""",1,C31)))"),0.0)</f>
        <v>0</v>
      </c>
      <c r="AT31" s="390">
        <f t="shared" si="4"/>
        <v>0</v>
      </c>
      <c r="AU31" s="389">
        <f>IFERROR(__xludf.DUMMYFUNCTION("if(OR(and(Q31="""",R31="""",Y31="""",AA31=""""),Y31=""-""),"""",if(iferror(regexextract(text(Y31,""#.##""),""[0-9]+""),"""")="""",0,if(isnumber(find(""pp"",lower(Y31))),value(left(Y31,find(""pp"",lower(Y31))-1))*10,if(isnumber(find(""sp"",lower(Y31))),val"&amp;"ue(left(Y31,find(""sp"",lower(Y31))-1))*0.1,if(isnumber(find(""gp"",lower(Y31))),value(left(Y31,find(""gp"",lower(Y31))-1)),if(isnumber(find(""cp"",lower(Y31))),value(left(Y31,find(""cp"",lower(Y31))-1))*0.01,Y31))))*if(Q31="""",1,Q31)))"),0.0)</f>
        <v>0</v>
      </c>
      <c r="AV31" s="390">
        <f t="shared" si="5"/>
        <v>0</v>
      </c>
      <c r="AW31" s="389">
        <f>IFERROR(__xludf.DUMMYFUNCTION("if(OR(and(AE31="""",AF31="""",AM31="""",AO31=""""),AM31=""-""),"""",if(iferror(regexextract(text(AM31,""#.##""),""[0-9]+""),"""")="""",0,if(isnumber(find(""pp"",lower(AM31))),value(left(AM31,find(""pp"",lower(AM31))-1))*10,if(isnumber(find(""sp"",lower(AM"&amp;"31))),value(left(AM31,find(""sp"",lower(AM31))-1))*0.1,if(isnumber(find(""gp"",lower(AM31))),value(left(AM31,find(""gp"",lower(AM31))-1)),if(isnumber(find(""cp"",lower(AM31))),value(left(AM31,find(""cp"",lower(AM31))-1))*0.01,AM31))))*if(AE31="""",1,AE31)"&amp;"))"),0.0)</f>
        <v>0</v>
      </c>
      <c r="AX31" s="391">
        <f t="shared" si="6"/>
        <v>0</v>
      </c>
      <c r="AY31" s="358"/>
      <c r="AZ31" s="358"/>
      <c r="BA31" s="358"/>
      <c r="BB31" s="358"/>
    </row>
    <row r="32" ht="15.75" customHeight="1">
      <c r="C32" s="388"/>
      <c r="D32" s="383"/>
      <c r="E32" s="74"/>
      <c r="F32" s="74"/>
      <c r="G32" s="74"/>
      <c r="H32" s="74"/>
      <c r="I32" s="74"/>
      <c r="J32" s="74"/>
      <c r="K32" s="384"/>
      <c r="L32" s="74"/>
      <c r="M32" s="385">
        <v>0.0</v>
      </c>
      <c r="N32" s="74"/>
      <c r="O32" s="386"/>
      <c r="P32" s="387"/>
      <c r="Q32" s="388"/>
      <c r="R32" s="393"/>
      <c r="S32" s="74"/>
      <c r="T32" s="74"/>
      <c r="U32" s="74"/>
      <c r="V32" s="74"/>
      <c r="W32" s="74"/>
      <c r="X32" s="74"/>
      <c r="Y32" s="384"/>
      <c r="Z32" s="74"/>
      <c r="AA32" s="385">
        <v>0.0</v>
      </c>
      <c r="AB32" s="74"/>
      <c r="AC32" s="386"/>
      <c r="AD32" s="387"/>
      <c r="AE32" s="388"/>
      <c r="AF32" s="383"/>
      <c r="AG32" s="74"/>
      <c r="AH32" s="74"/>
      <c r="AI32" s="74"/>
      <c r="AJ32" s="74"/>
      <c r="AK32" s="74"/>
      <c r="AL32" s="74"/>
      <c r="AM32" s="384"/>
      <c r="AN32" s="74"/>
      <c r="AO32" s="385">
        <v>0.0</v>
      </c>
      <c r="AP32" s="74"/>
      <c r="AS32" s="389">
        <f>IFERROR(__xludf.DUMMYFUNCTION("if(OR(and(C32="""",D32="""",K32="""",M32=""""),K32=""-""),"""",if(iferror(regexextract(text(K32,""#.##""),""[0-9]+""),"""")="""",0,if(isnumber(find(""pp"",lower(K32))),value(left(K32,find(""pp"",lower(K32))-1))*10,if(isnumber(find(""sp"",lower(K32))),valu"&amp;"e(left(K32,find(""sp"",lower(K32))-1))*0.1,if(isnumber(find(""gp"",lower(K32))),value(left(K32,find(""gp"",lower(K32))-1)),if(isnumber(find(""cp"",lower(K32))),value(left(K32,find(""cp"",lower(K32))-1))*0.01,K32))))*if(C32="""",1,C32)))"),0.0)</f>
        <v>0</v>
      </c>
      <c r="AT32" s="390">
        <f t="shared" si="4"/>
        <v>0</v>
      </c>
      <c r="AU32" s="389">
        <f>IFERROR(__xludf.DUMMYFUNCTION("if(OR(and(Q32="""",R32="""",Y32="""",AA32=""""),Y32=""-""),"""",if(iferror(regexextract(text(Y32,""#.##""),""[0-9]+""),"""")="""",0,if(isnumber(find(""pp"",lower(Y32))),value(left(Y32,find(""pp"",lower(Y32))-1))*10,if(isnumber(find(""sp"",lower(Y32))),val"&amp;"ue(left(Y32,find(""sp"",lower(Y32))-1))*0.1,if(isnumber(find(""gp"",lower(Y32))),value(left(Y32,find(""gp"",lower(Y32))-1)),if(isnumber(find(""cp"",lower(Y32))),value(left(Y32,find(""cp"",lower(Y32))-1))*0.01,Y32))))*if(Q32="""",1,Q32)))"),0.0)</f>
        <v>0</v>
      </c>
      <c r="AV32" s="390">
        <f t="shared" si="5"/>
        <v>0</v>
      </c>
      <c r="AW32" s="389">
        <f>IFERROR(__xludf.DUMMYFUNCTION("if(OR(and(AE32="""",AF32="""",AM32="""",AO32=""""),AM32=""-""),"""",if(iferror(regexextract(text(AM32,""#.##""),""[0-9]+""),"""")="""",0,if(isnumber(find(""pp"",lower(AM32))),value(left(AM32,find(""pp"",lower(AM32))-1))*10,if(isnumber(find(""sp"",lower(AM"&amp;"32))),value(left(AM32,find(""sp"",lower(AM32))-1))*0.1,if(isnumber(find(""gp"",lower(AM32))),value(left(AM32,find(""gp"",lower(AM32))-1)),if(isnumber(find(""cp"",lower(AM32))),value(left(AM32,find(""cp"",lower(AM32))-1))*0.01,AM32))))*if(AE32="""",1,AE32)"&amp;"))"),0.0)</f>
        <v>0</v>
      </c>
      <c r="AX32" s="391">
        <f t="shared" si="6"/>
        <v>0</v>
      </c>
      <c r="AY32" s="358"/>
      <c r="AZ32" s="358"/>
      <c r="BA32" s="358"/>
      <c r="BB32" s="358"/>
    </row>
    <row r="33" ht="15.75" customHeight="1">
      <c r="C33" s="388"/>
      <c r="D33" s="383"/>
      <c r="E33" s="74"/>
      <c r="F33" s="74"/>
      <c r="G33" s="74"/>
      <c r="H33" s="74"/>
      <c r="I33" s="74"/>
      <c r="J33" s="74"/>
      <c r="K33" s="384"/>
      <c r="L33" s="74"/>
      <c r="M33" s="385">
        <v>0.0</v>
      </c>
      <c r="N33" s="74"/>
      <c r="O33" s="386"/>
      <c r="P33" s="387"/>
      <c r="Q33" s="388"/>
      <c r="R33" s="383"/>
      <c r="S33" s="74"/>
      <c r="T33" s="74"/>
      <c r="U33" s="74"/>
      <c r="V33" s="74"/>
      <c r="W33" s="74"/>
      <c r="X33" s="74"/>
      <c r="Y33" s="384"/>
      <c r="Z33" s="74"/>
      <c r="AA33" s="385">
        <v>0.0</v>
      </c>
      <c r="AB33" s="74"/>
      <c r="AC33" s="386"/>
      <c r="AD33" s="387"/>
      <c r="AE33" s="388"/>
      <c r="AF33" s="383"/>
      <c r="AG33" s="74"/>
      <c r="AH33" s="74"/>
      <c r="AI33" s="74"/>
      <c r="AJ33" s="74"/>
      <c r="AK33" s="74"/>
      <c r="AL33" s="74"/>
      <c r="AM33" s="384"/>
      <c r="AN33" s="74"/>
      <c r="AO33" s="385">
        <v>0.0</v>
      </c>
      <c r="AP33" s="74"/>
      <c r="AS33" s="389">
        <f>IFERROR(__xludf.DUMMYFUNCTION("if(OR(and(C33="""",D33="""",K33="""",M33=""""),K33=""-""),"""",if(iferror(regexextract(text(K33,""#.##""),""[0-9]+""),"""")="""",0,if(isnumber(find(""pp"",lower(K33))),value(left(K33,find(""pp"",lower(K33))-1))*10,if(isnumber(find(""sp"",lower(K33))),valu"&amp;"e(left(K33,find(""sp"",lower(K33))-1))*0.1,if(isnumber(find(""gp"",lower(K33))),value(left(K33,find(""gp"",lower(K33))-1)),if(isnumber(find(""cp"",lower(K33))),value(left(K33,find(""cp"",lower(K33))-1))*0.01,K33))))*if(C33="""",1,C33)))"),0.0)</f>
        <v>0</v>
      </c>
      <c r="AT33" s="390">
        <f t="shared" si="4"/>
        <v>0</v>
      </c>
      <c r="AU33" s="389">
        <f>IFERROR(__xludf.DUMMYFUNCTION("if(OR(and(Q33="""",R33="""",Y33="""",AA33=""""),Y33=""-""),"""",if(iferror(regexextract(text(Y33,""#.##""),""[0-9]+""),"""")="""",0,if(isnumber(find(""pp"",lower(Y33))),value(left(Y33,find(""pp"",lower(Y33))-1))*10,if(isnumber(find(""sp"",lower(Y33))),val"&amp;"ue(left(Y33,find(""sp"",lower(Y33))-1))*0.1,if(isnumber(find(""gp"",lower(Y33))),value(left(Y33,find(""gp"",lower(Y33))-1)),if(isnumber(find(""cp"",lower(Y33))),value(left(Y33,find(""cp"",lower(Y33))-1))*0.01,Y33))))*if(Q33="""",1,Q33)))"),0.0)</f>
        <v>0</v>
      </c>
      <c r="AV33" s="390">
        <f t="shared" si="5"/>
        <v>0</v>
      </c>
      <c r="AW33" s="389">
        <f>IFERROR(__xludf.DUMMYFUNCTION("if(OR(and(AE33="""",AF33="""",AM33="""",AO33=""""),AM33=""-""),"""",if(iferror(regexextract(text(AM33,""#.##""),""[0-9]+""),"""")="""",0,if(isnumber(find(""pp"",lower(AM33))),value(left(AM33,find(""pp"",lower(AM33))-1))*10,if(isnumber(find(""sp"",lower(AM"&amp;"33))),value(left(AM33,find(""sp"",lower(AM33))-1))*0.1,if(isnumber(find(""gp"",lower(AM33))),value(left(AM33,find(""gp"",lower(AM33))-1)),if(isnumber(find(""cp"",lower(AM33))),value(left(AM33,find(""cp"",lower(AM33))-1))*0.01,AM33))))*if(AE33="""",1,AE33)"&amp;"))"),0.0)</f>
        <v>0</v>
      </c>
      <c r="AX33" s="391">
        <f t="shared" si="6"/>
        <v>0</v>
      </c>
      <c r="AY33" s="358"/>
      <c r="AZ33" s="358"/>
      <c r="BA33" s="358"/>
      <c r="BB33" s="358"/>
    </row>
    <row r="34" ht="15.75" customHeight="1">
      <c r="C34" s="388"/>
      <c r="D34" s="383"/>
      <c r="E34" s="74"/>
      <c r="F34" s="74"/>
      <c r="G34" s="74"/>
      <c r="H34" s="74"/>
      <c r="I34" s="74"/>
      <c r="J34" s="74"/>
      <c r="K34" s="395"/>
      <c r="L34" s="74"/>
      <c r="M34" s="385">
        <v>0.0</v>
      </c>
      <c r="N34" s="74"/>
      <c r="O34" s="386"/>
      <c r="P34" s="387"/>
      <c r="Q34" s="388"/>
      <c r="R34" s="383"/>
      <c r="S34" s="74"/>
      <c r="T34" s="74"/>
      <c r="U34" s="74"/>
      <c r="V34" s="74"/>
      <c r="W34" s="74"/>
      <c r="X34" s="74"/>
      <c r="Y34" s="395"/>
      <c r="Z34" s="74"/>
      <c r="AA34" s="385">
        <v>0.0</v>
      </c>
      <c r="AB34" s="74"/>
      <c r="AC34" s="392"/>
      <c r="AD34" s="387"/>
      <c r="AE34" s="382"/>
      <c r="AF34" s="383"/>
      <c r="AG34" s="74"/>
      <c r="AH34" s="74"/>
      <c r="AI34" s="74"/>
      <c r="AJ34" s="74"/>
      <c r="AK34" s="74"/>
      <c r="AL34" s="74"/>
      <c r="AM34" s="395"/>
      <c r="AN34" s="74"/>
      <c r="AO34" s="385">
        <v>0.0</v>
      </c>
      <c r="AP34" s="74"/>
      <c r="AS34" s="389">
        <f>IFERROR(__xludf.DUMMYFUNCTION("if(OR(and(C34="""",D34="""",K34="""",M34=""""),K34=""-""),"""",if(iferror(regexextract(text(K34,""#.##""),""[0-9]+""),"""")="""",0,if(isnumber(find(""pp"",lower(K34))),value(left(K34,find(""pp"",lower(K34))-1))*10,if(isnumber(find(""sp"",lower(K34))),valu"&amp;"e(left(K34,find(""sp"",lower(K34))-1))*0.1,if(isnumber(find(""gp"",lower(K34))),value(left(K34,find(""gp"",lower(K34))-1)),if(isnumber(find(""cp"",lower(K34))),value(left(K34,find(""cp"",lower(K34))-1))*0.01,K34))))*if(C34="""",1,C34)))"),0.0)</f>
        <v>0</v>
      </c>
      <c r="AT34" s="390">
        <f t="shared" si="4"/>
        <v>0</v>
      </c>
      <c r="AU34" s="389">
        <f>IFERROR(__xludf.DUMMYFUNCTION("if(OR(and(Q34="""",R34="""",Y34="""",AA34=""""),Y34=""-""),"""",if(iferror(regexextract(text(Y34,""#.##""),""[0-9]+""),"""")="""",0,if(isnumber(find(""pp"",lower(Y34))),value(left(Y34,find(""pp"",lower(Y34))-1))*10,if(isnumber(find(""sp"",lower(Y34))),val"&amp;"ue(left(Y34,find(""sp"",lower(Y34))-1))*0.1,if(isnumber(find(""gp"",lower(Y34))),value(left(Y34,find(""gp"",lower(Y34))-1)),if(isnumber(find(""cp"",lower(Y34))),value(left(Y34,find(""cp"",lower(Y34))-1))*0.01,Y34))))*if(Q34="""",1,Q34)))"),0.0)</f>
        <v>0</v>
      </c>
      <c r="AV34" s="390">
        <f t="shared" si="5"/>
        <v>0</v>
      </c>
      <c r="AW34" s="389">
        <f>IFERROR(__xludf.DUMMYFUNCTION("if(OR(and(AE34="""",AF34="""",AM34="""",AO34=""""),AM34=""-""),"""",if(iferror(regexextract(text(AM34,""#.##""),""[0-9]+""),"""")="""",0,if(isnumber(find(""pp"",lower(AM34))),value(left(AM34,find(""pp"",lower(AM34))-1))*10,if(isnumber(find(""sp"",lower(AM"&amp;"34))),value(left(AM34,find(""sp"",lower(AM34))-1))*0.1,if(isnumber(find(""gp"",lower(AM34))),value(left(AM34,find(""gp"",lower(AM34))-1)),if(isnumber(find(""cp"",lower(AM34))),value(left(AM34,find(""cp"",lower(AM34))-1))*0.01,AM34))))*if(AE34="""",1,AE34)"&amp;"))"),0.0)</f>
        <v>0</v>
      </c>
      <c r="AX34" s="391">
        <f t="shared" si="6"/>
        <v>0</v>
      </c>
      <c r="AY34" s="358"/>
      <c r="AZ34" s="358"/>
      <c r="BA34" s="358"/>
      <c r="BB34" s="358"/>
    </row>
    <row r="35" ht="15.75" customHeight="1">
      <c r="C35" s="382"/>
      <c r="D35" s="383"/>
      <c r="E35" s="74"/>
      <c r="F35" s="74"/>
      <c r="G35" s="74"/>
      <c r="H35" s="74"/>
      <c r="I35" s="74"/>
      <c r="J35" s="74"/>
      <c r="K35" s="384"/>
      <c r="L35" s="74"/>
      <c r="M35" s="385">
        <v>0.0</v>
      </c>
      <c r="N35" s="74"/>
      <c r="O35" s="386"/>
      <c r="P35" s="387"/>
      <c r="Q35" s="388"/>
      <c r="R35" s="383"/>
      <c r="S35" s="74"/>
      <c r="T35" s="74"/>
      <c r="U35" s="74"/>
      <c r="V35" s="74"/>
      <c r="W35" s="74"/>
      <c r="X35" s="74"/>
      <c r="Y35" s="384"/>
      <c r="Z35" s="74"/>
      <c r="AA35" s="394">
        <v>0.0</v>
      </c>
      <c r="AB35" s="74"/>
      <c r="AC35" s="392"/>
      <c r="AD35" s="387"/>
      <c r="AE35" s="388"/>
      <c r="AF35" s="383"/>
      <c r="AG35" s="74"/>
      <c r="AH35" s="74"/>
      <c r="AI35" s="74"/>
      <c r="AJ35" s="74"/>
      <c r="AK35" s="74"/>
      <c r="AL35" s="74"/>
      <c r="AM35" s="396"/>
      <c r="AN35" s="74"/>
      <c r="AO35" s="394">
        <v>0.0</v>
      </c>
      <c r="AP35" s="74"/>
      <c r="AS35" s="389">
        <f>IFERROR(__xludf.DUMMYFUNCTION("if(OR(and(C35="""",D35="""",K35="""",M35=""""),K35=""-""),"""",if(iferror(regexextract(text(K35,""#.##""),""[0-9]+""),"""")="""",0,if(isnumber(find(""pp"",lower(K35))),value(left(K35,find(""pp"",lower(K35))-1))*10,if(isnumber(find(""sp"",lower(K35))),valu"&amp;"e(left(K35,find(""sp"",lower(K35))-1))*0.1,if(isnumber(find(""gp"",lower(K35))),value(left(K35,find(""gp"",lower(K35))-1)),if(isnumber(find(""cp"",lower(K35))),value(left(K35,find(""cp"",lower(K35))-1))*0.01,K35))))*if(C35="""",1,C35)))"),0.0)</f>
        <v>0</v>
      </c>
      <c r="AT35" s="390">
        <f t="shared" si="4"/>
        <v>0</v>
      </c>
      <c r="AU35" s="389">
        <f>IFERROR(__xludf.DUMMYFUNCTION("if(OR(and(Q35="""",R35="""",Y35="""",AA35=""""),Y35=""-""),"""",if(iferror(regexextract(text(Y35,""#.##""),""[0-9]+""),"""")="""",0,if(isnumber(find(""pp"",lower(Y35))),value(left(Y35,find(""pp"",lower(Y35))-1))*10,if(isnumber(find(""sp"",lower(Y35))),val"&amp;"ue(left(Y35,find(""sp"",lower(Y35))-1))*0.1,if(isnumber(find(""gp"",lower(Y35))),value(left(Y35,find(""gp"",lower(Y35))-1)),if(isnumber(find(""cp"",lower(Y35))),value(left(Y35,find(""cp"",lower(Y35))-1))*0.01,Y35))))*if(Q35="""",1,Q35)))"),0.0)</f>
        <v>0</v>
      </c>
      <c r="AV35" s="390">
        <f t="shared" si="5"/>
        <v>0</v>
      </c>
      <c r="AW35" s="389">
        <f>IFERROR(__xludf.DUMMYFUNCTION("if(OR(and(AE35="""",AF35="""",AM35="""",AO35=""""),AM35=""-""),"""",if(iferror(regexextract(text(AM35,""#.##""),""[0-9]+""),"""")="""",0,if(isnumber(find(""pp"",lower(AM35))),value(left(AM35,find(""pp"",lower(AM35))-1))*10,if(isnumber(find(""sp"",lower(AM"&amp;"35))),value(left(AM35,find(""sp"",lower(AM35))-1))*0.1,if(isnumber(find(""gp"",lower(AM35))),value(left(AM35,find(""gp"",lower(AM35))-1)),if(isnumber(find(""cp"",lower(AM35))),value(left(AM35,find(""cp"",lower(AM35))-1))*0.01,AM35))))*if(AE35="""",1,AE35)"&amp;"))"),0.0)</f>
        <v>0</v>
      </c>
      <c r="AX35" s="391">
        <f t="shared" si="6"/>
        <v>0</v>
      </c>
      <c r="AY35" s="358"/>
      <c r="AZ35" s="358"/>
      <c r="BA35" s="358"/>
      <c r="BB35" s="358"/>
    </row>
    <row r="36" ht="15.75" customHeight="1">
      <c r="C36" s="382"/>
      <c r="D36" s="383"/>
      <c r="E36" s="74"/>
      <c r="F36" s="74"/>
      <c r="G36" s="74"/>
      <c r="H36" s="74"/>
      <c r="I36" s="74"/>
      <c r="J36" s="74"/>
      <c r="K36" s="384"/>
      <c r="L36" s="74"/>
      <c r="M36" s="385">
        <v>0.0</v>
      </c>
      <c r="N36" s="74"/>
      <c r="O36" s="386"/>
      <c r="P36" s="387"/>
      <c r="Q36" s="388"/>
      <c r="R36" s="397"/>
      <c r="S36" s="74"/>
      <c r="T36" s="74"/>
      <c r="U36" s="74"/>
      <c r="V36" s="74"/>
      <c r="W36" s="74"/>
      <c r="X36" s="74"/>
      <c r="Y36" s="396"/>
      <c r="Z36" s="74"/>
      <c r="AA36" s="385">
        <v>0.0</v>
      </c>
      <c r="AB36" s="74"/>
      <c r="AC36" s="392"/>
      <c r="AD36" s="387"/>
      <c r="AE36" s="388"/>
      <c r="AF36" s="383"/>
      <c r="AG36" s="74"/>
      <c r="AH36" s="74"/>
      <c r="AI36" s="74"/>
      <c r="AJ36" s="74"/>
      <c r="AK36" s="74"/>
      <c r="AL36" s="74"/>
      <c r="AM36" s="384"/>
      <c r="AN36" s="74"/>
      <c r="AO36" s="385">
        <v>0.0</v>
      </c>
      <c r="AP36" s="74"/>
      <c r="AS36" s="389">
        <f>IFERROR(__xludf.DUMMYFUNCTION("if(OR(and(C36="""",D36="""",K36="""",M36=""""),K36=""-""),"""",if(iferror(regexextract(text(K36,""#.##""),""[0-9]+""),"""")="""",0,if(isnumber(find(""pp"",lower(K36))),value(left(K36,find(""pp"",lower(K36))-1))*10,if(isnumber(find(""sp"",lower(K36))),valu"&amp;"e(left(K36,find(""sp"",lower(K36))-1))*0.1,if(isnumber(find(""gp"",lower(K36))),value(left(K36,find(""gp"",lower(K36))-1)),if(isnumber(find(""cp"",lower(K36))),value(left(K36,find(""cp"",lower(K36))-1))*0.01,K36))))*if(C36="""",1,C36)))"),0.0)</f>
        <v>0</v>
      </c>
      <c r="AT36" s="390">
        <f t="shared" si="4"/>
        <v>0</v>
      </c>
      <c r="AU36" s="389">
        <f>IFERROR(__xludf.DUMMYFUNCTION("if(OR(and(Q36="""",R36="""",Y36="""",AA36=""""),Y36=""-""),"""",if(iferror(regexextract(text(Y36,""#.##""),""[0-9]+""),"""")="""",0,if(isnumber(find(""pp"",lower(Y36))),value(left(Y36,find(""pp"",lower(Y36))-1))*10,if(isnumber(find(""sp"",lower(Y36))),val"&amp;"ue(left(Y36,find(""sp"",lower(Y36))-1))*0.1,if(isnumber(find(""gp"",lower(Y36))),value(left(Y36,find(""gp"",lower(Y36))-1)),if(isnumber(find(""cp"",lower(Y36))),value(left(Y36,find(""cp"",lower(Y36))-1))*0.01,Y36))))*if(Q36="""",1,Q36)))"),0.0)</f>
        <v>0</v>
      </c>
      <c r="AV36" s="390">
        <f t="shared" si="5"/>
        <v>0</v>
      </c>
      <c r="AW36" s="389">
        <f>IFERROR(__xludf.DUMMYFUNCTION("if(OR(and(AE36="""",AF36="""",AM36="""",AO36=""""),AM36=""-""),"""",if(iferror(regexextract(text(AM36,""#.##""),""[0-9]+""),"""")="""",0,if(isnumber(find(""pp"",lower(AM36))),value(left(AM36,find(""pp"",lower(AM36))-1))*10,if(isnumber(find(""sp"",lower(AM"&amp;"36))),value(left(AM36,find(""sp"",lower(AM36))-1))*0.1,if(isnumber(find(""gp"",lower(AM36))),value(left(AM36,find(""gp"",lower(AM36))-1)),if(isnumber(find(""cp"",lower(AM36))),value(left(AM36,find(""cp"",lower(AM36))-1))*0.01,AM36))))*if(AE36="""",1,AE36)"&amp;"))"),0.0)</f>
        <v>0</v>
      </c>
      <c r="AX36" s="391">
        <f t="shared" si="6"/>
        <v>0</v>
      </c>
      <c r="AY36" s="358"/>
      <c r="AZ36" s="358"/>
      <c r="BA36" s="358"/>
      <c r="BB36" s="358"/>
    </row>
    <row r="37" ht="15.75" customHeight="1">
      <c r="C37" s="388"/>
      <c r="D37" s="383"/>
      <c r="E37" s="74"/>
      <c r="F37" s="74"/>
      <c r="G37" s="74"/>
      <c r="H37" s="74"/>
      <c r="I37" s="74"/>
      <c r="J37" s="74"/>
      <c r="K37" s="384"/>
      <c r="L37" s="74"/>
      <c r="M37" s="385">
        <v>0.0</v>
      </c>
      <c r="N37" s="74"/>
      <c r="O37" s="386"/>
      <c r="P37" s="387"/>
      <c r="Q37" s="388"/>
      <c r="R37" s="397"/>
      <c r="S37" s="74"/>
      <c r="T37" s="74"/>
      <c r="U37" s="74"/>
      <c r="V37" s="74"/>
      <c r="W37" s="74"/>
      <c r="X37" s="74"/>
      <c r="Y37" s="384"/>
      <c r="Z37" s="74"/>
      <c r="AA37" s="394">
        <v>0.0</v>
      </c>
      <c r="AB37" s="74"/>
      <c r="AC37" s="392"/>
      <c r="AD37" s="387"/>
      <c r="AE37" s="382"/>
      <c r="AF37" s="383"/>
      <c r="AG37" s="74"/>
      <c r="AH37" s="74"/>
      <c r="AI37" s="74"/>
      <c r="AJ37" s="74"/>
      <c r="AK37" s="74"/>
      <c r="AL37" s="74"/>
      <c r="AM37" s="384"/>
      <c r="AN37" s="74"/>
      <c r="AO37" s="394">
        <v>0.0</v>
      </c>
      <c r="AP37" s="74"/>
      <c r="AS37" s="389">
        <f>IFERROR(__xludf.DUMMYFUNCTION("if(OR(and(C37="""",D37="""",K37="""",M37=""""),K37=""-""),"""",if(iferror(regexextract(text(K37,""#.##""),""[0-9]+""),"""")="""",0,if(isnumber(find(""pp"",lower(K37))),value(left(K37,find(""pp"",lower(K37))-1))*10,if(isnumber(find(""sp"",lower(K37))),valu"&amp;"e(left(K37,find(""sp"",lower(K37))-1))*0.1,if(isnumber(find(""gp"",lower(K37))),value(left(K37,find(""gp"",lower(K37))-1)),if(isnumber(find(""cp"",lower(K37))),value(left(K37,find(""cp"",lower(K37))-1))*0.01,K37))))*if(C37="""",1,C37)))"),0.0)</f>
        <v>0</v>
      </c>
      <c r="AT37" s="390">
        <f t="shared" si="4"/>
        <v>0</v>
      </c>
      <c r="AU37" s="389">
        <f>IFERROR(__xludf.DUMMYFUNCTION("if(OR(and(Q37="""",R37="""",Y37="""",AA37=""""),Y37=""-""),"""",if(iferror(regexextract(text(Y37,""#.##""),""[0-9]+""),"""")="""",0,if(isnumber(find(""pp"",lower(Y37))),value(left(Y37,find(""pp"",lower(Y37))-1))*10,if(isnumber(find(""sp"",lower(Y37))),val"&amp;"ue(left(Y37,find(""sp"",lower(Y37))-1))*0.1,if(isnumber(find(""gp"",lower(Y37))),value(left(Y37,find(""gp"",lower(Y37))-1)),if(isnumber(find(""cp"",lower(Y37))),value(left(Y37,find(""cp"",lower(Y37))-1))*0.01,Y37))))*if(Q37="""",1,Q37)))"),0.0)</f>
        <v>0</v>
      </c>
      <c r="AV37" s="390">
        <f t="shared" si="5"/>
        <v>0</v>
      </c>
      <c r="AW37" s="389">
        <f>IFERROR(__xludf.DUMMYFUNCTION("if(OR(and(AE37="""",AF37="""",AM37="""",AO37=""""),AM37=""-""),"""",if(iferror(regexextract(text(AM37,""#.##""),""[0-9]+""),"""")="""",0,if(isnumber(find(""pp"",lower(AM37))),value(left(AM37,find(""pp"",lower(AM37))-1))*10,if(isnumber(find(""sp"",lower(AM"&amp;"37))),value(left(AM37,find(""sp"",lower(AM37))-1))*0.1,if(isnumber(find(""gp"",lower(AM37))),value(left(AM37,find(""gp"",lower(AM37))-1)),if(isnumber(find(""cp"",lower(AM37))),value(left(AM37,find(""cp"",lower(AM37))-1))*0.01,AM37))))*if(AE37="""",1,AE37)"&amp;"))"),0.0)</f>
        <v>0</v>
      </c>
      <c r="AX37" s="391">
        <f t="shared" si="6"/>
        <v>0</v>
      </c>
      <c r="AY37" s="358"/>
      <c r="AZ37" s="358"/>
      <c r="BA37" s="358"/>
      <c r="BB37" s="358"/>
    </row>
    <row r="38" ht="15.75" customHeight="1">
      <c r="C38" s="388"/>
      <c r="D38" s="383"/>
      <c r="E38" s="74"/>
      <c r="F38" s="74"/>
      <c r="G38" s="74"/>
      <c r="H38" s="74"/>
      <c r="I38" s="74"/>
      <c r="J38" s="74"/>
      <c r="K38" s="395"/>
      <c r="L38" s="74"/>
      <c r="M38" s="385">
        <v>0.0</v>
      </c>
      <c r="N38" s="74"/>
      <c r="O38" s="386"/>
      <c r="P38" s="387"/>
      <c r="Q38" s="388"/>
      <c r="R38" s="397"/>
      <c r="S38" s="74"/>
      <c r="T38" s="74"/>
      <c r="U38" s="74"/>
      <c r="V38" s="74"/>
      <c r="W38" s="74"/>
      <c r="X38" s="74"/>
      <c r="Y38" s="398"/>
      <c r="Z38" s="74"/>
      <c r="AA38" s="394">
        <v>0.0</v>
      </c>
      <c r="AB38" s="74"/>
      <c r="AC38" s="392"/>
      <c r="AD38" s="387"/>
      <c r="AE38" s="388"/>
      <c r="AF38" s="383"/>
      <c r="AG38" s="74"/>
      <c r="AH38" s="74"/>
      <c r="AI38" s="74"/>
      <c r="AJ38" s="74"/>
      <c r="AK38" s="74"/>
      <c r="AL38" s="74"/>
      <c r="AM38" s="395"/>
      <c r="AN38" s="74"/>
      <c r="AO38" s="385">
        <v>0.0</v>
      </c>
      <c r="AP38" s="74"/>
      <c r="AS38" s="389">
        <f>IFERROR(__xludf.DUMMYFUNCTION("if(OR(and(C38="""",D38="""",K38="""",M38=""""),K38=""-""),"""",if(iferror(regexextract(text(K38,""#.##""),""[0-9]+""),"""")="""",0,if(isnumber(find(""pp"",lower(K38))),value(left(K38,find(""pp"",lower(K38))-1))*10,if(isnumber(find(""sp"",lower(K38))),valu"&amp;"e(left(K38,find(""sp"",lower(K38))-1))*0.1,if(isnumber(find(""gp"",lower(K38))),value(left(K38,find(""gp"",lower(K38))-1)),if(isnumber(find(""cp"",lower(K38))),value(left(K38,find(""cp"",lower(K38))-1))*0.01,K38))))*if(C38="""",1,C38)))"),0.0)</f>
        <v>0</v>
      </c>
      <c r="AT38" s="390">
        <f t="shared" si="4"/>
        <v>0</v>
      </c>
      <c r="AU38" s="389">
        <f>IFERROR(__xludf.DUMMYFUNCTION("if(OR(and(Q38="""",R38="""",Y38="""",AA38=""""),Y38=""-""),"""",if(iferror(regexextract(text(Y38,""#.##""),""[0-9]+""),"""")="""",0,if(isnumber(find(""pp"",lower(Y38))),value(left(Y38,find(""pp"",lower(Y38))-1))*10,if(isnumber(find(""sp"",lower(Y38))),val"&amp;"ue(left(Y38,find(""sp"",lower(Y38))-1))*0.1,if(isnumber(find(""gp"",lower(Y38))),value(left(Y38,find(""gp"",lower(Y38))-1)),if(isnumber(find(""cp"",lower(Y38))),value(left(Y38,find(""cp"",lower(Y38))-1))*0.01,Y38))))*if(Q38="""",1,Q38)))"),0.0)</f>
        <v>0</v>
      </c>
      <c r="AV38" s="390">
        <f t="shared" si="5"/>
        <v>0</v>
      </c>
      <c r="AW38" s="389">
        <f>IFERROR(__xludf.DUMMYFUNCTION("if(OR(and(AE38="""",AF38="""",AM38="""",AO38=""""),AM38=""-""),"""",if(iferror(regexextract(text(AM38,""#.##""),""[0-9]+""),"""")="""",0,if(isnumber(find(""pp"",lower(AM38))),value(left(AM38,find(""pp"",lower(AM38))-1))*10,if(isnumber(find(""sp"",lower(AM"&amp;"38))),value(left(AM38,find(""sp"",lower(AM38))-1))*0.1,if(isnumber(find(""gp"",lower(AM38))),value(left(AM38,find(""gp"",lower(AM38))-1)),if(isnumber(find(""cp"",lower(AM38))),value(left(AM38,find(""cp"",lower(AM38))-1))*0.01,AM38))))*if(AE38="""",1,AE38)"&amp;"))"),0.0)</f>
        <v>0</v>
      </c>
      <c r="AX38" s="391">
        <f t="shared" si="6"/>
        <v>0</v>
      </c>
      <c r="AY38" s="358"/>
      <c r="AZ38" s="358"/>
      <c r="BA38" s="358"/>
      <c r="BB38" s="358"/>
    </row>
    <row r="39" ht="15.75" customHeight="1">
      <c r="C39" s="388"/>
      <c r="D39" s="383"/>
      <c r="E39" s="74"/>
      <c r="F39" s="74"/>
      <c r="G39" s="74"/>
      <c r="H39" s="74"/>
      <c r="I39" s="74"/>
      <c r="J39" s="74"/>
      <c r="K39" s="384"/>
      <c r="L39" s="74"/>
      <c r="M39" s="385">
        <v>0.0</v>
      </c>
      <c r="N39" s="74"/>
      <c r="O39" s="386"/>
      <c r="P39" s="387"/>
      <c r="Q39" s="388"/>
      <c r="R39" s="397"/>
      <c r="S39" s="74"/>
      <c r="T39" s="74"/>
      <c r="U39" s="74"/>
      <c r="V39" s="74"/>
      <c r="W39" s="74"/>
      <c r="X39" s="74"/>
      <c r="Y39" s="396"/>
      <c r="Z39" s="74"/>
      <c r="AA39" s="394">
        <v>0.0</v>
      </c>
      <c r="AB39" s="74"/>
      <c r="AC39" s="392"/>
      <c r="AD39" s="387"/>
      <c r="AE39" s="388"/>
      <c r="AF39" s="383"/>
      <c r="AG39" s="74"/>
      <c r="AH39" s="74"/>
      <c r="AI39" s="74"/>
      <c r="AJ39" s="74"/>
      <c r="AK39" s="74"/>
      <c r="AL39" s="74"/>
      <c r="AM39" s="396"/>
      <c r="AN39" s="74"/>
      <c r="AO39" s="385">
        <v>0.0</v>
      </c>
      <c r="AP39" s="74"/>
      <c r="AS39" s="389">
        <f>IFERROR(__xludf.DUMMYFUNCTION("if(OR(and(C39="""",D39="""",K39="""",M39=""""),K39=""-""),"""",if(iferror(regexextract(text(K39,""#.##""),""[0-9]+""),"""")="""",0,if(isnumber(find(""pp"",lower(K39))),value(left(K39,find(""pp"",lower(K39))-1))*10,if(isnumber(find(""sp"",lower(K39))),valu"&amp;"e(left(K39,find(""sp"",lower(K39))-1))*0.1,if(isnumber(find(""gp"",lower(K39))),value(left(K39,find(""gp"",lower(K39))-1)),if(isnumber(find(""cp"",lower(K39))),value(left(K39,find(""cp"",lower(K39))-1))*0.01,K39))))*if(C39="""",1,C39)))"),0.0)</f>
        <v>0</v>
      </c>
      <c r="AT39" s="390">
        <f t="shared" si="4"/>
        <v>0</v>
      </c>
      <c r="AU39" s="389">
        <f>IFERROR(__xludf.DUMMYFUNCTION("if(OR(and(Q39="""",R39="""",Y39="""",AA39=""""),Y39=""-""),"""",if(iferror(regexextract(text(Y39,""#.##""),""[0-9]+""),"""")="""",0,if(isnumber(find(""pp"",lower(Y39))),value(left(Y39,find(""pp"",lower(Y39))-1))*10,if(isnumber(find(""sp"",lower(Y39))),val"&amp;"ue(left(Y39,find(""sp"",lower(Y39))-1))*0.1,if(isnumber(find(""gp"",lower(Y39))),value(left(Y39,find(""gp"",lower(Y39))-1)),if(isnumber(find(""cp"",lower(Y39))),value(left(Y39,find(""cp"",lower(Y39))-1))*0.01,Y39))))*if(Q39="""",1,Q39)))"),0.0)</f>
        <v>0</v>
      </c>
      <c r="AV39" s="390">
        <f t="shared" si="5"/>
        <v>0</v>
      </c>
      <c r="AW39" s="389">
        <f>IFERROR(__xludf.DUMMYFUNCTION("if(OR(and(AE39="""",AF39="""",AM39="""",AO39=""""),AM39=""-""),"""",if(iferror(regexextract(text(AM39,""#.##""),""[0-9]+""),"""")="""",0,if(isnumber(find(""pp"",lower(AM39))),value(left(AM39,find(""pp"",lower(AM39))-1))*10,if(isnumber(find(""sp"",lower(AM"&amp;"39))),value(left(AM39,find(""sp"",lower(AM39))-1))*0.1,if(isnumber(find(""gp"",lower(AM39))),value(left(AM39,find(""gp"",lower(AM39))-1)),if(isnumber(find(""cp"",lower(AM39))),value(left(AM39,find(""cp"",lower(AM39))-1))*0.01,AM39))))*if(AE39="""",1,AE39)"&amp;"))"),0.0)</f>
        <v>0</v>
      </c>
      <c r="AX39" s="391">
        <f t="shared" si="6"/>
        <v>0</v>
      </c>
      <c r="AY39" s="358"/>
      <c r="AZ39" s="358"/>
      <c r="BA39" s="358"/>
      <c r="BB39" s="358"/>
    </row>
    <row r="40" ht="15.75" customHeight="1">
      <c r="C40" s="388"/>
      <c r="D40" s="383"/>
      <c r="E40" s="74"/>
      <c r="F40" s="74"/>
      <c r="G40" s="74"/>
      <c r="H40" s="74"/>
      <c r="I40" s="74"/>
      <c r="J40" s="74"/>
      <c r="K40" s="384"/>
      <c r="L40" s="74"/>
      <c r="M40" s="385">
        <v>0.0</v>
      </c>
      <c r="N40" s="74"/>
      <c r="O40" s="386"/>
      <c r="P40" s="387"/>
      <c r="Q40" s="388"/>
      <c r="R40" s="397"/>
      <c r="S40" s="74"/>
      <c r="T40" s="74"/>
      <c r="U40" s="74"/>
      <c r="V40" s="74"/>
      <c r="W40" s="74"/>
      <c r="X40" s="74"/>
      <c r="Y40" s="396"/>
      <c r="Z40" s="74"/>
      <c r="AA40" s="394">
        <v>0.0</v>
      </c>
      <c r="AB40" s="74"/>
      <c r="AC40" s="392"/>
      <c r="AD40" s="387"/>
      <c r="AE40" s="388"/>
      <c r="AF40" s="397"/>
      <c r="AG40" s="74"/>
      <c r="AH40" s="74"/>
      <c r="AI40" s="74"/>
      <c r="AJ40" s="74"/>
      <c r="AK40" s="74"/>
      <c r="AL40" s="74"/>
      <c r="AM40" s="396"/>
      <c r="AN40" s="74"/>
      <c r="AO40" s="394">
        <v>0.0</v>
      </c>
      <c r="AP40" s="74"/>
      <c r="AS40" s="389">
        <f>IFERROR(__xludf.DUMMYFUNCTION("if(OR(and(C40="""",D40="""",K40="""",M40=""""),K40=""-""),"""",if(iferror(regexextract(text(K40,""#.##""),""[0-9]+""),"""")="""",0,if(isnumber(find(""pp"",lower(K40))),value(left(K40,find(""pp"",lower(K40))-1))*10,if(isnumber(find(""sp"",lower(K40))),valu"&amp;"e(left(K40,find(""sp"",lower(K40))-1))*0.1,if(isnumber(find(""gp"",lower(K40))),value(left(K40,find(""gp"",lower(K40))-1)),if(isnumber(find(""cp"",lower(K40))),value(left(K40,find(""cp"",lower(K40))-1))*0.01,K40))))*if(C40="""",1,C40)))"),0.0)</f>
        <v>0</v>
      </c>
      <c r="AT40" s="390">
        <f t="shared" si="4"/>
        <v>0</v>
      </c>
      <c r="AU40" s="389">
        <f>IFERROR(__xludf.DUMMYFUNCTION("if(OR(and(Q40="""",R40="""",Y40="""",AA40=""""),Y40=""-""),"""",if(iferror(regexextract(text(Y40,""#.##""),""[0-9]+""),"""")="""",0,if(isnumber(find(""pp"",lower(Y40))),value(left(Y40,find(""pp"",lower(Y40))-1))*10,if(isnumber(find(""sp"",lower(Y40))),val"&amp;"ue(left(Y40,find(""sp"",lower(Y40))-1))*0.1,if(isnumber(find(""gp"",lower(Y40))),value(left(Y40,find(""gp"",lower(Y40))-1)),if(isnumber(find(""cp"",lower(Y40))),value(left(Y40,find(""cp"",lower(Y40))-1))*0.01,Y40))))*if(Q40="""",1,Q40)))"),0.0)</f>
        <v>0</v>
      </c>
      <c r="AV40" s="390">
        <f t="shared" si="5"/>
        <v>0</v>
      </c>
      <c r="AW40" s="389">
        <f>IFERROR(__xludf.DUMMYFUNCTION("if(OR(and(AE40="""",AF40="""",AM40="""",AO40=""""),AM40=""-""),"""",if(iferror(regexextract(text(AM40,""#.##""),""[0-9]+""),"""")="""",0,if(isnumber(find(""pp"",lower(AM40))),value(left(AM40,find(""pp"",lower(AM40))-1))*10,if(isnumber(find(""sp"",lower(AM"&amp;"40))),value(left(AM40,find(""sp"",lower(AM40))-1))*0.1,if(isnumber(find(""gp"",lower(AM40))),value(left(AM40,find(""gp"",lower(AM40))-1)),if(isnumber(find(""cp"",lower(AM40))),value(left(AM40,find(""cp"",lower(AM40))-1))*0.01,AM40))))*if(AE40="""",1,AE40)"&amp;"))"),0.0)</f>
        <v>0</v>
      </c>
      <c r="AX40" s="391">
        <f t="shared" si="6"/>
        <v>0</v>
      </c>
      <c r="AY40" s="358"/>
      <c r="AZ40" s="358"/>
      <c r="BA40" s="358"/>
      <c r="BB40" s="358"/>
    </row>
    <row r="41" ht="15.75" customHeight="1">
      <c r="C41" s="388"/>
      <c r="D41" s="383"/>
      <c r="E41" s="74"/>
      <c r="F41" s="74"/>
      <c r="G41" s="74"/>
      <c r="H41" s="74"/>
      <c r="I41" s="74"/>
      <c r="J41" s="74"/>
      <c r="K41" s="384"/>
      <c r="L41" s="74"/>
      <c r="M41" s="385">
        <v>0.0</v>
      </c>
      <c r="N41" s="74"/>
      <c r="O41" s="392"/>
      <c r="P41" s="387"/>
      <c r="Q41" s="388"/>
      <c r="R41" s="397"/>
      <c r="S41" s="74"/>
      <c r="T41" s="74"/>
      <c r="U41" s="74"/>
      <c r="V41" s="74"/>
      <c r="W41" s="74"/>
      <c r="X41" s="74"/>
      <c r="Y41" s="396"/>
      <c r="Z41" s="74"/>
      <c r="AA41" s="394">
        <v>0.0</v>
      </c>
      <c r="AB41" s="74"/>
      <c r="AC41" s="392"/>
      <c r="AD41" s="387"/>
      <c r="AE41" s="388"/>
      <c r="AF41" s="397"/>
      <c r="AG41" s="74"/>
      <c r="AH41" s="74"/>
      <c r="AI41" s="74"/>
      <c r="AJ41" s="74"/>
      <c r="AK41" s="74"/>
      <c r="AL41" s="74"/>
      <c r="AM41" s="396"/>
      <c r="AN41" s="74"/>
      <c r="AO41" s="385">
        <v>0.0</v>
      </c>
      <c r="AP41" s="74"/>
      <c r="AS41" s="389">
        <f>IFERROR(__xludf.DUMMYFUNCTION("if(OR(and(C41="""",D41="""",K41="""",M41=""""),K41=""-""),"""",if(iferror(regexextract(text(K41,""#.##""),""[0-9]+""),"""")="""",0,if(isnumber(find(""pp"",lower(K41))),value(left(K41,find(""pp"",lower(K41))-1))*10,if(isnumber(find(""sp"",lower(K41))),valu"&amp;"e(left(K41,find(""sp"",lower(K41))-1))*0.1,if(isnumber(find(""gp"",lower(K41))),value(left(K41,find(""gp"",lower(K41))-1)),if(isnumber(find(""cp"",lower(K41))),value(left(K41,find(""cp"",lower(K41))-1))*0.01,K41))))*if(C41="""",1,C41)))"),0.0)</f>
        <v>0</v>
      </c>
      <c r="AT41" s="390">
        <f t="shared" si="4"/>
        <v>0</v>
      </c>
      <c r="AU41" s="389">
        <f>IFERROR(__xludf.DUMMYFUNCTION("if(OR(and(Q41="""",R41="""",Y41="""",AA41=""""),Y41=""-""),"""",if(iferror(regexextract(text(Y41,""#.##""),""[0-9]+""),"""")="""",0,if(isnumber(find(""pp"",lower(Y41))),value(left(Y41,find(""pp"",lower(Y41))-1))*10,if(isnumber(find(""sp"",lower(Y41))),val"&amp;"ue(left(Y41,find(""sp"",lower(Y41))-1))*0.1,if(isnumber(find(""gp"",lower(Y41))),value(left(Y41,find(""gp"",lower(Y41))-1)),if(isnumber(find(""cp"",lower(Y41))),value(left(Y41,find(""cp"",lower(Y41))-1))*0.01,Y41))))*if(Q41="""",1,Q41)))"),0.0)</f>
        <v>0</v>
      </c>
      <c r="AV41" s="390">
        <f t="shared" si="5"/>
        <v>0</v>
      </c>
      <c r="AW41" s="389">
        <f>IFERROR(__xludf.DUMMYFUNCTION("if(OR(and(AE41="""",AF41="""",AM41="""",AO41=""""),AM41=""-""),"""",if(iferror(regexextract(text(AM41,""#.##""),""[0-9]+""),"""")="""",0,if(isnumber(find(""pp"",lower(AM41))),value(left(AM41,find(""pp"",lower(AM41))-1))*10,if(isnumber(find(""sp"",lower(AM"&amp;"41))),value(left(AM41,find(""sp"",lower(AM41))-1))*0.1,if(isnumber(find(""gp"",lower(AM41))),value(left(AM41,find(""gp"",lower(AM41))-1)),if(isnumber(find(""cp"",lower(AM41))),value(left(AM41,find(""cp"",lower(AM41))-1))*0.01,AM41))))*if(AE41="""",1,AE41)"&amp;"))"),0.0)</f>
        <v>0</v>
      </c>
      <c r="AX41" s="391">
        <f t="shared" si="6"/>
        <v>0</v>
      </c>
      <c r="AY41" s="358"/>
      <c r="AZ41" s="358"/>
      <c r="BA41" s="358"/>
      <c r="BB41" s="358"/>
    </row>
    <row r="42" ht="15.75" customHeight="1">
      <c r="C42" s="388"/>
      <c r="D42" s="383"/>
      <c r="E42" s="74"/>
      <c r="F42" s="74"/>
      <c r="G42" s="74"/>
      <c r="H42" s="74"/>
      <c r="I42" s="74"/>
      <c r="J42" s="74"/>
      <c r="K42" s="384"/>
      <c r="L42" s="74"/>
      <c r="M42" s="394">
        <v>0.0</v>
      </c>
      <c r="N42" s="74"/>
      <c r="O42" s="392"/>
      <c r="P42" s="387"/>
      <c r="Q42" s="388"/>
      <c r="R42" s="397"/>
      <c r="S42" s="74"/>
      <c r="T42" s="74"/>
      <c r="U42" s="74"/>
      <c r="V42" s="74"/>
      <c r="W42" s="74"/>
      <c r="X42" s="74"/>
      <c r="Y42" s="396"/>
      <c r="Z42" s="74"/>
      <c r="AA42" s="394">
        <v>0.0</v>
      </c>
      <c r="AB42" s="74"/>
      <c r="AC42" s="392"/>
      <c r="AD42" s="387"/>
      <c r="AE42" s="388"/>
      <c r="AF42" s="397"/>
      <c r="AG42" s="74"/>
      <c r="AH42" s="74"/>
      <c r="AI42" s="74"/>
      <c r="AJ42" s="74"/>
      <c r="AK42" s="74"/>
      <c r="AL42" s="74"/>
      <c r="AM42" s="396"/>
      <c r="AN42" s="74"/>
      <c r="AO42" s="394">
        <v>0.0</v>
      </c>
      <c r="AP42" s="74"/>
      <c r="AS42" s="389">
        <f>IFERROR(__xludf.DUMMYFUNCTION("if(OR(and(C42="""",D42="""",K42="""",M42=""""),K42=""-""),"""",if(iferror(regexextract(text(K42,""#.##""),""[0-9]+""),"""")="""",0,if(isnumber(find(""pp"",lower(K42))),value(left(K42,find(""pp"",lower(K42))-1))*10,if(isnumber(find(""sp"",lower(K42))),valu"&amp;"e(left(K42,find(""sp"",lower(K42))-1))*0.1,if(isnumber(find(""gp"",lower(K42))),value(left(K42,find(""gp"",lower(K42))-1)),if(isnumber(find(""cp"",lower(K42))),value(left(K42,find(""cp"",lower(K42))-1))*0.01,K42))))*if(C42="""",1,C42)))"),0.0)</f>
        <v>0</v>
      </c>
      <c r="AT42" s="390">
        <f t="shared" si="4"/>
        <v>0</v>
      </c>
      <c r="AU42" s="389">
        <f>IFERROR(__xludf.DUMMYFUNCTION("if(OR(and(Q42="""",R42="""",Y42="""",AA42=""""),Y42=""-""),"""",if(iferror(regexextract(text(Y42,""#.##""),""[0-9]+""),"""")="""",0,if(isnumber(find(""pp"",lower(Y42))),value(left(Y42,find(""pp"",lower(Y42))-1))*10,if(isnumber(find(""sp"",lower(Y42))),val"&amp;"ue(left(Y42,find(""sp"",lower(Y42))-1))*0.1,if(isnumber(find(""gp"",lower(Y42))),value(left(Y42,find(""gp"",lower(Y42))-1)),if(isnumber(find(""cp"",lower(Y42))),value(left(Y42,find(""cp"",lower(Y42))-1))*0.01,Y42))))*if(Q42="""",1,Q42)))"),0.0)</f>
        <v>0</v>
      </c>
      <c r="AV42" s="390">
        <f t="shared" si="5"/>
        <v>0</v>
      </c>
      <c r="AW42" s="389">
        <f>IFERROR(__xludf.DUMMYFUNCTION("if(OR(and(AE42="""",AF42="""",AM42="""",AO42=""""),AM42=""-""),"""",if(iferror(regexextract(text(AM42,""#.##""),""[0-9]+""),"""")="""",0,if(isnumber(find(""pp"",lower(AM42))),value(left(AM42,find(""pp"",lower(AM42))-1))*10,if(isnumber(find(""sp"",lower(AM"&amp;"42))),value(left(AM42,find(""sp"",lower(AM42))-1))*0.1,if(isnumber(find(""gp"",lower(AM42))),value(left(AM42,find(""gp"",lower(AM42))-1)),if(isnumber(find(""cp"",lower(AM42))),value(left(AM42,find(""cp"",lower(AM42))-1))*0.01,AM42))))*if(AE42="""",1,AE42)"&amp;"))"),0.0)</f>
        <v>0</v>
      </c>
      <c r="AX42" s="391">
        <f t="shared" si="6"/>
        <v>0</v>
      </c>
      <c r="AY42" s="358"/>
      <c r="AZ42" s="358"/>
      <c r="BA42" s="358"/>
      <c r="BB42" s="358"/>
    </row>
    <row r="43" ht="15.75" customHeight="1">
      <c r="C43" s="388"/>
      <c r="D43" s="383"/>
      <c r="E43" s="74"/>
      <c r="F43" s="74"/>
      <c r="G43" s="74"/>
      <c r="H43" s="74"/>
      <c r="I43" s="74"/>
      <c r="J43" s="74"/>
      <c r="K43" s="384"/>
      <c r="L43" s="74"/>
      <c r="M43" s="385">
        <v>0.0</v>
      </c>
      <c r="N43" s="74"/>
      <c r="O43" s="392"/>
      <c r="P43" s="387"/>
      <c r="Q43" s="388"/>
      <c r="R43" s="397"/>
      <c r="S43" s="74"/>
      <c r="T43" s="74"/>
      <c r="U43" s="74"/>
      <c r="V43" s="74"/>
      <c r="W43" s="74"/>
      <c r="X43" s="74"/>
      <c r="Y43" s="396"/>
      <c r="Z43" s="74"/>
      <c r="AA43" s="394">
        <v>0.0</v>
      </c>
      <c r="AB43" s="74"/>
      <c r="AC43" s="392"/>
      <c r="AD43" s="387"/>
      <c r="AE43" s="388"/>
      <c r="AF43" s="397"/>
      <c r="AG43" s="74"/>
      <c r="AH43" s="74"/>
      <c r="AI43" s="74"/>
      <c r="AJ43" s="74"/>
      <c r="AK43" s="74"/>
      <c r="AL43" s="74"/>
      <c r="AM43" s="396"/>
      <c r="AN43" s="74"/>
      <c r="AO43" s="394">
        <v>0.0</v>
      </c>
      <c r="AP43" s="74"/>
      <c r="AS43" s="389">
        <f>IFERROR(__xludf.DUMMYFUNCTION("if(OR(and(C43="""",D43="""",K43="""",M43=""""),K43=""-""),"""",if(iferror(regexextract(text(K43,""#.##""),""[0-9]+""),"""")="""",0,if(isnumber(find(""pp"",lower(K43))),value(left(K43,find(""pp"",lower(K43))-1))*10,if(isnumber(find(""sp"",lower(K43))),valu"&amp;"e(left(K43,find(""sp"",lower(K43))-1))*0.1,if(isnumber(find(""gp"",lower(K43))),value(left(K43,find(""gp"",lower(K43))-1)),if(isnumber(find(""cp"",lower(K43))),value(left(K43,find(""cp"",lower(K43))-1))*0.01,K43))))*if(C43="""",1,C43)))"),0.0)</f>
        <v>0</v>
      </c>
      <c r="AT43" s="390">
        <f t="shared" si="4"/>
        <v>0</v>
      </c>
      <c r="AU43" s="389">
        <f>IFERROR(__xludf.DUMMYFUNCTION("if(OR(and(Q43="""",R43="""",Y43="""",AA43=""""),Y43=""-""),"""",if(iferror(regexextract(text(Y43,""#.##""),""[0-9]+""),"""")="""",0,if(isnumber(find(""pp"",lower(Y43))),value(left(Y43,find(""pp"",lower(Y43))-1))*10,if(isnumber(find(""sp"",lower(Y43))),val"&amp;"ue(left(Y43,find(""sp"",lower(Y43))-1))*0.1,if(isnumber(find(""gp"",lower(Y43))),value(left(Y43,find(""gp"",lower(Y43))-1)),if(isnumber(find(""cp"",lower(Y43))),value(left(Y43,find(""cp"",lower(Y43))-1))*0.01,Y43))))*if(Q43="""",1,Q43)))"),0.0)</f>
        <v>0</v>
      </c>
      <c r="AV43" s="390">
        <f t="shared" si="5"/>
        <v>0</v>
      </c>
      <c r="AW43" s="389">
        <f>IFERROR(__xludf.DUMMYFUNCTION("if(OR(and(AE43="""",AF43="""",AM43="""",AO43=""""),AM43=""-""),"""",if(iferror(regexextract(text(AM43,""#.##""),""[0-9]+""),"""")="""",0,if(isnumber(find(""pp"",lower(AM43))),value(left(AM43,find(""pp"",lower(AM43))-1))*10,if(isnumber(find(""sp"",lower(AM"&amp;"43))),value(left(AM43,find(""sp"",lower(AM43))-1))*0.1,if(isnumber(find(""gp"",lower(AM43))),value(left(AM43,find(""gp"",lower(AM43))-1)),if(isnumber(find(""cp"",lower(AM43))),value(left(AM43,find(""cp"",lower(AM43))-1))*0.01,AM43))))*if(AE43="""",1,AE43)"&amp;"))"),0.0)</f>
        <v>0</v>
      </c>
      <c r="AX43" s="391">
        <f t="shared" si="6"/>
        <v>0</v>
      </c>
      <c r="AY43" s="358"/>
      <c r="AZ43" s="358"/>
      <c r="BA43" s="358"/>
      <c r="BB43" s="358"/>
    </row>
    <row r="44" ht="15.75" customHeight="1">
      <c r="C44" s="388"/>
      <c r="D44" s="383"/>
      <c r="E44" s="74"/>
      <c r="F44" s="74"/>
      <c r="G44" s="74"/>
      <c r="H44" s="74"/>
      <c r="I44" s="74"/>
      <c r="J44" s="74"/>
      <c r="K44" s="384"/>
      <c r="L44" s="74"/>
      <c r="M44" s="394">
        <v>0.0</v>
      </c>
      <c r="N44" s="74"/>
      <c r="O44" s="392"/>
      <c r="P44" s="387"/>
      <c r="Q44" s="388"/>
      <c r="R44" s="397"/>
      <c r="S44" s="74"/>
      <c r="T44" s="74"/>
      <c r="U44" s="74"/>
      <c r="V44" s="74"/>
      <c r="W44" s="74"/>
      <c r="X44" s="74"/>
      <c r="Y44" s="396"/>
      <c r="Z44" s="74"/>
      <c r="AA44" s="394">
        <v>0.0</v>
      </c>
      <c r="AB44" s="74"/>
      <c r="AC44" s="392"/>
      <c r="AD44" s="387"/>
      <c r="AE44" s="388"/>
      <c r="AF44" s="397"/>
      <c r="AG44" s="74"/>
      <c r="AH44" s="74"/>
      <c r="AI44" s="74"/>
      <c r="AJ44" s="74"/>
      <c r="AK44" s="74"/>
      <c r="AL44" s="74"/>
      <c r="AM44" s="396"/>
      <c r="AN44" s="74"/>
      <c r="AO44" s="385">
        <v>0.0</v>
      </c>
      <c r="AP44" s="74"/>
      <c r="AS44" s="389">
        <f>IFERROR(__xludf.DUMMYFUNCTION("if(OR(and(C44="""",D44="""",K44="""",M44=""""),K44=""-""),"""",if(iferror(regexextract(text(K44,""#.##""),""[0-9]+""),"""")="""",0,if(isnumber(find(""pp"",lower(K44))),value(left(K44,find(""pp"",lower(K44))-1))*10,if(isnumber(find(""sp"",lower(K44))),valu"&amp;"e(left(K44,find(""sp"",lower(K44))-1))*0.1,if(isnumber(find(""gp"",lower(K44))),value(left(K44,find(""gp"",lower(K44))-1)),if(isnumber(find(""cp"",lower(K44))),value(left(K44,find(""cp"",lower(K44))-1))*0.01,K44))))*if(C44="""",1,C44)))"),0.0)</f>
        <v>0</v>
      </c>
      <c r="AT44" s="390">
        <f t="shared" si="4"/>
        <v>0</v>
      </c>
      <c r="AU44" s="389">
        <f>IFERROR(__xludf.DUMMYFUNCTION("if(OR(and(Q44="""",R44="""",Y44="""",AA44=""""),Y44=""-""),"""",if(iferror(regexextract(text(Y44,""#.##""),""[0-9]+""),"""")="""",0,if(isnumber(find(""pp"",lower(Y44))),value(left(Y44,find(""pp"",lower(Y44))-1))*10,if(isnumber(find(""sp"",lower(Y44))),val"&amp;"ue(left(Y44,find(""sp"",lower(Y44))-1))*0.1,if(isnumber(find(""gp"",lower(Y44))),value(left(Y44,find(""gp"",lower(Y44))-1)),if(isnumber(find(""cp"",lower(Y44))),value(left(Y44,find(""cp"",lower(Y44))-1))*0.01,Y44))))*if(Q44="""",1,Q44)))"),0.0)</f>
        <v>0</v>
      </c>
      <c r="AV44" s="390">
        <f t="shared" si="5"/>
        <v>0</v>
      </c>
      <c r="AW44" s="389">
        <f>IFERROR(__xludf.DUMMYFUNCTION("if(OR(and(AE44="""",AF44="""",AM44="""",AO44=""""),AM44=""-""),"""",if(iferror(regexextract(text(AM44,""#.##""),""[0-9]+""),"""")="""",0,if(isnumber(find(""pp"",lower(AM44))),value(left(AM44,find(""pp"",lower(AM44))-1))*10,if(isnumber(find(""sp"",lower(AM"&amp;"44))),value(left(AM44,find(""sp"",lower(AM44))-1))*0.1,if(isnumber(find(""gp"",lower(AM44))),value(left(AM44,find(""gp"",lower(AM44))-1)),if(isnumber(find(""cp"",lower(AM44))),value(left(AM44,find(""cp"",lower(AM44))-1))*0.01,AM44))))*if(AE44="""",1,AE44)"&amp;"))"),0.0)</f>
        <v>0</v>
      </c>
      <c r="AX44" s="391">
        <f t="shared" si="6"/>
        <v>0</v>
      </c>
      <c r="AY44" s="358"/>
      <c r="AZ44" s="358"/>
      <c r="BA44" s="358"/>
      <c r="BB44" s="358"/>
    </row>
    <row r="45" ht="15.75" customHeight="1">
      <c r="C45" s="388"/>
      <c r="D45" s="383"/>
      <c r="E45" s="74"/>
      <c r="F45" s="74"/>
      <c r="G45" s="74"/>
      <c r="H45" s="74"/>
      <c r="I45" s="74"/>
      <c r="J45" s="74"/>
      <c r="K45" s="384"/>
      <c r="L45" s="74"/>
      <c r="M45" s="394">
        <v>0.0</v>
      </c>
      <c r="N45" s="74"/>
      <c r="O45" s="392"/>
      <c r="P45" s="387"/>
      <c r="Q45" s="388"/>
      <c r="R45" s="397"/>
      <c r="S45" s="74"/>
      <c r="T45" s="74"/>
      <c r="U45" s="74"/>
      <c r="V45" s="74"/>
      <c r="W45" s="74"/>
      <c r="X45" s="74"/>
      <c r="Y45" s="396"/>
      <c r="Z45" s="74"/>
      <c r="AA45" s="394">
        <v>0.0</v>
      </c>
      <c r="AB45" s="74"/>
      <c r="AC45" s="392"/>
      <c r="AD45" s="387"/>
      <c r="AE45" s="388"/>
      <c r="AF45" s="397"/>
      <c r="AG45" s="74"/>
      <c r="AH45" s="74"/>
      <c r="AI45" s="74"/>
      <c r="AJ45" s="74"/>
      <c r="AK45" s="74"/>
      <c r="AL45" s="74"/>
      <c r="AM45" s="396"/>
      <c r="AN45" s="74"/>
      <c r="AO45" s="394">
        <v>0.0</v>
      </c>
      <c r="AP45" s="74"/>
      <c r="AS45" s="389">
        <f>IFERROR(__xludf.DUMMYFUNCTION("if(OR(and(C45="""",D45="""",K45="""",M45=""""),K45=""-""),"""",if(iferror(regexextract(text(K45,""#.##""),""[0-9]+""),"""")="""",0,if(isnumber(find(""pp"",lower(K45))),value(left(K45,find(""pp"",lower(K45))-1))*10,if(isnumber(find(""sp"",lower(K45))),valu"&amp;"e(left(K45,find(""sp"",lower(K45))-1))*0.1,if(isnumber(find(""gp"",lower(K45))),value(left(K45,find(""gp"",lower(K45))-1)),if(isnumber(find(""cp"",lower(K45))),value(left(K45,find(""cp"",lower(K45))-1))*0.01,K45))))*if(C45="""",1,C45)))"),0.0)</f>
        <v>0</v>
      </c>
      <c r="AT45" s="390">
        <f t="shared" si="4"/>
        <v>0</v>
      </c>
      <c r="AU45" s="389">
        <f>IFERROR(__xludf.DUMMYFUNCTION("if(OR(and(Q45="""",R45="""",Y45="""",AA45=""""),Y45=""-""),"""",if(iferror(regexextract(text(Y45,""#.##""),""[0-9]+""),"""")="""",0,if(isnumber(find(""pp"",lower(Y45))),value(left(Y45,find(""pp"",lower(Y45))-1))*10,if(isnumber(find(""sp"",lower(Y45))),val"&amp;"ue(left(Y45,find(""sp"",lower(Y45))-1))*0.1,if(isnumber(find(""gp"",lower(Y45))),value(left(Y45,find(""gp"",lower(Y45))-1)),if(isnumber(find(""cp"",lower(Y45))),value(left(Y45,find(""cp"",lower(Y45))-1))*0.01,Y45))))*if(Q45="""",1,Q45)))"),0.0)</f>
        <v>0</v>
      </c>
      <c r="AV45" s="390">
        <f t="shared" si="5"/>
        <v>0</v>
      </c>
      <c r="AW45" s="389">
        <f>IFERROR(__xludf.DUMMYFUNCTION("if(OR(and(AE45="""",AF45="""",AM45="""",AO45=""""),AM45=""-""),"""",if(iferror(regexextract(text(AM45,""#.##""),""[0-9]+""),"""")="""",0,if(isnumber(find(""pp"",lower(AM45))),value(left(AM45,find(""pp"",lower(AM45))-1))*10,if(isnumber(find(""sp"",lower(AM"&amp;"45))),value(left(AM45,find(""sp"",lower(AM45))-1))*0.1,if(isnumber(find(""gp"",lower(AM45))),value(left(AM45,find(""gp"",lower(AM45))-1)),if(isnumber(find(""cp"",lower(AM45))),value(left(AM45,find(""cp"",lower(AM45))-1))*0.01,AM45))))*if(AE45="""",1,AE45)"&amp;"))"),0.0)</f>
        <v>0</v>
      </c>
      <c r="AX45" s="391">
        <f t="shared" si="6"/>
        <v>0</v>
      </c>
      <c r="AY45" s="358"/>
      <c r="AZ45" s="358"/>
      <c r="BA45" s="358"/>
      <c r="BB45" s="358"/>
    </row>
    <row r="46" ht="15.75" customHeight="1">
      <c r="C46" s="388"/>
      <c r="D46" s="383"/>
      <c r="E46" s="74"/>
      <c r="F46" s="74"/>
      <c r="G46" s="74"/>
      <c r="H46" s="74"/>
      <c r="I46" s="74"/>
      <c r="J46" s="74"/>
      <c r="K46" s="384"/>
      <c r="L46" s="74"/>
      <c r="M46" s="394">
        <v>0.0</v>
      </c>
      <c r="N46" s="74"/>
      <c r="O46" s="392"/>
      <c r="P46" s="387"/>
      <c r="Q46" s="388"/>
      <c r="R46" s="397"/>
      <c r="S46" s="74"/>
      <c r="T46" s="74"/>
      <c r="U46" s="74"/>
      <c r="V46" s="74"/>
      <c r="W46" s="74"/>
      <c r="X46" s="74"/>
      <c r="Y46" s="396"/>
      <c r="Z46" s="74"/>
      <c r="AA46" s="394">
        <v>0.0</v>
      </c>
      <c r="AB46" s="74"/>
      <c r="AC46" s="392"/>
      <c r="AD46" s="387"/>
      <c r="AE46" s="388"/>
      <c r="AF46" s="397"/>
      <c r="AG46" s="74"/>
      <c r="AH46" s="74"/>
      <c r="AI46" s="74"/>
      <c r="AJ46" s="74"/>
      <c r="AK46" s="74"/>
      <c r="AL46" s="74"/>
      <c r="AM46" s="396"/>
      <c r="AN46" s="74"/>
      <c r="AO46" s="394">
        <v>0.0</v>
      </c>
      <c r="AP46" s="74"/>
      <c r="AS46" s="389">
        <f>IFERROR(__xludf.DUMMYFUNCTION("if(OR(and(C46="""",D46="""",K46="""",M46=""""),K46=""-""),"""",if(iferror(regexextract(text(K46,""#.##""),""[0-9]+""),"""")="""",0,if(isnumber(find(""pp"",lower(K46))),value(left(K46,find(""pp"",lower(K46))-1))*10,if(isnumber(find(""sp"",lower(K46))),valu"&amp;"e(left(K46,find(""sp"",lower(K46))-1))*0.1,if(isnumber(find(""gp"",lower(K46))),value(left(K46,find(""gp"",lower(K46))-1)),if(isnumber(find(""cp"",lower(K46))),value(left(K46,find(""cp"",lower(K46))-1))*0.01,K46))))*if(C46="""",1,C46)))"),0.0)</f>
        <v>0</v>
      </c>
      <c r="AT46" s="390">
        <f t="shared" si="4"/>
        <v>0</v>
      </c>
      <c r="AU46" s="389">
        <f>IFERROR(__xludf.DUMMYFUNCTION("if(OR(and(Q46="""",R46="""",Y46="""",AA46=""""),Y46=""-""),"""",if(iferror(regexextract(text(Y46,""#.##""),""[0-9]+""),"""")="""",0,if(isnumber(find(""pp"",lower(Y46))),value(left(Y46,find(""pp"",lower(Y46))-1))*10,if(isnumber(find(""sp"",lower(Y46))),val"&amp;"ue(left(Y46,find(""sp"",lower(Y46))-1))*0.1,if(isnumber(find(""gp"",lower(Y46))),value(left(Y46,find(""gp"",lower(Y46))-1)),if(isnumber(find(""cp"",lower(Y46))),value(left(Y46,find(""cp"",lower(Y46))-1))*0.01,Y46))))*if(Q46="""",1,Q46)))"),0.0)</f>
        <v>0</v>
      </c>
      <c r="AV46" s="390">
        <f t="shared" si="5"/>
        <v>0</v>
      </c>
      <c r="AW46" s="389">
        <f>IFERROR(__xludf.DUMMYFUNCTION("if(OR(and(AE46="""",AF46="""",AM46="""",AO46=""""),AM46=""-""),"""",if(iferror(regexextract(text(AM46,""#.##""),""[0-9]+""),"""")="""",0,if(isnumber(find(""pp"",lower(AM46))),value(left(AM46,find(""pp"",lower(AM46))-1))*10,if(isnumber(find(""sp"",lower(AM"&amp;"46))),value(left(AM46,find(""sp"",lower(AM46))-1))*0.1,if(isnumber(find(""gp"",lower(AM46))),value(left(AM46,find(""gp"",lower(AM46))-1)),if(isnumber(find(""cp"",lower(AM46))),value(left(AM46,find(""cp"",lower(AM46))-1))*0.01,AM46))))*if(AE46="""",1,AE46)"&amp;"))"),0.0)</f>
        <v>0</v>
      </c>
      <c r="AX46" s="391">
        <f t="shared" si="6"/>
        <v>0</v>
      </c>
      <c r="AY46" s="358"/>
      <c r="AZ46" s="358"/>
      <c r="BA46" s="358"/>
      <c r="BB46" s="358"/>
    </row>
    <row r="47" ht="15.75" customHeight="1">
      <c r="C47" s="388"/>
      <c r="D47" s="383"/>
      <c r="E47" s="74"/>
      <c r="F47" s="74"/>
      <c r="G47" s="74"/>
      <c r="H47" s="74"/>
      <c r="I47" s="74"/>
      <c r="J47" s="74"/>
      <c r="K47" s="396"/>
      <c r="L47" s="74"/>
      <c r="M47" s="385">
        <v>0.0</v>
      </c>
      <c r="N47" s="74"/>
      <c r="O47" s="392"/>
      <c r="P47" s="387"/>
      <c r="Q47" s="388"/>
      <c r="R47" s="397"/>
      <c r="S47" s="74"/>
      <c r="T47" s="74"/>
      <c r="U47" s="74"/>
      <c r="V47" s="74"/>
      <c r="W47" s="74"/>
      <c r="X47" s="74"/>
      <c r="Y47" s="396"/>
      <c r="Z47" s="74"/>
      <c r="AA47" s="394">
        <v>0.0</v>
      </c>
      <c r="AB47" s="74"/>
      <c r="AC47" s="392"/>
      <c r="AD47" s="387"/>
      <c r="AE47" s="388"/>
      <c r="AF47" s="397"/>
      <c r="AG47" s="74"/>
      <c r="AH47" s="74"/>
      <c r="AI47" s="74"/>
      <c r="AJ47" s="74"/>
      <c r="AK47" s="74"/>
      <c r="AL47" s="74"/>
      <c r="AM47" s="396"/>
      <c r="AN47" s="74"/>
      <c r="AO47" s="394">
        <v>0.0</v>
      </c>
      <c r="AP47" s="74"/>
      <c r="AS47" s="389">
        <f>IFERROR(__xludf.DUMMYFUNCTION("if(OR(and(C47="""",D47="""",K47="""",M47=""""),K47=""-""),"""",if(iferror(regexextract(text(K47,""#.##""),""[0-9]+""),"""")="""",0,if(isnumber(find(""pp"",lower(K47))),value(left(K47,find(""pp"",lower(K47))-1))*10,if(isnumber(find(""sp"",lower(K47))),valu"&amp;"e(left(K47,find(""sp"",lower(K47))-1))*0.1,if(isnumber(find(""gp"",lower(K47))),value(left(K47,find(""gp"",lower(K47))-1)),if(isnumber(find(""cp"",lower(K47))),value(left(K47,find(""cp"",lower(K47))-1))*0.01,K47))))*if(C47="""",1,C47)))"),0.0)</f>
        <v>0</v>
      </c>
      <c r="AT47" s="390">
        <f t="shared" si="4"/>
        <v>0</v>
      </c>
      <c r="AU47" s="389">
        <f>IFERROR(__xludf.DUMMYFUNCTION("if(OR(and(Q47="""",R47="""",Y47="""",AA47=""""),Y47=""-""),"""",if(iferror(regexextract(text(Y47,""#.##""),""[0-9]+""),"""")="""",0,if(isnumber(find(""pp"",lower(Y47))),value(left(Y47,find(""pp"",lower(Y47))-1))*10,if(isnumber(find(""sp"",lower(Y47))),val"&amp;"ue(left(Y47,find(""sp"",lower(Y47))-1))*0.1,if(isnumber(find(""gp"",lower(Y47))),value(left(Y47,find(""gp"",lower(Y47))-1)),if(isnumber(find(""cp"",lower(Y47))),value(left(Y47,find(""cp"",lower(Y47))-1))*0.01,Y47))))*if(Q47="""",1,Q47)))"),0.0)</f>
        <v>0</v>
      </c>
      <c r="AV47" s="390">
        <f t="shared" si="5"/>
        <v>0</v>
      </c>
      <c r="AW47" s="389">
        <f>IFERROR(__xludf.DUMMYFUNCTION("if(OR(and(AE47="""",AF47="""",AM47="""",AO47=""""),AM47=""-""),"""",if(iferror(regexextract(text(AM47,""#.##""),""[0-9]+""),"""")="""",0,if(isnumber(find(""pp"",lower(AM47))),value(left(AM47,find(""pp"",lower(AM47))-1))*10,if(isnumber(find(""sp"",lower(AM"&amp;"47))),value(left(AM47,find(""sp"",lower(AM47))-1))*0.1,if(isnumber(find(""gp"",lower(AM47))),value(left(AM47,find(""gp"",lower(AM47))-1)),if(isnumber(find(""cp"",lower(AM47))),value(left(AM47,find(""cp"",lower(AM47))-1))*0.01,AM47))))*if(AE47="""",1,AE47)"&amp;"))"),0.0)</f>
        <v>0</v>
      </c>
      <c r="AX47" s="391">
        <f t="shared" si="6"/>
        <v>0</v>
      </c>
      <c r="AY47" s="358"/>
      <c r="AZ47" s="358"/>
      <c r="BA47" s="358"/>
      <c r="BB47" s="358"/>
    </row>
    <row r="48" ht="15.75" customHeight="1">
      <c r="C48" s="388"/>
      <c r="D48" s="383"/>
      <c r="E48" s="74"/>
      <c r="F48" s="74"/>
      <c r="G48" s="74"/>
      <c r="H48" s="74"/>
      <c r="I48" s="74"/>
      <c r="J48" s="74"/>
      <c r="K48" s="384"/>
      <c r="L48" s="74"/>
      <c r="M48" s="394">
        <v>0.0</v>
      </c>
      <c r="N48" s="74"/>
      <c r="O48" s="392"/>
      <c r="P48" s="387"/>
      <c r="Q48" s="388"/>
      <c r="R48" s="397"/>
      <c r="S48" s="74"/>
      <c r="T48" s="74"/>
      <c r="U48" s="74"/>
      <c r="V48" s="74"/>
      <c r="W48" s="74"/>
      <c r="X48" s="74"/>
      <c r="Y48" s="396"/>
      <c r="Z48" s="74"/>
      <c r="AA48" s="394">
        <v>0.0</v>
      </c>
      <c r="AB48" s="74"/>
      <c r="AC48" s="392"/>
      <c r="AD48" s="387"/>
      <c r="AE48" s="388"/>
      <c r="AF48" s="397"/>
      <c r="AG48" s="74"/>
      <c r="AH48" s="74"/>
      <c r="AI48" s="74"/>
      <c r="AJ48" s="74"/>
      <c r="AK48" s="74"/>
      <c r="AL48" s="74"/>
      <c r="AM48" s="396"/>
      <c r="AN48" s="74"/>
      <c r="AO48" s="394">
        <v>0.0</v>
      </c>
      <c r="AP48" s="74"/>
      <c r="AS48" s="389">
        <f>IFERROR(__xludf.DUMMYFUNCTION("if(OR(and(C48="""",D48="""",K48="""",M48=""""),K48=""-""),"""",if(iferror(regexextract(text(K48,""#.##""),""[0-9]+""),"""")="""",0,if(isnumber(find(""pp"",lower(K48))),value(left(K48,find(""pp"",lower(K48))-1))*10,if(isnumber(find(""sp"",lower(K48))),valu"&amp;"e(left(K48,find(""sp"",lower(K48))-1))*0.1,if(isnumber(find(""gp"",lower(K48))),value(left(K48,find(""gp"",lower(K48))-1)),if(isnumber(find(""cp"",lower(K48))),value(left(K48,find(""cp"",lower(K48))-1))*0.01,K48))))*if(C48="""",1,C48)))"),0.0)</f>
        <v>0</v>
      </c>
      <c r="AT48" s="390">
        <f t="shared" si="4"/>
        <v>0</v>
      </c>
      <c r="AU48" s="389">
        <f>IFERROR(__xludf.DUMMYFUNCTION("if(OR(and(Q48="""",R48="""",Y48="""",AA48=""""),Y48=""-""),"""",if(iferror(regexextract(text(Y48,""#.##""),""[0-9]+""),"""")="""",0,if(isnumber(find(""pp"",lower(Y48))),value(left(Y48,find(""pp"",lower(Y48))-1))*10,if(isnumber(find(""sp"",lower(Y48))),val"&amp;"ue(left(Y48,find(""sp"",lower(Y48))-1))*0.1,if(isnumber(find(""gp"",lower(Y48))),value(left(Y48,find(""gp"",lower(Y48))-1)),if(isnumber(find(""cp"",lower(Y48))),value(left(Y48,find(""cp"",lower(Y48))-1))*0.01,Y48))))*if(Q48="""",1,Q48)))"),0.0)</f>
        <v>0</v>
      </c>
      <c r="AV48" s="390">
        <f t="shared" si="5"/>
        <v>0</v>
      </c>
      <c r="AW48" s="389">
        <f>IFERROR(__xludf.DUMMYFUNCTION("if(OR(and(AE48="""",AF48="""",AM48="""",AO48=""""),AM48=""-""),"""",if(iferror(regexextract(text(AM48,""#.##""),""[0-9]+""),"""")="""",0,if(isnumber(find(""pp"",lower(AM48))),value(left(AM48,find(""pp"",lower(AM48))-1))*10,if(isnumber(find(""sp"",lower(AM"&amp;"48))),value(left(AM48,find(""sp"",lower(AM48))-1))*0.1,if(isnumber(find(""gp"",lower(AM48))),value(left(AM48,find(""gp"",lower(AM48))-1)),if(isnumber(find(""cp"",lower(AM48))),value(left(AM48,find(""cp"",lower(AM48))-1))*0.01,AM48))))*if(AE48="""",1,AE48)"&amp;"))"),0.0)</f>
        <v>0</v>
      </c>
      <c r="AX48" s="391">
        <f t="shared" si="6"/>
        <v>0</v>
      </c>
      <c r="AY48" s="358"/>
      <c r="AZ48" s="358"/>
      <c r="BA48" s="358"/>
      <c r="BB48" s="358"/>
    </row>
    <row r="49" ht="15.75" customHeight="1">
      <c r="C49" s="388"/>
      <c r="D49" s="383"/>
      <c r="E49" s="74"/>
      <c r="F49" s="74"/>
      <c r="G49" s="74"/>
      <c r="H49" s="74"/>
      <c r="I49" s="74"/>
      <c r="J49" s="74"/>
      <c r="K49" s="396"/>
      <c r="L49" s="74"/>
      <c r="M49" s="385">
        <v>0.0</v>
      </c>
      <c r="N49" s="74"/>
      <c r="O49" s="392"/>
      <c r="P49" s="387"/>
      <c r="Q49" s="388"/>
      <c r="R49" s="397"/>
      <c r="S49" s="74"/>
      <c r="T49" s="74"/>
      <c r="U49" s="74"/>
      <c r="V49" s="74"/>
      <c r="W49" s="74"/>
      <c r="X49" s="74"/>
      <c r="Y49" s="396"/>
      <c r="Z49" s="74"/>
      <c r="AA49" s="394">
        <v>0.0</v>
      </c>
      <c r="AB49" s="74"/>
      <c r="AC49" s="392"/>
      <c r="AD49" s="387"/>
      <c r="AE49" s="388"/>
      <c r="AF49" s="397"/>
      <c r="AG49" s="74"/>
      <c r="AH49" s="74"/>
      <c r="AI49" s="74"/>
      <c r="AJ49" s="74"/>
      <c r="AK49" s="74"/>
      <c r="AL49" s="74"/>
      <c r="AM49" s="384"/>
      <c r="AN49" s="74"/>
      <c r="AO49" s="385">
        <v>0.0</v>
      </c>
      <c r="AP49" s="74"/>
      <c r="AS49" s="389">
        <f>IFERROR(__xludf.DUMMYFUNCTION("if(OR(and(C49="""",D49="""",K49="""",M49=""""),K49=""-""),"""",if(iferror(regexextract(text(K49,""#.##""),""[0-9]+""),"""")="""",0,if(isnumber(find(""pp"",lower(K49))),value(left(K49,find(""pp"",lower(K49))-1))*10,if(isnumber(find(""sp"",lower(K49))),valu"&amp;"e(left(K49,find(""sp"",lower(K49))-1))*0.1,if(isnumber(find(""gp"",lower(K49))),value(left(K49,find(""gp"",lower(K49))-1)),if(isnumber(find(""cp"",lower(K49))),value(left(K49,find(""cp"",lower(K49))-1))*0.01,K49))))*if(C49="""",1,C49)))"),0.0)</f>
        <v>0</v>
      </c>
      <c r="AT49" s="390">
        <f t="shared" si="4"/>
        <v>0</v>
      </c>
      <c r="AU49" s="389">
        <f>IFERROR(__xludf.DUMMYFUNCTION("if(OR(and(Q49="""",R49="""",Y49="""",AA49=""""),Y49=""-""),"""",if(iferror(regexextract(text(Y49,""#.##""),""[0-9]+""),"""")="""",0,if(isnumber(find(""pp"",lower(Y49))),value(left(Y49,find(""pp"",lower(Y49))-1))*10,if(isnumber(find(""sp"",lower(Y49))),val"&amp;"ue(left(Y49,find(""sp"",lower(Y49))-1))*0.1,if(isnumber(find(""gp"",lower(Y49))),value(left(Y49,find(""gp"",lower(Y49))-1)),if(isnumber(find(""cp"",lower(Y49))),value(left(Y49,find(""cp"",lower(Y49))-1))*0.01,Y49))))*if(Q49="""",1,Q49)))"),0.0)</f>
        <v>0</v>
      </c>
      <c r="AV49" s="390">
        <f t="shared" si="5"/>
        <v>0</v>
      </c>
      <c r="AW49" s="389">
        <f>IFERROR(__xludf.DUMMYFUNCTION("if(OR(and(AE49="""",AF49="""",AM49="""",AO49=""""),AM49=""-""),"""",if(iferror(regexextract(text(AM49,""#.##""),""[0-9]+""),"""")="""",0,if(isnumber(find(""pp"",lower(AM49))),value(left(AM49,find(""pp"",lower(AM49))-1))*10,if(isnumber(find(""sp"",lower(AM"&amp;"49))),value(left(AM49,find(""sp"",lower(AM49))-1))*0.1,if(isnumber(find(""gp"",lower(AM49))),value(left(AM49,find(""gp"",lower(AM49))-1)),if(isnumber(find(""cp"",lower(AM49))),value(left(AM49,find(""cp"",lower(AM49))-1))*0.01,AM49))))*if(AE49="""",1,AE49)"&amp;"))"),0.0)</f>
        <v>0</v>
      </c>
      <c r="AX49" s="390">
        <f t="shared" si="6"/>
        <v>0</v>
      </c>
      <c r="AY49" s="358"/>
      <c r="AZ49" s="358"/>
      <c r="BA49" s="358"/>
      <c r="BB49" s="358"/>
    </row>
    <row r="50" ht="15.75" customHeight="1">
      <c r="C50" s="388"/>
      <c r="D50" s="383"/>
      <c r="E50" s="74"/>
      <c r="F50" s="74"/>
      <c r="G50" s="74"/>
      <c r="H50" s="74"/>
      <c r="I50" s="74"/>
      <c r="J50" s="74"/>
      <c r="K50" s="384"/>
      <c r="L50" s="74"/>
      <c r="M50" s="394">
        <v>0.0</v>
      </c>
      <c r="N50" s="74"/>
      <c r="O50" s="392"/>
      <c r="P50" s="387"/>
      <c r="Q50" s="388"/>
      <c r="R50" s="397"/>
      <c r="S50" s="74"/>
      <c r="T50" s="74"/>
      <c r="U50" s="74"/>
      <c r="V50" s="74"/>
      <c r="W50" s="74"/>
      <c r="X50" s="74"/>
      <c r="Y50" s="396"/>
      <c r="Z50" s="74"/>
      <c r="AA50" s="394">
        <v>0.0</v>
      </c>
      <c r="AB50" s="74"/>
      <c r="AC50" s="392"/>
      <c r="AD50" s="387"/>
      <c r="AE50" s="388"/>
      <c r="AF50" s="397"/>
      <c r="AG50" s="74"/>
      <c r="AH50" s="74"/>
      <c r="AI50" s="74"/>
      <c r="AJ50" s="74"/>
      <c r="AK50" s="74"/>
      <c r="AL50" s="74"/>
      <c r="AM50" s="396"/>
      <c r="AN50" s="74"/>
      <c r="AO50" s="394">
        <v>0.0</v>
      </c>
      <c r="AP50" s="74"/>
      <c r="AS50" s="389">
        <f>IFERROR(__xludf.DUMMYFUNCTION("if(OR(and(C50="""",D50="""",K50="""",M50=""""),K50=""-""),"""",if(iferror(regexextract(text(K50,""#.##""),""[0-9]+""),"""")="""",0,if(isnumber(find(""pp"",lower(K50))),value(left(K50,find(""pp"",lower(K50))-1))*10,if(isnumber(find(""sp"",lower(K50))),valu"&amp;"e(left(K50,find(""sp"",lower(K50))-1))*0.1,if(isnumber(find(""gp"",lower(K50))),value(left(K50,find(""gp"",lower(K50))-1)),if(isnumber(find(""cp"",lower(K50))),value(left(K50,find(""cp"",lower(K50))-1))*0.01,K50))))*if(C50="""",1,C50)))"),0.0)</f>
        <v>0</v>
      </c>
      <c r="AT50" s="390">
        <f t="shared" si="4"/>
        <v>0</v>
      </c>
      <c r="AU50" s="389">
        <f>IFERROR(__xludf.DUMMYFUNCTION("if(OR(and(Q50="""",R50="""",Y50="""",AA50=""""),Y50=""-""),"""",if(iferror(regexextract(text(Y50,""#.##""),""[0-9]+""),"""")="""",0,if(isnumber(find(""pp"",lower(Y50))),value(left(Y50,find(""pp"",lower(Y50))-1))*10,if(isnumber(find(""sp"",lower(Y50))),val"&amp;"ue(left(Y50,find(""sp"",lower(Y50))-1))*0.1,if(isnumber(find(""gp"",lower(Y50))),value(left(Y50,find(""gp"",lower(Y50))-1)),if(isnumber(find(""cp"",lower(Y50))),value(left(Y50,find(""cp"",lower(Y50))-1))*0.01,Y50))))*if(Q50="""",1,Q50)))"),0.0)</f>
        <v>0</v>
      </c>
      <c r="AV50" s="390">
        <f t="shared" si="5"/>
        <v>0</v>
      </c>
      <c r="AW50" s="389">
        <f>IFERROR(__xludf.DUMMYFUNCTION("if(OR(and(AE50="""",AF50="""",AM50="""",AO50=""""),AM50=""-""),"""",if(iferror(regexextract(text(AM50,""#.##""),""[0-9]+""),"""")="""",0,if(isnumber(find(""pp"",lower(AM50))),value(left(AM50,find(""pp"",lower(AM50))-1))*10,if(isnumber(find(""sp"",lower(AM"&amp;"50))),value(left(AM50,find(""sp"",lower(AM50))-1))*0.1,if(isnumber(find(""gp"",lower(AM50))),value(left(AM50,find(""gp"",lower(AM50))-1)),if(isnumber(find(""cp"",lower(AM50))),value(left(AM50,find(""cp"",lower(AM50))-1))*0.01,AM50))))*if(AE50="""",1,AE50)"&amp;"))"),0.0)</f>
        <v>0</v>
      </c>
      <c r="AX50" s="391">
        <f t="shared" si="6"/>
        <v>0</v>
      </c>
      <c r="AY50" s="358"/>
      <c r="AZ50" s="358"/>
      <c r="BA50" s="358"/>
      <c r="BB50" s="358"/>
    </row>
    <row r="51" ht="15.75" customHeight="1">
      <c r="C51" s="388"/>
      <c r="D51" s="383"/>
      <c r="E51" s="74"/>
      <c r="F51" s="74"/>
      <c r="G51" s="74"/>
      <c r="H51" s="74"/>
      <c r="I51" s="74"/>
      <c r="J51" s="74"/>
      <c r="K51" s="396"/>
      <c r="L51" s="74"/>
      <c r="M51" s="385">
        <v>0.0</v>
      </c>
      <c r="N51" s="74"/>
      <c r="O51" s="392"/>
      <c r="P51" s="387"/>
      <c r="Q51" s="388"/>
      <c r="R51" s="397"/>
      <c r="S51" s="74"/>
      <c r="T51" s="74"/>
      <c r="U51" s="74"/>
      <c r="V51" s="74"/>
      <c r="W51" s="74"/>
      <c r="X51" s="74"/>
      <c r="Y51" s="384"/>
      <c r="Z51" s="74"/>
      <c r="AA51" s="394">
        <v>0.0</v>
      </c>
      <c r="AB51" s="74"/>
      <c r="AC51" s="392"/>
      <c r="AD51" s="387"/>
      <c r="AE51" s="388"/>
      <c r="AF51" s="397"/>
      <c r="AG51" s="74"/>
      <c r="AH51" s="74"/>
      <c r="AI51" s="74"/>
      <c r="AJ51" s="74"/>
      <c r="AK51" s="74"/>
      <c r="AL51" s="74"/>
      <c r="AM51" s="384"/>
      <c r="AN51" s="74"/>
      <c r="AO51" s="385">
        <v>0.0</v>
      </c>
      <c r="AP51" s="74"/>
      <c r="AS51" s="399">
        <f>IFERROR(__xludf.DUMMYFUNCTION("if(OR(and(C51="""",D51="""",K51="""",M51=""""),K51=""-""),"""",if(iferror(regexextract(text(K51,""#.##""),""[0-9]+""),"""")="""",0,if(isnumber(find(""pp"",lower(K51))),value(left(K51,find(""pp"",lower(K51))-1))*10,if(isnumber(find(""sp"",lower(K51))),valu"&amp;"e(left(K51,find(""sp"",lower(K51))-1))*0.1,if(isnumber(find(""gp"",lower(K51))),value(left(K51,find(""gp"",lower(K51))-1)),if(isnumber(find(""cp"",lower(K51))),value(left(K51,find(""cp"",lower(K51))-1))*0.01,K51))))*if(C51="""",1,C51)))"),0.0)</f>
        <v>0</v>
      </c>
      <c r="AT51" s="400">
        <f t="shared" si="4"/>
        <v>0</v>
      </c>
      <c r="AU51" s="399">
        <f>IFERROR(__xludf.DUMMYFUNCTION("if(OR(and(Q51="""",R51="""",Y51="""",AA51=""""),Y51=""-""),"""",if(iferror(regexextract(text(Y51,""#.##""),""[0-9]+""),"""")="""",0,if(isnumber(find(""pp"",lower(Y51))),value(left(Y51,find(""pp"",lower(Y51))-1))*10,if(isnumber(find(""sp"",lower(Y51))),val"&amp;"ue(left(Y51,find(""sp"",lower(Y51))-1))*0.1,if(isnumber(find(""gp"",lower(Y51))),value(left(Y51,find(""gp"",lower(Y51))-1)),if(isnumber(find(""cp"",lower(Y51))),value(left(Y51,find(""cp"",lower(Y51))-1))*0.01,Y51))))*if(Q51="""",1,Q51)))"),0.0)</f>
        <v>0</v>
      </c>
      <c r="AV51" s="400">
        <f t="shared" si="5"/>
        <v>0</v>
      </c>
      <c r="AW51" s="399">
        <f>IFERROR(__xludf.DUMMYFUNCTION("if(OR(and(AE51="""",AF51="""",AM51="""",AO51=""""),AM51=""-""),"""",if(iferror(regexextract(text(AM51,""#.##""),""[0-9]+""),"""")="""",0,if(isnumber(find(""pp"",lower(AM51))),value(left(AM51,find(""pp"",lower(AM51))-1))*10,if(isnumber(find(""sp"",lower(AM"&amp;"51))),value(left(AM51,find(""sp"",lower(AM51))-1))*0.1,if(isnumber(find(""gp"",lower(AM51))),value(left(AM51,find(""gp"",lower(AM51))-1)),if(isnumber(find(""cp"",lower(AM51))),value(left(AM51,find(""cp"",lower(AM51))-1))*0.01,AM51))))*if(AE51="""",1,AE51)"&amp;"))"),0.0)</f>
        <v>0</v>
      </c>
      <c r="AX51" s="400">
        <f t="shared" si="6"/>
        <v>0</v>
      </c>
      <c r="AY51" s="358"/>
      <c r="AZ51" s="358"/>
      <c r="BA51" s="358"/>
      <c r="BB51" s="358"/>
    </row>
    <row r="52" ht="15.75" customHeight="1">
      <c r="C52" s="415" t="s">
        <v>307</v>
      </c>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S52" s="358"/>
      <c r="AT52" s="405"/>
      <c r="AU52" s="359"/>
      <c r="AV52" s="405"/>
      <c r="AW52" s="358"/>
      <c r="AX52" s="358"/>
      <c r="AY52" s="358"/>
      <c r="AZ52" s="358"/>
      <c r="BA52" s="358"/>
      <c r="BB52" s="358"/>
    </row>
    <row r="53" ht="15.75" customHeight="1">
      <c r="C53" s="12"/>
      <c r="D53" s="357"/>
      <c r="E53" s="357"/>
      <c r="F53" s="357"/>
      <c r="G53" s="357"/>
      <c r="I53" s="357"/>
      <c r="J53" s="357"/>
      <c r="K53" s="357"/>
      <c r="L53" s="357"/>
      <c r="M53" s="357"/>
      <c r="N53" s="357"/>
      <c r="O53" s="12" t="str">
        <f>image("https://i.imgur.com/vesvvn5.png",2)</f>
        <v/>
      </c>
      <c r="P53" s="357"/>
      <c r="Q53" s="357"/>
      <c r="R53" s="357"/>
      <c r="S53" s="357"/>
      <c r="T53" s="357"/>
      <c r="U53" s="357"/>
      <c r="V53" s="357"/>
      <c r="W53" s="357"/>
      <c r="X53" s="357"/>
      <c r="Y53" s="357"/>
      <c r="Z53" s="357"/>
      <c r="AA53" s="357"/>
      <c r="AB53" s="357"/>
      <c r="AC53" s="357"/>
      <c r="AD53" s="356" t="str">
        <f>image("https://i.imgur.com/3iztAPl.png",2)</f>
        <v/>
      </c>
      <c r="AE53" s="357"/>
      <c r="AF53" s="357"/>
      <c r="AG53" s="357"/>
      <c r="AH53" s="357"/>
      <c r="AI53" s="357"/>
      <c r="AJ53" s="357"/>
      <c r="AK53" s="357"/>
      <c r="AL53" s="357"/>
      <c r="AM53" s="357"/>
      <c r="AN53" s="357"/>
      <c r="AO53" s="357"/>
      <c r="AP53" s="357"/>
      <c r="AS53" s="358"/>
      <c r="AT53" s="405"/>
      <c r="AU53" s="359"/>
      <c r="AV53" s="405"/>
      <c r="AW53" s="358"/>
      <c r="AX53" s="358"/>
      <c r="AY53" s="358"/>
      <c r="AZ53" s="358"/>
      <c r="BA53" s="358"/>
      <c r="BB53" s="358"/>
    </row>
    <row r="54" ht="15.75" customHeight="1">
      <c r="B54" s="12" t="str">
        <f>image("https://i.imgur.com/dFmmAEm.png",2)</f>
        <v/>
      </c>
      <c r="C54" s="12"/>
      <c r="D54" s="357"/>
      <c r="E54" s="357"/>
      <c r="F54" s="357"/>
      <c r="G54" s="357"/>
      <c r="I54" s="357"/>
      <c r="J54" s="357"/>
      <c r="K54" s="357"/>
      <c r="L54" s="357"/>
      <c r="M54" s="357"/>
      <c r="N54" s="357"/>
      <c r="P54" s="416">
        <f>sum(C57:F77,Q57:T77,AE57:AH77)</f>
        <v>0</v>
      </c>
      <c r="Q54" s="25"/>
      <c r="R54" s="25"/>
      <c r="S54" s="25"/>
      <c r="T54" s="25"/>
      <c r="U54" s="25"/>
      <c r="V54" s="25"/>
      <c r="W54" s="25"/>
      <c r="X54" s="25"/>
      <c r="Y54" s="25"/>
      <c r="Z54" s="25"/>
      <c r="AA54" s="25"/>
      <c r="AB54" s="25"/>
      <c r="AC54" s="25"/>
      <c r="AE54" s="357"/>
      <c r="AF54" s="357"/>
      <c r="AG54" s="357"/>
      <c r="AH54" s="357"/>
      <c r="AI54" s="357"/>
      <c r="AJ54" s="357"/>
      <c r="AK54" s="357"/>
      <c r="AL54" s="357"/>
      <c r="AM54" s="357"/>
      <c r="AN54" s="357"/>
      <c r="AO54" s="357"/>
      <c r="AP54" s="357"/>
      <c r="AQ54" s="4" t="str">
        <f>image("https://i.imgur.com/M2OcRIZ.png",2)</f>
        <v/>
      </c>
      <c r="AS54" s="358"/>
      <c r="AT54" s="405"/>
      <c r="AU54" s="359"/>
      <c r="AV54" s="405"/>
      <c r="AW54" s="358"/>
      <c r="AX54" s="358"/>
      <c r="AY54" s="358"/>
      <c r="AZ54" s="358"/>
      <c r="BA54" s="358"/>
      <c r="BB54" s="358"/>
    </row>
    <row r="55" ht="15.75" customHeight="1">
      <c r="C55" s="367"/>
      <c r="D55" s="367"/>
      <c r="E55" s="367"/>
      <c r="F55" s="367"/>
      <c r="G55" s="367"/>
      <c r="H55" s="367"/>
      <c r="I55" s="367"/>
      <c r="J55" s="367"/>
      <c r="K55" s="367"/>
      <c r="L55" s="367"/>
      <c r="M55" s="367"/>
      <c r="N55" s="367"/>
      <c r="P55" s="31"/>
      <c r="Q55" s="31"/>
      <c r="R55" s="31"/>
      <c r="S55" s="31"/>
      <c r="T55" s="31"/>
      <c r="U55" s="31"/>
      <c r="V55" s="31"/>
      <c r="W55" s="31"/>
      <c r="X55" s="31"/>
      <c r="Y55" s="31"/>
      <c r="Z55" s="31"/>
      <c r="AA55" s="31"/>
      <c r="AB55" s="31"/>
      <c r="AC55" s="31"/>
      <c r="AE55" s="417" t="s">
        <v>308</v>
      </c>
      <c r="AF55" s="367"/>
      <c r="AG55" s="367"/>
      <c r="AH55" s="367"/>
      <c r="AI55" s="367"/>
      <c r="AJ55" s="367"/>
      <c r="AK55" s="367"/>
      <c r="AL55" s="367"/>
      <c r="AM55" s="367"/>
      <c r="AN55" s="367"/>
      <c r="AO55" s="367"/>
      <c r="AP55" s="367"/>
      <c r="AS55" s="358"/>
      <c r="AT55" s="405"/>
      <c r="AU55" s="359"/>
      <c r="AV55" s="405"/>
      <c r="AW55" s="358"/>
      <c r="AX55" s="358"/>
      <c r="AY55" s="358"/>
      <c r="AZ55" s="358"/>
      <c r="BA55" s="358"/>
      <c r="BB55" s="358"/>
    </row>
    <row r="56" ht="15.75" customHeight="1">
      <c r="C56" s="418" t="s">
        <v>309</v>
      </c>
      <c r="G56" s="419" t="s">
        <v>310</v>
      </c>
      <c r="O56" s="171"/>
      <c r="Q56" s="418" t="s">
        <v>309</v>
      </c>
      <c r="U56" s="419" t="s">
        <v>310</v>
      </c>
      <c r="AD56" s="171"/>
      <c r="AE56" s="418" t="s">
        <v>309</v>
      </c>
      <c r="AI56" s="419" t="s">
        <v>310</v>
      </c>
      <c r="AS56" s="358"/>
      <c r="AT56" s="405"/>
      <c r="AU56" s="359"/>
      <c r="AV56" s="405"/>
      <c r="AW56" s="358"/>
      <c r="AX56" s="358"/>
      <c r="AY56" s="358"/>
      <c r="AZ56" s="358"/>
      <c r="BA56" s="358"/>
      <c r="BB56" s="358"/>
    </row>
    <row r="57" ht="15.75" customHeight="1">
      <c r="C57" s="420"/>
      <c r="D57" s="74"/>
      <c r="E57" s="74"/>
      <c r="F57" s="74"/>
      <c r="G57" s="421"/>
      <c r="H57" s="74"/>
      <c r="I57" s="74"/>
      <c r="J57" s="74"/>
      <c r="K57" s="74"/>
      <c r="L57" s="74"/>
      <c r="M57" s="74"/>
      <c r="N57" s="74"/>
      <c r="O57" s="422"/>
      <c r="P57" s="423"/>
      <c r="Q57" s="420"/>
      <c r="R57" s="74"/>
      <c r="S57" s="74"/>
      <c r="T57" s="74"/>
      <c r="U57" s="424"/>
      <c r="V57" s="74"/>
      <c r="W57" s="74"/>
      <c r="X57" s="74"/>
      <c r="Y57" s="74"/>
      <c r="Z57" s="74"/>
      <c r="AA57" s="74"/>
      <c r="AB57" s="74"/>
      <c r="AC57" s="422"/>
      <c r="AD57" s="423"/>
      <c r="AE57" s="420"/>
      <c r="AF57" s="74"/>
      <c r="AG57" s="74"/>
      <c r="AH57" s="74"/>
      <c r="AI57" s="424"/>
      <c r="AJ57" s="74"/>
      <c r="AK57" s="74"/>
      <c r="AL57" s="74"/>
      <c r="AM57" s="74"/>
      <c r="AN57" s="74"/>
      <c r="AO57" s="74"/>
      <c r="AP57" s="74"/>
      <c r="AS57" s="358"/>
      <c r="AT57" s="405"/>
      <c r="AU57" s="359"/>
      <c r="AV57" s="405"/>
      <c r="AW57" s="358"/>
      <c r="AX57" s="358"/>
      <c r="AY57" s="358"/>
      <c r="AZ57" s="358"/>
      <c r="BA57" s="358"/>
      <c r="BB57" s="358"/>
    </row>
    <row r="58" ht="15.75" customHeight="1">
      <c r="C58" s="425"/>
      <c r="D58" s="74"/>
      <c r="E58" s="74"/>
      <c r="F58" s="74"/>
      <c r="G58" s="426"/>
      <c r="H58" s="74"/>
      <c r="I58" s="74"/>
      <c r="J58" s="74"/>
      <c r="K58" s="74"/>
      <c r="L58" s="74"/>
      <c r="M58" s="74"/>
      <c r="N58" s="74"/>
      <c r="O58" s="392"/>
      <c r="P58" s="427"/>
      <c r="Q58" s="425"/>
      <c r="R58" s="74"/>
      <c r="S58" s="74"/>
      <c r="T58" s="74"/>
      <c r="U58" s="426"/>
      <c r="V58" s="74"/>
      <c r="W58" s="74"/>
      <c r="X58" s="74"/>
      <c r="Y58" s="74"/>
      <c r="Z58" s="74"/>
      <c r="AA58" s="74"/>
      <c r="AB58" s="74"/>
      <c r="AC58" s="392"/>
      <c r="AD58" s="427"/>
      <c r="AE58" s="428"/>
      <c r="AF58" s="74"/>
      <c r="AG58" s="74"/>
      <c r="AH58" s="74"/>
      <c r="AI58" s="429"/>
      <c r="AJ58" s="74"/>
      <c r="AK58" s="74"/>
      <c r="AL58" s="74"/>
      <c r="AM58" s="74"/>
      <c r="AN58" s="74"/>
      <c r="AO58" s="74"/>
      <c r="AP58" s="74"/>
      <c r="AS58" s="358"/>
      <c r="AT58" s="405"/>
      <c r="AU58" s="359"/>
      <c r="AV58" s="405"/>
      <c r="AW58" s="358"/>
      <c r="AX58" s="358"/>
      <c r="AY58" s="358"/>
      <c r="AZ58" s="358"/>
      <c r="BA58" s="358"/>
      <c r="BB58" s="358"/>
    </row>
    <row r="59" ht="15.75" customHeight="1">
      <c r="C59" s="425"/>
      <c r="D59" s="74"/>
      <c r="E59" s="74"/>
      <c r="F59" s="74"/>
      <c r="G59" s="426"/>
      <c r="H59" s="74"/>
      <c r="I59" s="74"/>
      <c r="J59" s="74"/>
      <c r="K59" s="74"/>
      <c r="L59" s="74"/>
      <c r="M59" s="74"/>
      <c r="N59" s="74"/>
      <c r="O59" s="386"/>
      <c r="P59" s="427"/>
      <c r="Q59" s="425"/>
      <c r="R59" s="74"/>
      <c r="S59" s="74"/>
      <c r="T59" s="74"/>
      <c r="U59" s="426"/>
      <c r="V59" s="74"/>
      <c r="W59" s="74"/>
      <c r="X59" s="74"/>
      <c r="Y59" s="74"/>
      <c r="Z59" s="74"/>
      <c r="AA59" s="74"/>
      <c r="AB59" s="74"/>
      <c r="AC59" s="386"/>
      <c r="AD59" s="427"/>
      <c r="AE59" s="425"/>
      <c r="AF59" s="74"/>
      <c r="AG59" s="74"/>
      <c r="AH59" s="74"/>
      <c r="AI59" s="426"/>
      <c r="AJ59" s="74"/>
      <c r="AK59" s="74"/>
      <c r="AL59" s="74"/>
      <c r="AM59" s="74"/>
      <c r="AN59" s="74"/>
      <c r="AO59" s="74"/>
      <c r="AP59" s="74"/>
      <c r="AS59" s="358"/>
      <c r="AT59" s="405"/>
      <c r="AU59" s="359"/>
      <c r="AV59" s="405"/>
      <c r="AW59" s="358"/>
      <c r="AX59" s="358"/>
      <c r="AY59" s="358"/>
      <c r="AZ59" s="358"/>
      <c r="BA59" s="358"/>
      <c r="BB59" s="358"/>
    </row>
    <row r="60" ht="15.75" customHeight="1">
      <c r="C60" s="425"/>
      <c r="D60" s="74"/>
      <c r="E60" s="74"/>
      <c r="F60" s="74"/>
      <c r="G60" s="426"/>
      <c r="H60" s="74"/>
      <c r="I60" s="74"/>
      <c r="J60" s="74"/>
      <c r="K60" s="74"/>
      <c r="L60" s="74"/>
      <c r="M60" s="74"/>
      <c r="N60" s="74"/>
      <c r="O60" s="386"/>
      <c r="P60" s="427"/>
      <c r="Q60" s="425"/>
      <c r="R60" s="74"/>
      <c r="S60" s="74"/>
      <c r="T60" s="74"/>
      <c r="U60" s="426"/>
      <c r="V60" s="74"/>
      <c r="W60" s="74"/>
      <c r="X60" s="74"/>
      <c r="Y60" s="74"/>
      <c r="Z60" s="74"/>
      <c r="AA60" s="74"/>
      <c r="AB60" s="74"/>
      <c r="AC60" s="386"/>
      <c r="AD60" s="427"/>
      <c r="AE60" s="425"/>
      <c r="AF60" s="74"/>
      <c r="AG60" s="74"/>
      <c r="AH60" s="74"/>
      <c r="AI60" s="426"/>
      <c r="AJ60" s="74"/>
      <c r="AK60" s="74"/>
      <c r="AL60" s="74"/>
      <c r="AM60" s="74"/>
      <c r="AN60" s="74"/>
      <c r="AO60" s="74"/>
      <c r="AP60" s="74"/>
      <c r="AS60" s="358"/>
      <c r="AT60" s="405"/>
      <c r="AU60" s="359"/>
      <c r="AV60" s="405"/>
      <c r="AW60" s="358"/>
      <c r="AX60" s="358"/>
      <c r="AY60" s="358"/>
      <c r="AZ60" s="358"/>
      <c r="BA60" s="358"/>
      <c r="BB60" s="358"/>
    </row>
    <row r="61" ht="15.75" customHeight="1">
      <c r="C61" s="425"/>
      <c r="D61" s="74"/>
      <c r="E61" s="74"/>
      <c r="F61" s="74"/>
      <c r="G61" s="426"/>
      <c r="H61" s="74"/>
      <c r="I61" s="74"/>
      <c r="J61" s="74"/>
      <c r="K61" s="74"/>
      <c r="L61" s="74"/>
      <c r="M61" s="74"/>
      <c r="N61" s="74"/>
      <c r="O61" s="386"/>
      <c r="P61" s="427"/>
      <c r="Q61" s="425"/>
      <c r="R61" s="74"/>
      <c r="S61" s="74"/>
      <c r="T61" s="74"/>
      <c r="U61" s="426"/>
      <c r="V61" s="74"/>
      <c r="W61" s="74"/>
      <c r="X61" s="74"/>
      <c r="Y61" s="74"/>
      <c r="Z61" s="74"/>
      <c r="AA61" s="74"/>
      <c r="AB61" s="74"/>
      <c r="AC61" s="386"/>
      <c r="AD61" s="427"/>
      <c r="AE61" s="425"/>
      <c r="AF61" s="74"/>
      <c r="AG61" s="74"/>
      <c r="AH61" s="74"/>
      <c r="AI61" s="426"/>
      <c r="AJ61" s="74"/>
      <c r="AK61" s="74"/>
      <c r="AL61" s="74"/>
      <c r="AM61" s="74"/>
      <c r="AN61" s="74"/>
      <c r="AO61" s="74"/>
      <c r="AP61" s="74"/>
      <c r="AS61" s="358"/>
      <c r="AT61" s="405"/>
      <c r="AU61" s="359"/>
      <c r="AV61" s="405"/>
      <c r="AW61" s="358"/>
      <c r="AX61" s="358"/>
      <c r="AY61" s="358"/>
      <c r="AZ61" s="358"/>
      <c r="BA61" s="358"/>
      <c r="BB61" s="358"/>
    </row>
    <row r="62" ht="15.75" customHeight="1">
      <c r="C62" s="425"/>
      <c r="D62" s="74"/>
      <c r="E62" s="74"/>
      <c r="F62" s="74"/>
      <c r="G62" s="426"/>
      <c r="H62" s="74"/>
      <c r="I62" s="74"/>
      <c r="J62" s="74"/>
      <c r="K62" s="74"/>
      <c r="L62" s="74"/>
      <c r="M62" s="74"/>
      <c r="N62" s="74"/>
      <c r="O62" s="386"/>
      <c r="P62" s="427"/>
      <c r="Q62" s="425"/>
      <c r="R62" s="74"/>
      <c r="S62" s="74"/>
      <c r="T62" s="74"/>
      <c r="U62" s="426"/>
      <c r="V62" s="74"/>
      <c r="W62" s="74"/>
      <c r="X62" s="74"/>
      <c r="Y62" s="74"/>
      <c r="Z62" s="74"/>
      <c r="AA62" s="74"/>
      <c r="AB62" s="74"/>
      <c r="AC62" s="392"/>
      <c r="AD62" s="427"/>
      <c r="AE62" s="425"/>
      <c r="AF62" s="74"/>
      <c r="AG62" s="74"/>
      <c r="AH62" s="74"/>
      <c r="AI62" s="426"/>
      <c r="AJ62" s="74"/>
      <c r="AK62" s="74"/>
      <c r="AL62" s="74"/>
      <c r="AM62" s="74"/>
      <c r="AN62" s="74"/>
      <c r="AO62" s="74"/>
      <c r="AP62" s="74"/>
      <c r="AS62" s="358"/>
      <c r="AT62" s="405"/>
      <c r="AU62" s="359"/>
      <c r="AV62" s="405"/>
      <c r="AW62" s="358"/>
      <c r="AX62" s="358"/>
      <c r="AY62" s="358"/>
      <c r="AZ62" s="358"/>
      <c r="BA62" s="358"/>
      <c r="BB62" s="358"/>
    </row>
    <row r="63" ht="15.75" customHeight="1">
      <c r="C63" s="425"/>
      <c r="D63" s="74"/>
      <c r="E63" s="74"/>
      <c r="F63" s="74"/>
      <c r="G63" s="426"/>
      <c r="H63" s="74"/>
      <c r="I63" s="74"/>
      <c r="J63" s="74"/>
      <c r="K63" s="74"/>
      <c r="L63" s="74"/>
      <c r="M63" s="74"/>
      <c r="N63" s="74"/>
      <c r="O63" s="386"/>
      <c r="P63" s="427"/>
      <c r="Q63" s="428"/>
      <c r="R63" s="74"/>
      <c r="S63" s="74"/>
      <c r="T63" s="74"/>
      <c r="U63" s="429"/>
      <c r="V63" s="74"/>
      <c r="W63" s="74"/>
      <c r="X63" s="74"/>
      <c r="Y63" s="74"/>
      <c r="Z63" s="74"/>
      <c r="AA63" s="74"/>
      <c r="AB63" s="74"/>
      <c r="AC63" s="392"/>
      <c r="AD63" s="427"/>
      <c r="AE63" s="428"/>
      <c r="AF63" s="74"/>
      <c r="AG63" s="74"/>
      <c r="AH63" s="74"/>
      <c r="AI63" s="429"/>
      <c r="AJ63" s="74"/>
      <c r="AK63" s="74"/>
      <c r="AL63" s="74"/>
      <c r="AM63" s="74"/>
      <c r="AN63" s="74"/>
      <c r="AO63" s="74"/>
      <c r="AP63" s="74"/>
      <c r="AS63" s="358"/>
      <c r="AT63" s="405"/>
      <c r="AU63" s="359"/>
      <c r="AV63" s="405"/>
      <c r="AW63" s="358"/>
      <c r="AX63" s="358"/>
      <c r="AY63" s="358"/>
      <c r="AZ63" s="358"/>
      <c r="BA63" s="358"/>
      <c r="BB63" s="358"/>
    </row>
    <row r="64" ht="15.75" customHeight="1">
      <c r="C64" s="425"/>
      <c r="D64" s="74"/>
      <c r="E64" s="74"/>
      <c r="F64" s="74"/>
      <c r="G64" s="426"/>
      <c r="H64" s="74"/>
      <c r="I64" s="74"/>
      <c r="J64" s="74"/>
      <c r="K64" s="74"/>
      <c r="L64" s="74"/>
      <c r="M64" s="74"/>
      <c r="N64" s="74"/>
      <c r="O64" s="386"/>
      <c r="P64" s="427"/>
      <c r="Q64" s="425"/>
      <c r="R64" s="74"/>
      <c r="S64" s="74"/>
      <c r="T64" s="74"/>
      <c r="U64" s="426"/>
      <c r="V64" s="74"/>
      <c r="W64" s="74"/>
      <c r="X64" s="74"/>
      <c r="Y64" s="74"/>
      <c r="Z64" s="74"/>
      <c r="AA64" s="74"/>
      <c r="AB64" s="74"/>
      <c r="AC64" s="392"/>
      <c r="AD64" s="427"/>
      <c r="AE64" s="425"/>
      <c r="AF64" s="74"/>
      <c r="AG64" s="74"/>
      <c r="AH64" s="74"/>
      <c r="AI64" s="426"/>
      <c r="AJ64" s="74"/>
      <c r="AK64" s="74"/>
      <c r="AL64" s="74"/>
      <c r="AM64" s="74"/>
      <c r="AN64" s="74"/>
      <c r="AO64" s="74"/>
      <c r="AP64" s="74"/>
      <c r="AS64" s="358"/>
      <c r="AT64" s="405"/>
      <c r="AU64" s="359"/>
      <c r="AV64" s="405"/>
      <c r="AW64" s="358"/>
      <c r="AX64" s="358"/>
      <c r="AY64" s="358"/>
      <c r="AZ64" s="358"/>
      <c r="BA64" s="358"/>
      <c r="BB64" s="358"/>
    </row>
    <row r="65" ht="15.75" customHeight="1">
      <c r="C65" s="425"/>
      <c r="D65" s="74"/>
      <c r="E65" s="74"/>
      <c r="F65" s="74"/>
      <c r="G65" s="426"/>
      <c r="H65" s="74"/>
      <c r="I65" s="74"/>
      <c r="J65" s="74"/>
      <c r="K65" s="74"/>
      <c r="L65" s="74"/>
      <c r="M65" s="74"/>
      <c r="N65" s="74"/>
      <c r="O65" s="386"/>
      <c r="P65" s="427"/>
      <c r="Q65" s="428"/>
      <c r="R65" s="74"/>
      <c r="S65" s="74"/>
      <c r="T65" s="74"/>
      <c r="U65" s="429"/>
      <c r="V65" s="74"/>
      <c r="W65" s="74"/>
      <c r="X65" s="74"/>
      <c r="Y65" s="74"/>
      <c r="Z65" s="74"/>
      <c r="AA65" s="74"/>
      <c r="AB65" s="74"/>
      <c r="AC65" s="392"/>
      <c r="AD65" s="427"/>
      <c r="AE65" s="428"/>
      <c r="AF65" s="74"/>
      <c r="AG65" s="74"/>
      <c r="AH65" s="74"/>
      <c r="AI65" s="429"/>
      <c r="AJ65" s="74"/>
      <c r="AK65" s="74"/>
      <c r="AL65" s="74"/>
      <c r="AM65" s="74"/>
      <c r="AN65" s="74"/>
      <c r="AO65" s="74"/>
      <c r="AP65" s="74"/>
      <c r="AS65" s="358"/>
      <c r="AT65" s="405"/>
      <c r="AU65" s="359"/>
      <c r="AV65" s="405"/>
      <c r="AW65" s="358"/>
      <c r="AX65" s="358"/>
      <c r="AY65" s="358"/>
      <c r="AZ65" s="358"/>
      <c r="BA65" s="358"/>
      <c r="BB65" s="358"/>
    </row>
    <row r="66" ht="15.75" customHeight="1">
      <c r="C66" s="425"/>
      <c r="D66" s="74"/>
      <c r="E66" s="74"/>
      <c r="F66" s="74"/>
      <c r="G66" s="426"/>
      <c r="H66" s="74"/>
      <c r="I66" s="74"/>
      <c r="J66" s="74"/>
      <c r="K66" s="74"/>
      <c r="L66" s="74"/>
      <c r="M66" s="74"/>
      <c r="N66" s="74"/>
      <c r="O66" s="386"/>
      <c r="P66" s="427"/>
      <c r="Q66" s="428"/>
      <c r="R66" s="74"/>
      <c r="S66" s="74"/>
      <c r="T66" s="74"/>
      <c r="U66" s="429"/>
      <c r="V66" s="74"/>
      <c r="W66" s="74"/>
      <c r="X66" s="74"/>
      <c r="Y66" s="74"/>
      <c r="Z66" s="74"/>
      <c r="AA66" s="74"/>
      <c r="AB66" s="74"/>
      <c r="AC66" s="392"/>
      <c r="AD66" s="427"/>
      <c r="AE66" s="425"/>
      <c r="AF66" s="74"/>
      <c r="AG66" s="74"/>
      <c r="AH66" s="74"/>
      <c r="AI66" s="426"/>
      <c r="AJ66" s="74"/>
      <c r="AK66" s="74"/>
      <c r="AL66" s="74"/>
      <c r="AM66" s="74"/>
      <c r="AN66" s="74"/>
      <c r="AO66" s="74"/>
      <c r="AP66" s="74"/>
      <c r="AS66" s="358"/>
      <c r="AT66" s="405"/>
      <c r="AU66" s="359"/>
      <c r="AV66" s="405"/>
      <c r="AW66" s="358"/>
      <c r="AX66" s="358"/>
      <c r="AY66" s="358"/>
      <c r="AZ66" s="358"/>
      <c r="BA66" s="358"/>
      <c r="BB66" s="358"/>
    </row>
    <row r="67" ht="15.75" customHeight="1">
      <c r="C67" s="425"/>
      <c r="D67" s="74"/>
      <c r="E67" s="74"/>
      <c r="F67" s="74"/>
      <c r="G67" s="426"/>
      <c r="H67" s="74"/>
      <c r="I67" s="74"/>
      <c r="J67" s="74"/>
      <c r="K67" s="74"/>
      <c r="L67" s="74"/>
      <c r="M67" s="74"/>
      <c r="N67" s="74"/>
      <c r="O67" s="386"/>
      <c r="P67" s="427"/>
      <c r="Q67" s="428"/>
      <c r="R67" s="74"/>
      <c r="S67" s="74"/>
      <c r="T67" s="74"/>
      <c r="U67" s="429"/>
      <c r="V67" s="74"/>
      <c r="W67" s="74"/>
      <c r="X67" s="74"/>
      <c r="Y67" s="74"/>
      <c r="Z67" s="74"/>
      <c r="AA67" s="74"/>
      <c r="AB67" s="74"/>
      <c r="AC67" s="392"/>
      <c r="AD67" s="427"/>
      <c r="AE67" s="425"/>
      <c r="AF67" s="74"/>
      <c r="AG67" s="74"/>
      <c r="AH67" s="74"/>
      <c r="AI67" s="426"/>
      <c r="AJ67" s="74"/>
      <c r="AK67" s="74"/>
      <c r="AL67" s="74"/>
      <c r="AM67" s="74"/>
      <c r="AN67" s="74"/>
      <c r="AO67" s="74"/>
      <c r="AP67" s="74"/>
      <c r="AS67" s="358"/>
      <c r="AT67" s="405"/>
      <c r="AU67" s="359"/>
      <c r="AV67" s="405"/>
      <c r="AW67" s="358"/>
      <c r="AX67" s="358"/>
      <c r="AY67" s="358"/>
      <c r="AZ67" s="358"/>
      <c r="BA67" s="358"/>
      <c r="BB67" s="358"/>
    </row>
    <row r="68" ht="15.75" customHeight="1">
      <c r="C68" s="425"/>
      <c r="D68" s="74"/>
      <c r="E68" s="74"/>
      <c r="F68" s="74"/>
      <c r="G68" s="426"/>
      <c r="H68" s="74"/>
      <c r="I68" s="74"/>
      <c r="J68" s="74"/>
      <c r="K68" s="74"/>
      <c r="L68" s="74"/>
      <c r="M68" s="74"/>
      <c r="N68" s="74"/>
      <c r="O68" s="386"/>
      <c r="P68" s="427"/>
      <c r="Q68" s="428"/>
      <c r="R68" s="74"/>
      <c r="S68" s="74"/>
      <c r="T68" s="74"/>
      <c r="U68" s="429"/>
      <c r="V68" s="74"/>
      <c r="W68" s="74"/>
      <c r="X68" s="74"/>
      <c r="Y68" s="74"/>
      <c r="Z68" s="74"/>
      <c r="AA68" s="74"/>
      <c r="AB68" s="74"/>
      <c r="AC68" s="392"/>
      <c r="AD68" s="427"/>
      <c r="AE68" s="428"/>
      <c r="AF68" s="74"/>
      <c r="AG68" s="74"/>
      <c r="AH68" s="74"/>
      <c r="AI68" s="429"/>
      <c r="AJ68" s="74"/>
      <c r="AK68" s="74"/>
      <c r="AL68" s="74"/>
      <c r="AM68" s="74"/>
      <c r="AN68" s="74"/>
      <c r="AO68" s="74"/>
      <c r="AP68" s="74"/>
      <c r="AS68" s="358"/>
      <c r="AT68" s="405"/>
      <c r="AU68" s="359"/>
      <c r="AV68" s="405"/>
      <c r="AW68" s="358"/>
      <c r="AX68" s="358"/>
      <c r="AY68" s="358"/>
      <c r="AZ68" s="358"/>
      <c r="BA68" s="358"/>
      <c r="BB68" s="358"/>
    </row>
    <row r="69" ht="15.75" customHeight="1">
      <c r="C69" s="425"/>
      <c r="D69" s="74"/>
      <c r="E69" s="74"/>
      <c r="F69" s="74"/>
      <c r="G69" s="426"/>
      <c r="H69" s="74"/>
      <c r="I69" s="74"/>
      <c r="J69" s="74"/>
      <c r="K69" s="74"/>
      <c r="L69" s="74"/>
      <c r="M69" s="74"/>
      <c r="N69" s="74"/>
      <c r="O69" s="392"/>
      <c r="P69" s="427"/>
      <c r="Q69" s="428"/>
      <c r="R69" s="74"/>
      <c r="S69" s="74"/>
      <c r="T69" s="74"/>
      <c r="U69" s="429"/>
      <c r="V69" s="74"/>
      <c r="W69" s="74"/>
      <c r="X69" s="74"/>
      <c r="Y69" s="74"/>
      <c r="Z69" s="74"/>
      <c r="AA69" s="74"/>
      <c r="AB69" s="74"/>
      <c r="AC69" s="392"/>
      <c r="AD69" s="427"/>
      <c r="AE69" s="425"/>
      <c r="AF69" s="74"/>
      <c r="AG69" s="74"/>
      <c r="AH69" s="74"/>
      <c r="AI69" s="426"/>
      <c r="AJ69" s="74"/>
      <c r="AK69" s="74"/>
      <c r="AL69" s="74"/>
      <c r="AM69" s="74"/>
      <c r="AN69" s="74"/>
      <c r="AO69" s="74"/>
      <c r="AP69" s="74"/>
      <c r="AS69" s="358"/>
      <c r="AT69" s="405"/>
      <c r="AU69" s="359"/>
      <c r="AV69" s="405"/>
      <c r="AW69" s="358"/>
      <c r="AX69" s="358"/>
      <c r="AY69" s="358"/>
      <c r="AZ69" s="358"/>
      <c r="BA69" s="358"/>
      <c r="BB69" s="358"/>
    </row>
    <row r="70" ht="15.75" customHeight="1">
      <c r="C70" s="425"/>
      <c r="D70" s="74"/>
      <c r="E70" s="74"/>
      <c r="F70" s="74"/>
      <c r="G70" s="429"/>
      <c r="H70" s="74"/>
      <c r="I70" s="74"/>
      <c r="J70" s="74"/>
      <c r="K70" s="74"/>
      <c r="L70" s="74"/>
      <c r="M70" s="74"/>
      <c r="N70" s="74"/>
      <c r="O70" s="392"/>
      <c r="P70" s="427"/>
      <c r="Q70" s="428"/>
      <c r="R70" s="74"/>
      <c r="S70" s="74"/>
      <c r="T70" s="74"/>
      <c r="U70" s="429"/>
      <c r="V70" s="74"/>
      <c r="W70" s="74"/>
      <c r="X70" s="74"/>
      <c r="Y70" s="74"/>
      <c r="Z70" s="74"/>
      <c r="AA70" s="74"/>
      <c r="AB70" s="74"/>
      <c r="AC70" s="392"/>
      <c r="AD70" s="427"/>
      <c r="AE70" s="428"/>
      <c r="AF70" s="74"/>
      <c r="AG70" s="74"/>
      <c r="AH70" s="74"/>
      <c r="AI70" s="429"/>
      <c r="AJ70" s="74"/>
      <c r="AK70" s="74"/>
      <c r="AL70" s="74"/>
      <c r="AM70" s="74"/>
      <c r="AN70" s="74"/>
      <c r="AO70" s="74"/>
      <c r="AP70" s="74"/>
      <c r="AS70" s="358"/>
      <c r="AT70" s="405"/>
      <c r="AU70" s="359"/>
      <c r="AV70" s="405"/>
      <c r="AW70" s="358"/>
      <c r="AX70" s="358"/>
      <c r="AY70" s="358"/>
      <c r="AZ70" s="358"/>
      <c r="BA70" s="358"/>
      <c r="BB70" s="358"/>
    </row>
    <row r="71" ht="15.75" customHeight="1">
      <c r="C71" s="425"/>
      <c r="D71" s="74"/>
      <c r="E71" s="74"/>
      <c r="F71" s="74"/>
      <c r="G71" s="426"/>
      <c r="H71" s="74"/>
      <c r="I71" s="74"/>
      <c r="J71" s="74"/>
      <c r="K71" s="74"/>
      <c r="L71" s="74"/>
      <c r="M71" s="74"/>
      <c r="N71" s="74"/>
      <c r="O71" s="392"/>
      <c r="P71" s="427"/>
      <c r="Q71" s="428"/>
      <c r="R71" s="74"/>
      <c r="S71" s="74"/>
      <c r="T71" s="74"/>
      <c r="U71" s="429"/>
      <c r="V71" s="74"/>
      <c r="W71" s="74"/>
      <c r="X71" s="74"/>
      <c r="Y71" s="74"/>
      <c r="Z71" s="74"/>
      <c r="AA71" s="74"/>
      <c r="AB71" s="74"/>
      <c r="AC71" s="392"/>
      <c r="AD71" s="427"/>
      <c r="AE71" s="428"/>
      <c r="AF71" s="74"/>
      <c r="AG71" s="74"/>
      <c r="AH71" s="74"/>
      <c r="AI71" s="429"/>
      <c r="AJ71" s="74"/>
      <c r="AK71" s="74"/>
      <c r="AL71" s="74"/>
      <c r="AM71" s="74"/>
      <c r="AN71" s="74"/>
      <c r="AO71" s="74"/>
      <c r="AP71" s="74"/>
      <c r="AS71" s="358"/>
      <c r="AT71" s="405"/>
      <c r="AU71" s="359"/>
      <c r="AV71" s="405"/>
      <c r="AW71" s="358"/>
      <c r="AX71" s="358"/>
      <c r="AY71" s="358"/>
      <c r="AZ71" s="358"/>
      <c r="BA71" s="358"/>
      <c r="BB71" s="358"/>
    </row>
    <row r="72" ht="15.75" customHeight="1">
      <c r="C72" s="428"/>
      <c r="D72" s="74"/>
      <c r="E72" s="74"/>
      <c r="F72" s="74"/>
      <c r="G72" s="429"/>
      <c r="H72" s="74"/>
      <c r="I72" s="74"/>
      <c r="J72" s="74"/>
      <c r="K72" s="74"/>
      <c r="L72" s="74"/>
      <c r="M72" s="74"/>
      <c r="N72" s="74"/>
      <c r="O72" s="392"/>
      <c r="P72" s="427"/>
      <c r="Q72" s="428"/>
      <c r="R72" s="74"/>
      <c r="S72" s="74"/>
      <c r="T72" s="74"/>
      <c r="U72" s="429"/>
      <c r="V72" s="74"/>
      <c r="W72" s="74"/>
      <c r="X72" s="74"/>
      <c r="Y72" s="74"/>
      <c r="Z72" s="74"/>
      <c r="AA72" s="74"/>
      <c r="AB72" s="74"/>
      <c r="AC72" s="392"/>
      <c r="AD72" s="427"/>
      <c r="AE72" s="425"/>
      <c r="AF72" s="74"/>
      <c r="AG72" s="74"/>
      <c r="AH72" s="74"/>
      <c r="AI72" s="426"/>
      <c r="AJ72" s="74"/>
      <c r="AK72" s="74"/>
      <c r="AL72" s="74"/>
      <c r="AM72" s="74"/>
      <c r="AN72" s="74"/>
      <c r="AO72" s="74"/>
      <c r="AP72" s="74"/>
      <c r="AS72" s="358"/>
      <c r="AT72" s="405"/>
      <c r="AU72" s="359"/>
      <c r="AV72" s="405"/>
      <c r="AW72" s="358"/>
      <c r="AX72" s="358"/>
      <c r="AY72" s="358"/>
      <c r="AZ72" s="358"/>
      <c r="BA72" s="358"/>
      <c r="BB72" s="358"/>
    </row>
    <row r="73" ht="15.75" customHeight="1">
      <c r="C73" s="428"/>
      <c r="D73" s="74"/>
      <c r="E73" s="74"/>
      <c r="F73" s="74"/>
      <c r="G73" s="429"/>
      <c r="H73" s="74"/>
      <c r="I73" s="74"/>
      <c r="J73" s="74"/>
      <c r="K73" s="74"/>
      <c r="L73" s="74"/>
      <c r="M73" s="74"/>
      <c r="N73" s="74"/>
      <c r="O73" s="392"/>
      <c r="P73" s="427"/>
      <c r="Q73" s="428"/>
      <c r="R73" s="74"/>
      <c r="S73" s="74"/>
      <c r="T73" s="74"/>
      <c r="U73" s="429"/>
      <c r="V73" s="74"/>
      <c r="W73" s="74"/>
      <c r="X73" s="74"/>
      <c r="Y73" s="74"/>
      <c r="Z73" s="74"/>
      <c r="AA73" s="74"/>
      <c r="AB73" s="74"/>
      <c r="AC73" s="392"/>
      <c r="AD73" s="427"/>
      <c r="AE73" s="428"/>
      <c r="AF73" s="74"/>
      <c r="AG73" s="74"/>
      <c r="AH73" s="74"/>
      <c r="AI73" s="429"/>
      <c r="AJ73" s="74"/>
      <c r="AK73" s="74"/>
      <c r="AL73" s="74"/>
      <c r="AM73" s="74"/>
      <c r="AN73" s="74"/>
      <c r="AO73" s="74"/>
      <c r="AP73" s="74"/>
      <c r="AS73" s="358"/>
      <c r="AT73" s="405"/>
      <c r="AU73" s="359"/>
      <c r="AV73" s="405"/>
      <c r="AW73" s="358"/>
      <c r="AX73" s="358"/>
      <c r="AY73" s="358"/>
      <c r="AZ73" s="358"/>
      <c r="BA73" s="358"/>
      <c r="BB73" s="358"/>
    </row>
    <row r="74" ht="15.75" customHeight="1">
      <c r="C74" s="428"/>
      <c r="D74" s="74"/>
      <c r="E74" s="74"/>
      <c r="F74" s="74"/>
      <c r="G74" s="429"/>
      <c r="H74" s="74"/>
      <c r="I74" s="74"/>
      <c r="J74" s="74"/>
      <c r="K74" s="74"/>
      <c r="L74" s="74"/>
      <c r="M74" s="74"/>
      <c r="N74" s="74"/>
      <c r="O74" s="392"/>
      <c r="P74" s="427"/>
      <c r="Q74" s="428"/>
      <c r="R74" s="74"/>
      <c r="S74" s="74"/>
      <c r="T74" s="74"/>
      <c r="U74" s="429"/>
      <c r="V74" s="74"/>
      <c r="W74" s="74"/>
      <c r="X74" s="74"/>
      <c r="Y74" s="74"/>
      <c r="Z74" s="74"/>
      <c r="AA74" s="74"/>
      <c r="AB74" s="74"/>
      <c r="AC74" s="392"/>
      <c r="AD74" s="427"/>
      <c r="AE74" s="428"/>
      <c r="AF74" s="74"/>
      <c r="AG74" s="74"/>
      <c r="AH74" s="74"/>
      <c r="AI74" s="429"/>
      <c r="AJ74" s="74"/>
      <c r="AK74" s="74"/>
      <c r="AL74" s="74"/>
      <c r="AM74" s="74"/>
      <c r="AN74" s="74"/>
      <c r="AO74" s="74"/>
      <c r="AP74" s="74"/>
      <c r="AS74" s="358"/>
      <c r="AT74" s="405"/>
      <c r="AU74" s="359"/>
      <c r="AV74" s="405"/>
      <c r="AW74" s="358"/>
      <c r="AX74" s="358"/>
      <c r="AY74" s="358"/>
      <c r="AZ74" s="358"/>
      <c r="BA74" s="358"/>
      <c r="BB74" s="358"/>
    </row>
    <row r="75" ht="15.75" customHeight="1">
      <c r="C75" s="425"/>
      <c r="D75" s="74"/>
      <c r="E75" s="74"/>
      <c r="F75" s="74"/>
      <c r="G75" s="426"/>
      <c r="H75" s="74"/>
      <c r="I75" s="74"/>
      <c r="J75" s="74"/>
      <c r="K75" s="74"/>
      <c r="L75" s="74"/>
      <c r="M75" s="74"/>
      <c r="N75" s="74"/>
      <c r="O75" s="392"/>
      <c r="P75" s="427"/>
      <c r="Q75" s="428"/>
      <c r="R75" s="74"/>
      <c r="S75" s="74"/>
      <c r="T75" s="74"/>
      <c r="U75" s="429"/>
      <c r="V75" s="74"/>
      <c r="W75" s="74"/>
      <c r="X75" s="74"/>
      <c r="Y75" s="74"/>
      <c r="Z75" s="74"/>
      <c r="AA75" s="74"/>
      <c r="AB75" s="74"/>
      <c r="AC75" s="392"/>
      <c r="AD75" s="427"/>
      <c r="AE75" s="428"/>
      <c r="AF75" s="74"/>
      <c r="AG75" s="74"/>
      <c r="AH75" s="74"/>
      <c r="AI75" s="429"/>
      <c r="AJ75" s="74"/>
      <c r="AK75" s="74"/>
      <c r="AL75" s="74"/>
      <c r="AM75" s="74"/>
      <c r="AN75" s="74"/>
      <c r="AO75" s="74"/>
      <c r="AP75" s="74"/>
      <c r="AS75" s="358"/>
      <c r="AT75" s="405"/>
      <c r="AU75" s="359"/>
      <c r="AV75" s="405"/>
      <c r="AW75" s="358"/>
      <c r="AX75" s="358"/>
      <c r="AY75" s="358"/>
      <c r="AZ75" s="358"/>
      <c r="BA75" s="358"/>
      <c r="BB75" s="358"/>
    </row>
    <row r="76" ht="15.75" customHeight="1">
      <c r="C76" s="428"/>
      <c r="D76" s="74"/>
      <c r="E76" s="74"/>
      <c r="F76" s="74"/>
      <c r="G76" s="429"/>
      <c r="H76" s="74"/>
      <c r="I76" s="74"/>
      <c r="J76" s="74"/>
      <c r="K76" s="74"/>
      <c r="L76" s="74"/>
      <c r="M76" s="74"/>
      <c r="N76" s="74"/>
      <c r="O76" s="392"/>
      <c r="P76" s="427"/>
      <c r="Q76" s="428"/>
      <c r="R76" s="74"/>
      <c r="S76" s="74"/>
      <c r="T76" s="74"/>
      <c r="U76" s="429"/>
      <c r="V76" s="74"/>
      <c r="W76" s="74"/>
      <c r="X76" s="74"/>
      <c r="Y76" s="74"/>
      <c r="Z76" s="74"/>
      <c r="AA76" s="74"/>
      <c r="AB76" s="74"/>
      <c r="AC76" s="392"/>
      <c r="AD76" s="427"/>
      <c r="AE76" s="428"/>
      <c r="AF76" s="74"/>
      <c r="AG76" s="74"/>
      <c r="AH76" s="74"/>
      <c r="AI76" s="429"/>
      <c r="AJ76" s="74"/>
      <c r="AK76" s="74"/>
      <c r="AL76" s="74"/>
      <c r="AM76" s="74"/>
      <c r="AN76" s="74"/>
      <c r="AO76" s="74"/>
      <c r="AP76" s="74"/>
      <c r="AS76" s="358"/>
      <c r="AT76" s="405"/>
      <c r="AU76" s="359"/>
      <c r="AV76" s="405"/>
      <c r="AW76" s="358"/>
      <c r="AX76" s="358"/>
      <c r="AY76" s="358"/>
      <c r="AZ76" s="358"/>
      <c r="BA76" s="358"/>
      <c r="BB76" s="358"/>
    </row>
    <row r="77" ht="15.75" customHeight="1">
      <c r="C77" s="425"/>
      <c r="D77" s="74"/>
      <c r="E77" s="74"/>
      <c r="F77" s="74"/>
      <c r="G77" s="426"/>
      <c r="H77" s="74"/>
      <c r="I77" s="74"/>
      <c r="J77" s="74"/>
      <c r="K77" s="74"/>
      <c r="L77" s="74"/>
      <c r="M77" s="74"/>
      <c r="N77" s="74"/>
      <c r="O77" s="392"/>
      <c r="P77" s="427"/>
      <c r="Q77" s="428"/>
      <c r="R77" s="74"/>
      <c r="S77" s="74"/>
      <c r="T77" s="74"/>
      <c r="U77" s="429"/>
      <c r="V77" s="74"/>
      <c r="W77" s="74"/>
      <c r="X77" s="74"/>
      <c r="Y77" s="74"/>
      <c r="Z77" s="74"/>
      <c r="AA77" s="74"/>
      <c r="AB77" s="74"/>
      <c r="AC77" s="392"/>
      <c r="AD77" s="427"/>
      <c r="AE77" s="425"/>
      <c r="AF77" s="74"/>
      <c r="AG77" s="74"/>
      <c r="AH77" s="74"/>
      <c r="AI77" s="426"/>
      <c r="AJ77" s="74"/>
      <c r="AK77" s="74"/>
      <c r="AL77" s="74"/>
      <c r="AM77" s="74"/>
      <c r="AN77" s="74"/>
      <c r="AO77" s="74"/>
      <c r="AP77" s="74"/>
      <c r="AS77" s="358"/>
      <c r="AT77" s="405"/>
      <c r="AU77" s="359"/>
      <c r="AV77" s="405"/>
      <c r="AW77" s="358"/>
      <c r="AX77" s="358"/>
      <c r="AY77" s="358"/>
      <c r="AZ77" s="358"/>
      <c r="BA77" s="358"/>
      <c r="BB77" s="358"/>
    </row>
    <row r="78" ht="15.75" customHeight="1">
      <c r="C78" s="415" t="s">
        <v>308</v>
      </c>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S78" s="358"/>
      <c r="AT78" s="405"/>
      <c r="AU78" s="359"/>
      <c r="AV78" s="405"/>
      <c r="AW78" s="358"/>
      <c r="AX78" s="358"/>
      <c r="AY78" s="358"/>
      <c r="AZ78" s="358"/>
      <c r="BA78" s="358"/>
      <c r="BB78" s="358"/>
    </row>
    <row r="79" ht="15.75" customHeight="1">
      <c r="C79" s="12"/>
      <c r="D79" s="357"/>
      <c r="E79" s="357"/>
      <c r="F79" s="357"/>
      <c r="G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S79" s="358"/>
      <c r="AT79" s="405"/>
      <c r="AU79" s="359"/>
      <c r="AV79" s="405"/>
      <c r="AW79" s="358"/>
      <c r="AX79" s="358"/>
      <c r="AY79" s="358"/>
      <c r="AZ79" s="358"/>
      <c r="BA79" s="358"/>
      <c r="BB79" s="358"/>
    </row>
  </sheetData>
  <mergeCells count="573">
    <mergeCell ref="AM21:AN21"/>
    <mergeCell ref="AO21:AP21"/>
    <mergeCell ref="AM22:AN22"/>
    <mergeCell ref="AO22:AP22"/>
    <mergeCell ref="AM23:AN23"/>
    <mergeCell ref="AO23:AP23"/>
    <mergeCell ref="AM24:AN24"/>
    <mergeCell ref="AO24:AP24"/>
    <mergeCell ref="AM25:AN25"/>
    <mergeCell ref="AO25:AP25"/>
    <mergeCell ref="AM1:AM4"/>
    <mergeCell ref="AQ2:AQ27"/>
    <mergeCell ref="AN3:AP3"/>
    <mergeCell ref="AM5:AN5"/>
    <mergeCell ref="AO5:AP5"/>
    <mergeCell ref="AM6:AN6"/>
    <mergeCell ref="AO6:AP6"/>
    <mergeCell ref="AM14:AN14"/>
    <mergeCell ref="AO14:AP14"/>
    <mergeCell ref="AM15:AN15"/>
    <mergeCell ref="AO15:AP15"/>
    <mergeCell ref="AM16:AN16"/>
    <mergeCell ref="AO16:AP16"/>
    <mergeCell ref="AM17:AN17"/>
    <mergeCell ref="AO17:AP17"/>
    <mergeCell ref="AM18:AN18"/>
    <mergeCell ref="AO18:AP18"/>
    <mergeCell ref="AM19:AN19"/>
    <mergeCell ref="AO19:AP19"/>
    <mergeCell ref="AM20:AN20"/>
    <mergeCell ref="AO20:AP20"/>
    <mergeCell ref="AF12:AL12"/>
    <mergeCell ref="AF13:AL13"/>
    <mergeCell ref="AF14:AL14"/>
    <mergeCell ref="AF15:AL15"/>
    <mergeCell ref="AF16:AL16"/>
    <mergeCell ref="AF17:AL17"/>
    <mergeCell ref="AF18:AL18"/>
    <mergeCell ref="AF19:AL19"/>
    <mergeCell ref="AF20:AL20"/>
    <mergeCell ref="AF21:AL21"/>
    <mergeCell ref="AF22:AL22"/>
    <mergeCell ref="AF23:AL23"/>
    <mergeCell ref="AF24:AL24"/>
    <mergeCell ref="AF25:AL25"/>
    <mergeCell ref="R6:X6"/>
    <mergeCell ref="Y6:Z6"/>
    <mergeCell ref="AA6:AB6"/>
    <mergeCell ref="AF6:AL6"/>
    <mergeCell ref="Y7:Z7"/>
    <mergeCell ref="AA7:AB7"/>
    <mergeCell ref="AF7:AL7"/>
    <mergeCell ref="R7:X7"/>
    <mergeCell ref="R8:X8"/>
    <mergeCell ref="Y8:Z8"/>
    <mergeCell ref="AA8:AB8"/>
    <mergeCell ref="R9:X9"/>
    <mergeCell ref="Y9:Z9"/>
    <mergeCell ref="AA9:AB9"/>
    <mergeCell ref="R10:X10"/>
    <mergeCell ref="Y10:Z10"/>
    <mergeCell ref="AA10:AB10"/>
    <mergeCell ref="AF10:AL10"/>
    <mergeCell ref="Y11:Z11"/>
    <mergeCell ref="AA11:AB11"/>
    <mergeCell ref="AF11:AL11"/>
    <mergeCell ref="R11:X11"/>
    <mergeCell ref="R12:X12"/>
    <mergeCell ref="Y12:Z12"/>
    <mergeCell ref="AA12:AB12"/>
    <mergeCell ref="R13:X13"/>
    <mergeCell ref="Y13:Z13"/>
    <mergeCell ref="AA13:AB13"/>
    <mergeCell ref="Y16:Z16"/>
    <mergeCell ref="AA16:AB16"/>
    <mergeCell ref="R14:X14"/>
    <mergeCell ref="Y14:Z14"/>
    <mergeCell ref="AA14:AB14"/>
    <mergeCell ref="R15:X15"/>
    <mergeCell ref="Y15:Z15"/>
    <mergeCell ref="AA15:AB15"/>
    <mergeCell ref="R16:X16"/>
    <mergeCell ref="AD26:AI26"/>
    <mergeCell ref="AK26:AP26"/>
    <mergeCell ref="AM7:AN7"/>
    <mergeCell ref="AO7:AP7"/>
    <mergeCell ref="AM8:AN8"/>
    <mergeCell ref="AO8:AP8"/>
    <mergeCell ref="AM9:AN9"/>
    <mergeCell ref="AO9:AP9"/>
    <mergeCell ref="AM10:AN10"/>
    <mergeCell ref="AO10:AP10"/>
    <mergeCell ref="AM11:AN11"/>
    <mergeCell ref="AO11:AP11"/>
    <mergeCell ref="AM12:AN12"/>
    <mergeCell ref="AO12:AP12"/>
    <mergeCell ref="AM31:AN31"/>
    <mergeCell ref="AO31:AP31"/>
    <mergeCell ref="AM32:AN32"/>
    <mergeCell ref="AO32:AP32"/>
    <mergeCell ref="AM33:AN33"/>
    <mergeCell ref="AO33:AP33"/>
    <mergeCell ref="AM34:AN34"/>
    <mergeCell ref="AO34:AP34"/>
    <mergeCell ref="AM35:AN35"/>
    <mergeCell ref="AO35:AP35"/>
    <mergeCell ref="AM36:AN36"/>
    <mergeCell ref="AO36:AP36"/>
    <mergeCell ref="AM37:AN37"/>
    <mergeCell ref="AO37:AP37"/>
    <mergeCell ref="AM38:AN38"/>
    <mergeCell ref="AO38:AP38"/>
    <mergeCell ref="AM46:AN46"/>
    <mergeCell ref="AO46:AP46"/>
    <mergeCell ref="AM47:AN47"/>
    <mergeCell ref="AO47:AP47"/>
    <mergeCell ref="AM48:AN48"/>
    <mergeCell ref="AO48:AP48"/>
    <mergeCell ref="AM49:AN49"/>
    <mergeCell ref="AO49:AP49"/>
    <mergeCell ref="AM50:AN50"/>
    <mergeCell ref="AO50:AP50"/>
    <mergeCell ref="AM51:AN51"/>
    <mergeCell ref="AO51:AP51"/>
    <mergeCell ref="AM13:AN13"/>
    <mergeCell ref="AO13:AP13"/>
    <mergeCell ref="AQ28:AQ53"/>
    <mergeCell ref="AM29:AN29"/>
    <mergeCell ref="AO29:AP29"/>
    <mergeCell ref="AM30:AN30"/>
    <mergeCell ref="AO30:AP30"/>
    <mergeCell ref="AQ54:AQ79"/>
    <mergeCell ref="AM39:AN39"/>
    <mergeCell ref="AO39:AP39"/>
    <mergeCell ref="AM40:AN40"/>
    <mergeCell ref="AO40:AP40"/>
    <mergeCell ref="AM41:AN41"/>
    <mergeCell ref="AO41:AP41"/>
    <mergeCell ref="AM42:AN42"/>
    <mergeCell ref="AO42:AP42"/>
    <mergeCell ref="AM43:AN43"/>
    <mergeCell ref="AO43:AP43"/>
    <mergeCell ref="AM44:AN44"/>
    <mergeCell ref="AO44:AP44"/>
    <mergeCell ref="AM45:AN45"/>
    <mergeCell ref="AO45:AP45"/>
    <mergeCell ref="G29:J29"/>
    <mergeCell ref="D31:J31"/>
    <mergeCell ref="K31:L31"/>
    <mergeCell ref="M31:N31"/>
    <mergeCell ref="D32:J32"/>
    <mergeCell ref="K32:L32"/>
    <mergeCell ref="M32:N32"/>
    <mergeCell ref="D33:J33"/>
    <mergeCell ref="K33:L33"/>
    <mergeCell ref="M33:N33"/>
    <mergeCell ref="D34:J34"/>
    <mergeCell ref="K34:L34"/>
    <mergeCell ref="M34:N34"/>
    <mergeCell ref="D35:J35"/>
    <mergeCell ref="K35:L35"/>
    <mergeCell ref="M35:N35"/>
    <mergeCell ref="D36:J36"/>
    <mergeCell ref="K36:L36"/>
    <mergeCell ref="M36:N36"/>
    <mergeCell ref="D37:J37"/>
    <mergeCell ref="K37:L37"/>
    <mergeCell ref="M37:N37"/>
    <mergeCell ref="D38:J38"/>
    <mergeCell ref="K38:L38"/>
    <mergeCell ref="M38:N38"/>
    <mergeCell ref="D39:J39"/>
    <mergeCell ref="K39:L39"/>
    <mergeCell ref="M39:N39"/>
    <mergeCell ref="D40:J40"/>
    <mergeCell ref="K40:L40"/>
    <mergeCell ref="M40:N40"/>
    <mergeCell ref="D41:J41"/>
    <mergeCell ref="K41:L41"/>
    <mergeCell ref="M41:N41"/>
    <mergeCell ref="D42:J42"/>
    <mergeCell ref="K42:L42"/>
    <mergeCell ref="D44:J44"/>
    <mergeCell ref="K44:L44"/>
    <mergeCell ref="M42:N42"/>
    <mergeCell ref="D43:J43"/>
    <mergeCell ref="K43:L43"/>
    <mergeCell ref="M43:N43"/>
    <mergeCell ref="M44:N44"/>
    <mergeCell ref="D45:J45"/>
    <mergeCell ref="K45:L45"/>
    <mergeCell ref="M45:N45"/>
    <mergeCell ref="D46:J46"/>
    <mergeCell ref="K46:L46"/>
    <mergeCell ref="M46:N46"/>
    <mergeCell ref="D47:J47"/>
    <mergeCell ref="K47:L47"/>
    <mergeCell ref="M47:N47"/>
    <mergeCell ref="D48:J48"/>
    <mergeCell ref="K48:L48"/>
    <mergeCell ref="M48:N48"/>
    <mergeCell ref="D49:J49"/>
    <mergeCell ref="K49:L49"/>
    <mergeCell ref="M49:N49"/>
    <mergeCell ref="D50:J50"/>
    <mergeCell ref="K50:L50"/>
    <mergeCell ref="C56:F56"/>
    <mergeCell ref="C57:F57"/>
    <mergeCell ref="G57:N57"/>
    <mergeCell ref="C58:F58"/>
    <mergeCell ref="G58:N58"/>
    <mergeCell ref="C59:F59"/>
    <mergeCell ref="G59:N59"/>
    <mergeCell ref="C60:F60"/>
    <mergeCell ref="G60:N60"/>
    <mergeCell ref="C61:F61"/>
    <mergeCell ref="G61:N61"/>
    <mergeCell ref="C62:F62"/>
    <mergeCell ref="G62:N62"/>
    <mergeCell ref="C63:F63"/>
    <mergeCell ref="G63:N63"/>
    <mergeCell ref="C64:F64"/>
    <mergeCell ref="G64:N64"/>
    <mergeCell ref="C65:F65"/>
    <mergeCell ref="G65:N65"/>
    <mergeCell ref="C66:F66"/>
    <mergeCell ref="G66:N66"/>
    <mergeCell ref="C67:F67"/>
    <mergeCell ref="G67:N67"/>
    <mergeCell ref="C68:F68"/>
    <mergeCell ref="G68:N68"/>
    <mergeCell ref="C69:F69"/>
    <mergeCell ref="G69:N69"/>
    <mergeCell ref="C70:F70"/>
    <mergeCell ref="G70:N70"/>
    <mergeCell ref="D24:J24"/>
    <mergeCell ref="K24:L24"/>
    <mergeCell ref="B28:B53"/>
    <mergeCell ref="D29:F29"/>
    <mergeCell ref="K29:L29"/>
    <mergeCell ref="M29:N29"/>
    <mergeCell ref="M30:N30"/>
    <mergeCell ref="M50:N50"/>
    <mergeCell ref="D51:J51"/>
    <mergeCell ref="K51:L51"/>
    <mergeCell ref="M51:N51"/>
    <mergeCell ref="O53:O56"/>
    <mergeCell ref="B54:B79"/>
    <mergeCell ref="G56:N56"/>
    <mergeCell ref="C71:F71"/>
    <mergeCell ref="G71:N71"/>
    <mergeCell ref="C72:F72"/>
    <mergeCell ref="G72:N72"/>
    <mergeCell ref="C73:F73"/>
    <mergeCell ref="G73:N73"/>
    <mergeCell ref="C74:F74"/>
    <mergeCell ref="G74:N74"/>
    <mergeCell ref="C75:F75"/>
    <mergeCell ref="G75:N75"/>
    <mergeCell ref="C76:F76"/>
    <mergeCell ref="G76:N76"/>
    <mergeCell ref="C77:F77"/>
    <mergeCell ref="G77:N77"/>
    <mergeCell ref="Y19:Z19"/>
    <mergeCell ref="AA19:AB19"/>
    <mergeCell ref="R17:X17"/>
    <mergeCell ref="Y17:Z17"/>
    <mergeCell ref="AA17:AB17"/>
    <mergeCell ref="R18:X18"/>
    <mergeCell ref="Y18:Z18"/>
    <mergeCell ref="AA18:AB18"/>
    <mergeCell ref="R19:X19"/>
    <mergeCell ref="Y22:Z22"/>
    <mergeCell ref="AA22:AB22"/>
    <mergeCell ref="R20:X20"/>
    <mergeCell ref="Y20:Z20"/>
    <mergeCell ref="AA20:AB20"/>
    <mergeCell ref="R21:X21"/>
    <mergeCell ref="Y21:Z21"/>
    <mergeCell ref="AA21:AB21"/>
    <mergeCell ref="R22:X22"/>
    <mergeCell ref="R23:X23"/>
    <mergeCell ref="Y23:Z23"/>
    <mergeCell ref="AA23:AB23"/>
    <mergeCell ref="R24:X24"/>
    <mergeCell ref="Y24:Z24"/>
    <mergeCell ref="AA24:AB24"/>
    <mergeCell ref="R25:X25"/>
    <mergeCell ref="P26:AC26"/>
    <mergeCell ref="Y25:Z25"/>
    <mergeCell ref="AA25:AB25"/>
    <mergeCell ref="U29:X29"/>
    <mergeCell ref="Y29:Z29"/>
    <mergeCell ref="AA29:AB29"/>
    <mergeCell ref="AF29:AH29"/>
    <mergeCell ref="AI29:AL29"/>
    <mergeCell ref="AF32:AL32"/>
    <mergeCell ref="AF33:AL33"/>
    <mergeCell ref="R30:X30"/>
    <mergeCell ref="Y30:Z30"/>
    <mergeCell ref="AA30:AB30"/>
    <mergeCell ref="AF30:AL30"/>
    <mergeCell ref="Y31:Z31"/>
    <mergeCell ref="AA31:AB31"/>
    <mergeCell ref="AF31:AL31"/>
    <mergeCell ref="R31:X31"/>
    <mergeCell ref="R32:X32"/>
    <mergeCell ref="Y32:Z32"/>
    <mergeCell ref="AA32:AB32"/>
    <mergeCell ref="R33:X33"/>
    <mergeCell ref="Y33:Z33"/>
    <mergeCell ref="AA33:AB33"/>
    <mergeCell ref="R34:X34"/>
    <mergeCell ref="Y34:Z34"/>
    <mergeCell ref="AA34:AB34"/>
    <mergeCell ref="AF34:AL34"/>
    <mergeCell ref="Y35:Z35"/>
    <mergeCell ref="AA35:AB35"/>
    <mergeCell ref="AF35:AL35"/>
    <mergeCell ref="R35:X35"/>
    <mergeCell ref="R36:X36"/>
    <mergeCell ref="Y36:Z36"/>
    <mergeCell ref="AA36:AB36"/>
    <mergeCell ref="R37:X37"/>
    <mergeCell ref="Y37:Z37"/>
    <mergeCell ref="AA37:AB37"/>
    <mergeCell ref="Y40:Z40"/>
    <mergeCell ref="AA40:AB40"/>
    <mergeCell ref="R38:X38"/>
    <mergeCell ref="Y38:Z38"/>
    <mergeCell ref="AA38:AB38"/>
    <mergeCell ref="R39:X39"/>
    <mergeCell ref="Y39:Z39"/>
    <mergeCell ref="AA39:AB39"/>
    <mergeCell ref="R40:X40"/>
    <mergeCell ref="AF36:AL36"/>
    <mergeCell ref="AF37:AL37"/>
    <mergeCell ref="AF38:AL38"/>
    <mergeCell ref="AF39:AL39"/>
    <mergeCell ref="AF40:AL40"/>
    <mergeCell ref="AF41:AL41"/>
    <mergeCell ref="AF42:AL42"/>
    <mergeCell ref="Q64:T64"/>
    <mergeCell ref="U64:AB64"/>
    <mergeCell ref="AE64:AH64"/>
    <mergeCell ref="AI64:AP64"/>
    <mergeCell ref="U65:AB65"/>
    <mergeCell ref="AE65:AH65"/>
    <mergeCell ref="AI65:AP65"/>
    <mergeCell ref="Q65:T65"/>
    <mergeCell ref="Q66:T66"/>
    <mergeCell ref="U66:AB66"/>
    <mergeCell ref="AE66:AH66"/>
    <mergeCell ref="AI66:AP66"/>
    <mergeCell ref="Q67:T67"/>
    <mergeCell ref="U67:AB67"/>
    <mergeCell ref="AE68:AH68"/>
    <mergeCell ref="AE69:AH69"/>
    <mergeCell ref="AE67:AH67"/>
    <mergeCell ref="AI67:AP67"/>
    <mergeCell ref="Q68:T68"/>
    <mergeCell ref="U68:AB68"/>
    <mergeCell ref="AI68:AP68"/>
    <mergeCell ref="U69:AB69"/>
    <mergeCell ref="AI69:AP69"/>
    <mergeCell ref="AE71:AH71"/>
    <mergeCell ref="AI71:AP71"/>
    <mergeCell ref="Q69:T69"/>
    <mergeCell ref="Q70:T70"/>
    <mergeCell ref="U70:AB70"/>
    <mergeCell ref="AE70:AH70"/>
    <mergeCell ref="AI70:AP70"/>
    <mergeCell ref="Q71:T71"/>
    <mergeCell ref="U71:AB71"/>
    <mergeCell ref="Q72:T72"/>
    <mergeCell ref="U72:AB72"/>
    <mergeCell ref="AE72:AH72"/>
    <mergeCell ref="AI72:AP72"/>
    <mergeCell ref="U73:AB73"/>
    <mergeCell ref="AE73:AH73"/>
    <mergeCell ref="AI73:AP73"/>
    <mergeCell ref="Q73:T73"/>
    <mergeCell ref="Q74:T74"/>
    <mergeCell ref="U74:AB74"/>
    <mergeCell ref="AE74:AH74"/>
    <mergeCell ref="AI74:AP74"/>
    <mergeCell ref="Q75:T75"/>
    <mergeCell ref="U75:AB75"/>
    <mergeCell ref="C78:AP78"/>
    <mergeCell ref="Q56:T56"/>
    <mergeCell ref="U56:AB56"/>
    <mergeCell ref="AE56:AH56"/>
    <mergeCell ref="AI56:AP56"/>
    <mergeCell ref="U57:AB57"/>
    <mergeCell ref="AE57:AH57"/>
    <mergeCell ref="AI57:AP57"/>
    <mergeCell ref="AE59:AH59"/>
    <mergeCell ref="AI59:AP59"/>
    <mergeCell ref="Q57:T57"/>
    <mergeCell ref="Q58:T58"/>
    <mergeCell ref="U58:AB58"/>
    <mergeCell ref="AE58:AH58"/>
    <mergeCell ref="AI58:AP58"/>
    <mergeCell ref="Q59:T59"/>
    <mergeCell ref="U59:AB59"/>
    <mergeCell ref="Q60:T60"/>
    <mergeCell ref="U60:AB60"/>
    <mergeCell ref="AE60:AH60"/>
    <mergeCell ref="AI60:AP60"/>
    <mergeCell ref="U61:AB61"/>
    <mergeCell ref="AE61:AH61"/>
    <mergeCell ref="AI61:AP61"/>
    <mergeCell ref="AE63:AH63"/>
    <mergeCell ref="AI63:AP63"/>
    <mergeCell ref="Q61:T61"/>
    <mergeCell ref="Q62:T62"/>
    <mergeCell ref="U62:AB62"/>
    <mergeCell ref="AE62:AH62"/>
    <mergeCell ref="AI62:AP62"/>
    <mergeCell ref="Q63:T63"/>
    <mergeCell ref="U63:AB63"/>
    <mergeCell ref="AE76:AH76"/>
    <mergeCell ref="AE77:AH77"/>
    <mergeCell ref="AE75:AH75"/>
    <mergeCell ref="AI75:AP75"/>
    <mergeCell ref="Q76:T76"/>
    <mergeCell ref="U76:AB76"/>
    <mergeCell ref="AI76:AP76"/>
    <mergeCell ref="Q77:T77"/>
    <mergeCell ref="U77:AB77"/>
    <mergeCell ref="AI77:AP77"/>
    <mergeCell ref="G1:G4"/>
    <mergeCell ref="E2:F3"/>
    <mergeCell ref="S1:S4"/>
    <mergeCell ref="Q2:R3"/>
    <mergeCell ref="H3:I3"/>
    <mergeCell ref="N3:O3"/>
    <mergeCell ref="AJ2:AL3"/>
    <mergeCell ref="AG3:AH3"/>
    <mergeCell ref="Y1:Y4"/>
    <mergeCell ref="AB1:AB4"/>
    <mergeCell ref="AF1:AF4"/>
    <mergeCell ref="AI1:AI4"/>
    <mergeCell ref="W2:X3"/>
    <mergeCell ref="AC2:AE3"/>
    <mergeCell ref="Z3:AA3"/>
    <mergeCell ref="G5:J5"/>
    <mergeCell ref="K5:L5"/>
    <mergeCell ref="U5:X5"/>
    <mergeCell ref="Y5:Z5"/>
    <mergeCell ref="AA5:AB5"/>
    <mergeCell ref="AF5:AH5"/>
    <mergeCell ref="AI5:AL5"/>
    <mergeCell ref="AF8:AL8"/>
    <mergeCell ref="AF9:AL9"/>
    <mergeCell ref="D1:D4"/>
    <mergeCell ref="D5:F5"/>
    <mergeCell ref="M5:N5"/>
    <mergeCell ref="R5:T5"/>
    <mergeCell ref="D6:J6"/>
    <mergeCell ref="K6:L6"/>
    <mergeCell ref="M6:N6"/>
    <mergeCell ref="D7:J7"/>
    <mergeCell ref="K7:L7"/>
    <mergeCell ref="M7:N7"/>
    <mergeCell ref="D8:J8"/>
    <mergeCell ref="K8:L8"/>
    <mergeCell ref="M8:N8"/>
    <mergeCell ref="D9:J9"/>
    <mergeCell ref="K9:L9"/>
    <mergeCell ref="M9:N9"/>
    <mergeCell ref="D10:J10"/>
    <mergeCell ref="K10:L10"/>
    <mergeCell ref="M10:N10"/>
    <mergeCell ref="D11:J11"/>
    <mergeCell ref="K11:L11"/>
    <mergeCell ref="M11:N11"/>
    <mergeCell ref="D12:J12"/>
    <mergeCell ref="K12:L12"/>
    <mergeCell ref="M12:N12"/>
    <mergeCell ref="D13:J13"/>
    <mergeCell ref="K13:L13"/>
    <mergeCell ref="M13:N13"/>
    <mergeCell ref="D14:J14"/>
    <mergeCell ref="K14:L14"/>
    <mergeCell ref="M14:N14"/>
    <mergeCell ref="D15:J15"/>
    <mergeCell ref="K15:L15"/>
    <mergeCell ref="M15:N15"/>
    <mergeCell ref="D16:J16"/>
    <mergeCell ref="K16:L16"/>
    <mergeCell ref="D18:J18"/>
    <mergeCell ref="K18:L18"/>
    <mergeCell ref="M24:N24"/>
    <mergeCell ref="D25:J25"/>
    <mergeCell ref="K25:L25"/>
    <mergeCell ref="M25:N25"/>
    <mergeCell ref="C26:O26"/>
    <mergeCell ref="R29:T29"/>
    <mergeCell ref="J1:J4"/>
    <mergeCell ref="M1:M4"/>
    <mergeCell ref="P1:P4"/>
    <mergeCell ref="V1:V4"/>
    <mergeCell ref="B2:B27"/>
    <mergeCell ref="K2:L3"/>
    <mergeCell ref="T3:U3"/>
    <mergeCell ref="M16:N16"/>
    <mergeCell ref="D17:J17"/>
    <mergeCell ref="K17:L17"/>
    <mergeCell ref="M17:N17"/>
    <mergeCell ref="M18:N18"/>
    <mergeCell ref="D19:J19"/>
    <mergeCell ref="K19:L19"/>
    <mergeCell ref="M19:N19"/>
    <mergeCell ref="D20:J20"/>
    <mergeCell ref="K20:L20"/>
    <mergeCell ref="M20:N20"/>
    <mergeCell ref="D21:J21"/>
    <mergeCell ref="K21:L21"/>
    <mergeCell ref="M21:N21"/>
    <mergeCell ref="D22:J22"/>
    <mergeCell ref="K22:L22"/>
    <mergeCell ref="M22:N22"/>
    <mergeCell ref="D23:J23"/>
    <mergeCell ref="K23:L23"/>
    <mergeCell ref="M23:N23"/>
    <mergeCell ref="D30:J30"/>
    <mergeCell ref="K30:L30"/>
    <mergeCell ref="AF50:AL50"/>
    <mergeCell ref="AF51:AL51"/>
    <mergeCell ref="C52:AP52"/>
    <mergeCell ref="AF43:AL43"/>
    <mergeCell ref="AF44:AL44"/>
    <mergeCell ref="AF45:AL45"/>
    <mergeCell ref="AF46:AL46"/>
    <mergeCell ref="AF47:AL47"/>
    <mergeCell ref="AF48:AL48"/>
    <mergeCell ref="AF49:AL49"/>
    <mergeCell ref="Y43:Z43"/>
    <mergeCell ref="AA43:AB43"/>
    <mergeCell ref="R41:X41"/>
    <mergeCell ref="Y41:Z41"/>
    <mergeCell ref="AA41:AB41"/>
    <mergeCell ref="R42:X42"/>
    <mergeCell ref="Y42:Z42"/>
    <mergeCell ref="AA42:AB42"/>
    <mergeCell ref="R43:X43"/>
    <mergeCell ref="Y46:Z46"/>
    <mergeCell ref="AA46:AB46"/>
    <mergeCell ref="R44:X44"/>
    <mergeCell ref="Y44:Z44"/>
    <mergeCell ref="AA44:AB44"/>
    <mergeCell ref="R45:X45"/>
    <mergeCell ref="Y45:Z45"/>
    <mergeCell ref="AA45:AB45"/>
    <mergeCell ref="R46:X46"/>
    <mergeCell ref="Y49:Z49"/>
    <mergeCell ref="AA49:AB49"/>
    <mergeCell ref="AD53:AD56"/>
    <mergeCell ref="R47:X47"/>
    <mergeCell ref="Y47:Z47"/>
    <mergeCell ref="AA47:AB47"/>
    <mergeCell ref="R48:X48"/>
    <mergeCell ref="Y48:Z48"/>
    <mergeCell ref="AA48:AB48"/>
    <mergeCell ref="R49:X49"/>
    <mergeCell ref="R50:X50"/>
    <mergeCell ref="Y50:Z50"/>
    <mergeCell ref="AA50:AB50"/>
    <mergeCell ref="R51:X51"/>
    <mergeCell ref="Y51:Z51"/>
    <mergeCell ref="AA51:AB51"/>
    <mergeCell ref="P54:AC55"/>
  </mergeCells>
  <conditionalFormatting sqref="M6:N25 AA6:AB25 AO6:AP25 M30:N51 AA30:AB51 AO30:AP51">
    <cfRule type="expression" dxfId="35" priority="1">
      <formula>and(D6="",K6="")</formula>
    </cfRule>
  </conditionalFormatting>
  <conditionalFormatting sqref="C6:M25 C30:M51">
    <cfRule type="expression" dxfId="13" priority="2">
      <formula>AND($C6=0,$C6&lt;&gt;"")</formula>
    </cfRule>
  </conditionalFormatting>
  <conditionalFormatting sqref="Q6:AB25 Q30:AB51">
    <cfRule type="expression" dxfId="13" priority="3">
      <formula>AND($Q6=0,$Q6&lt;&gt;"")</formula>
    </cfRule>
  </conditionalFormatting>
  <conditionalFormatting sqref="AE6:AP25 AE30:AP51">
    <cfRule type="expression" dxfId="13" priority="4">
      <formula>AND($AE6=0,$AE6&lt;&gt;"")</formula>
    </cfRule>
  </conditionalFormatting>
  <conditionalFormatting sqref="K6:L25 Y6:Z25 AM6:AN25 K30:L51 Y30:Z51 AM30:AN51">
    <cfRule type="containsText" dxfId="36" priority="5" operator="containsText" text="cp">
      <formula>NOT(ISERROR(SEARCH(("cp"),(K6))))</formula>
    </cfRule>
  </conditionalFormatting>
  <conditionalFormatting sqref="K6:K25 Y6:Y25 AM6:AM25 K30:K51 Y30:Y51 AM30:AM51">
    <cfRule type="containsText" dxfId="36" priority="6" operator="containsText" text=".0">
      <formula>NOT(ISERROR(SEARCH((".0"),(K6))))</formula>
    </cfRule>
  </conditionalFormatting>
  <conditionalFormatting sqref="K6:L25 Y6:Z25 AM6:AN25 K30:L51 Y30:Z51 AM30:AN51">
    <cfRule type="containsText" dxfId="12" priority="7" operator="containsText" text="sp">
      <formula>NOT(ISERROR(SEARCH(("sp"),(K6))))</formula>
    </cfRule>
  </conditionalFormatting>
  <conditionalFormatting sqref="K6:K25 Y6:Y25 AM6:AM25 K30:K51 Y30:Y51 AM30:AM51">
    <cfRule type="cellIs" dxfId="12" priority="8" operator="between">
      <formula>0.1</formula>
      <formula>0.9</formula>
    </cfRule>
  </conditionalFormatting>
  <conditionalFormatting sqref="K6:L25 Y6:Z25 AM6:AN25 K30:L51 Y30:Z51 AM30:AN51">
    <cfRule type="containsText" dxfId="5" priority="9" operator="containsText" text="gp">
      <formula>NOT(ISERROR(SEARCH(("gp"),(K6))))</formula>
    </cfRule>
  </conditionalFormatting>
  <conditionalFormatting sqref="K6:L25 Y6:Z25 AM6:AN25 K30:L51 Y30:Z51 AM30:AN51">
    <cfRule type="containsText" dxfId="37" priority="10" operator="containsText" text="pp">
      <formula>NOT(ISERROR(SEARCH(("pp"),(K6))))</formula>
    </cfRule>
  </conditionalFormatting>
  <conditionalFormatting sqref="K6:K25 Y6:Y25 AM6:AM25 K30:K51 Y30:Y51 AM30:AM51">
    <cfRule type="containsText" dxfId="10" priority="11" operator="containsText" text="Priceless">
      <formula>NOT(ISERROR(SEARCH(("Priceless"),(K6))))</formula>
    </cfRule>
  </conditionalFormatting>
  <conditionalFormatting sqref="K6:K25 Y6:Y25 AM6:AM25 K30:K51 Y30:Y51 AM30:AM51">
    <cfRule type="containsText" dxfId="38" priority="12" operator="containsText" text="?">
      <formula>NOT(ISERROR(SEARCH(("?"),(K6))))</formula>
    </cfRule>
  </conditionalFormatting>
  <conditionalFormatting sqref="M6:N25 AA6:AB25 AO6:AP25 M30:N51 AA30:AB51 AO30:AP51">
    <cfRule type="cellIs" dxfId="39" priority="13" operator="equal">
      <formula>0</formula>
    </cfRule>
  </conditionalFormatting>
  <conditionalFormatting sqref="C57:C77 Q57:Q77 AE57:AE77">
    <cfRule type="cellIs" dxfId="0" priority="14" operator="lessThan">
      <formula>0</formula>
    </cfRule>
  </conditionalFormatting>
  <conditionalFormatting sqref="AC2 AJ2 P54">
    <cfRule type="cellIs" dxfId="35" priority="15"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52" width="3.0"/>
  </cols>
  <sheetData>
    <row r="1" ht="15.75" customHeight="1">
      <c r="B1" s="148" t="str">
        <f>IMAGE("https://i.imgur.com/dVhtrwT.png",4, 1637, 41)</f>
        <v/>
      </c>
      <c r="D1" s="5"/>
      <c r="E1" s="5"/>
      <c r="F1" s="205"/>
      <c r="G1" s="5"/>
      <c r="I1" s="430" t="str">
        <f>if(countblank(I3:I76,Z3:Z76)=148,"Use the '#' columns for the amount of an item.","")</f>
        <v>Use the '#' columns for the amount of an item.</v>
      </c>
      <c r="W1" s="430" t="str">
        <f>if(and(R3="",U3=0,AI3="",AL3=0),"Make sure to check [?] for how to properly fill out cost &amp; weight.","")</f>
        <v>Make sure to check [?] for how to properly fill out cost &amp; weight.</v>
      </c>
      <c r="AO1" s="431" t="str">
        <f>image("https://i.imgur.com/CGrwAWE.png",4, 1637, 20)</f>
        <v/>
      </c>
      <c r="AQ1" s="432"/>
      <c r="AR1" s="432"/>
      <c r="AS1" s="433"/>
      <c r="AT1" s="432"/>
      <c r="AU1" s="432"/>
      <c r="AV1" s="432"/>
      <c r="AW1" s="432"/>
      <c r="AX1" s="432"/>
      <c r="AY1" s="432"/>
      <c r="AZ1" s="432"/>
    </row>
    <row r="2" ht="15.75" customHeight="1">
      <c r="D2" s="434"/>
      <c r="E2" s="25"/>
      <c r="F2" s="25"/>
      <c r="G2" s="153"/>
      <c r="H2" s="434" t="str">
        <f>IMAGE("http://i.imgur.com/xcRRvuq.png",2)</f>
        <v/>
      </c>
      <c r="I2" s="435" t="s">
        <v>297</v>
      </c>
      <c r="J2" s="436" t="s">
        <v>298</v>
      </c>
      <c r="K2" s="70"/>
      <c r="L2" s="70"/>
      <c r="M2" s="70"/>
      <c r="N2" s="70"/>
      <c r="O2" s="70"/>
      <c r="P2" s="70"/>
      <c r="Q2" s="70"/>
      <c r="R2" s="437" t="s">
        <v>300</v>
      </c>
      <c r="S2" s="70"/>
      <c r="T2" s="70"/>
      <c r="U2" s="438" t="s">
        <v>205</v>
      </c>
      <c r="V2" s="70"/>
      <c r="W2" s="70"/>
      <c r="X2" s="439" t="str">
        <f>IMAGE("https://i.imgur.com/RyxX4XE.png",4, 1574, 41)</f>
        <v/>
      </c>
      <c r="Y2" s="25"/>
      <c r="Z2" s="435" t="s">
        <v>297</v>
      </c>
      <c r="AA2" s="436" t="s">
        <v>298</v>
      </c>
      <c r="AB2" s="70"/>
      <c r="AC2" s="70"/>
      <c r="AD2" s="70"/>
      <c r="AE2" s="70"/>
      <c r="AF2" s="70"/>
      <c r="AG2" s="70"/>
      <c r="AH2" s="70"/>
      <c r="AI2" s="437" t="s">
        <v>300</v>
      </c>
      <c r="AJ2" s="70"/>
      <c r="AK2" s="70"/>
      <c r="AL2" s="438" t="s">
        <v>205</v>
      </c>
      <c r="AM2" s="70"/>
      <c r="AN2" s="70"/>
      <c r="AQ2" s="440" t="s">
        <v>303</v>
      </c>
      <c r="AR2" s="441" t="s">
        <v>304</v>
      </c>
      <c r="AS2" s="442" t="s">
        <v>303</v>
      </c>
      <c r="AT2" s="441" t="s">
        <v>304</v>
      </c>
      <c r="AU2" s="432"/>
      <c r="AV2" s="432"/>
      <c r="AW2" s="432"/>
      <c r="AX2" s="432"/>
      <c r="AY2" s="432"/>
      <c r="AZ2" s="432"/>
    </row>
    <row r="3" ht="15.75" customHeight="1">
      <c r="D3" s="361">
        <v>0.0</v>
      </c>
      <c r="E3" s="25"/>
      <c r="F3" s="25"/>
      <c r="G3" s="25"/>
      <c r="I3" s="443"/>
      <c r="J3" s="444" t="s">
        <v>311</v>
      </c>
      <c r="K3" s="74"/>
      <c r="L3" s="74"/>
      <c r="M3" s="74"/>
      <c r="N3" s="74"/>
      <c r="O3" s="74"/>
      <c r="P3" s="74"/>
      <c r="Q3" s="74"/>
      <c r="R3" s="445"/>
      <c r="S3" s="74"/>
      <c r="T3" s="74"/>
      <c r="U3" s="446">
        <v>0.0</v>
      </c>
      <c r="V3" s="74"/>
      <c r="W3" s="74"/>
      <c r="Z3" s="443"/>
      <c r="AA3" s="447"/>
      <c r="AB3" s="74"/>
      <c r="AC3" s="74"/>
      <c r="AD3" s="74"/>
      <c r="AE3" s="74"/>
      <c r="AF3" s="74"/>
      <c r="AG3" s="74"/>
      <c r="AH3" s="74"/>
      <c r="AI3" s="445"/>
      <c r="AJ3" s="74"/>
      <c r="AK3" s="74"/>
      <c r="AL3" s="446">
        <v>0.0</v>
      </c>
      <c r="AM3" s="74"/>
      <c r="AN3" s="74"/>
      <c r="AQ3" s="448">
        <f t="shared" ref="AQ3:AQ76" si="1">if(OR(and(I3="",J3="",R3="",U3=""),R3="-"),"",if(R3="",0,if(isnumber(find("pp",lower(R3))),value(left(R3,find("pp",lower(R3))-1))*10,if(isnumber(find("ep",lower(R3))),value(left(R3,find("ep",lower(R3))-1))*0.5,if(isnumber(find("sp",lower(R3))),value(left(R3,find("sp",lower(R3))-1))*0.1,if(isnumber(find("gp",lower(R3))),value(left(R3,find("gp",lower(R3))-1)),if(isnumber(find("cp",lower(R3))),value(left(R3,find("cp",lower(R3))-1))*0.01,R3)))))*if(I3="",1,I3)))</f>
        <v>0</v>
      </c>
      <c r="AR3" s="449">
        <f t="shared" ref="AR3:AR76" si="2">if(U3="-",0,if(and(I3="",J3="",R3="",U3=""),"",if(I3="",U3,I3*U3)))</f>
        <v>0</v>
      </c>
      <c r="AS3" s="450">
        <f t="shared" ref="AS3:AS76" si="3">if(OR(and(Z3="",AA3="",AI3="",AL3=""),AI3="-"),"",if(AI3="",0,if(isnumber(find("pp",lower(AI3))),value(left(AI3,find("pp",lower(AI3))-1))*10,if(isnumber(find("ep",lower(AI3))),value(left(AI3,find("ep",lower(AI3))-1))*0.5,if(isnumber(find("sp",lower(AI3))),value(left(AI3,find("sp",lower(AI3))-1))*0.1,if(isnumber(find("gp",lower(AI3))),value(left(AI3,find("gp",lower(AI3))-1)),if(isnumber(find("cp",lower(AI3))),value(left(AI3,find("cp",lower(AI3))-1))*0.01,AI3)))))*if(Z3="",1,Z3)))</f>
        <v>0</v>
      </c>
      <c r="AT3" s="449">
        <f t="shared" ref="AT3:AT76" si="4">if(AL3="-",0,if(and(Z3="",AA3="",AI3="",AL3=""),"",if(Z3="",AL3,Z3*AL3)))</f>
        <v>0</v>
      </c>
      <c r="AU3" s="432"/>
      <c r="AV3" s="3"/>
      <c r="AW3" s="432"/>
      <c r="AX3" s="432"/>
      <c r="AY3" s="432"/>
      <c r="AZ3" s="432"/>
    </row>
    <row r="4" ht="15.75" customHeight="1">
      <c r="D4" s="31"/>
      <c r="E4" s="31"/>
      <c r="F4" s="31"/>
      <c r="G4" s="31"/>
      <c r="I4" s="443"/>
      <c r="J4" s="444" t="s">
        <v>312</v>
      </c>
      <c r="K4" s="74"/>
      <c r="L4" s="74"/>
      <c r="M4" s="74"/>
      <c r="N4" s="74"/>
      <c r="O4" s="74"/>
      <c r="P4" s="74"/>
      <c r="Q4" s="74"/>
      <c r="R4" s="445"/>
      <c r="S4" s="74"/>
      <c r="T4" s="74"/>
      <c r="U4" s="446">
        <v>0.0</v>
      </c>
      <c r="V4" s="74"/>
      <c r="W4" s="74"/>
      <c r="Z4" s="443"/>
      <c r="AA4" s="447"/>
      <c r="AB4" s="74"/>
      <c r="AC4" s="74"/>
      <c r="AD4" s="74"/>
      <c r="AE4" s="74"/>
      <c r="AF4" s="74"/>
      <c r="AG4" s="74"/>
      <c r="AH4" s="74"/>
      <c r="AI4" s="445"/>
      <c r="AJ4" s="74"/>
      <c r="AK4" s="74"/>
      <c r="AL4" s="446">
        <v>0.0</v>
      </c>
      <c r="AM4" s="74"/>
      <c r="AN4" s="74"/>
      <c r="AQ4" s="448">
        <f t="shared" si="1"/>
        <v>0</v>
      </c>
      <c r="AR4" s="449">
        <f t="shared" si="2"/>
        <v>0</v>
      </c>
      <c r="AS4" s="450">
        <f t="shared" si="3"/>
        <v>0</v>
      </c>
      <c r="AT4" s="449">
        <f t="shared" si="4"/>
        <v>0</v>
      </c>
      <c r="AU4" s="432"/>
      <c r="AV4" s="432"/>
      <c r="AW4" s="432"/>
      <c r="AX4" s="432"/>
      <c r="AY4" s="432"/>
      <c r="AZ4" s="432"/>
    </row>
    <row r="5" ht="15.75" customHeight="1">
      <c r="D5" s="245"/>
      <c r="F5" s="245"/>
      <c r="I5" s="443"/>
      <c r="J5" s="447"/>
      <c r="K5" s="74"/>
      <c r="L5" s="74"/>
      <c r="M5" s="74"/>
      <c r="N5" s="74"/>
      <c r="O5" s="74"/>
      <c r="P5" s="74"/>
      <c r="Q5" s="74"/>
      <c r="R5" s="445"/>
      <c r="S5" s="74"/>
      <c r="T5" s="74"/>
      <c r="U5" s="446">
        <v>0.0</v>
      </c>
      <c r="V5" s="74"/>
      <c r="W5" s="74"/>
      <c r="Z5" s="443"/>
      <c r="AA5" s="447"/>
      <c r="AB5" s="74"/>
      <c r="AC5" s="74"/>
      <c r="AD5" s="74"/>
      <c r="AE5" s="74"/>
      <c r="AF5" s="74"/>
      <c r="AG5" s="74"/>
      <c r="AH5" s="74"/>
      <c r="AI5" s="445"/>
      <c r="AJ5" s="74"/>
      <c r="AK5" s="74"/>
      <c r="AL5" s="446">
        <v>0.0</v>
      </c>
      <c r="AM5" s="74"/>
      <c r="AN5" s="74"/>
      <c r="AQ5" s="448">
        <f t="shared" si="1"/>
        <v>0</v>
      </c>
      <c r="AR5" s="449">
        <f t="shared" si="2"/>
        <v>0</v>
      </c>
      <c r="AS5" s="450">
        <f t="shared" si="3"/>
        <v>0</v>
      </c>
      <c r="AT5" s="449">
        <f t="shared" si="4"/>
        <v>0</v>
      </c>
      <c r="AU5" s="432"/>
      <c r="AV5" s="432"/>
      <c r="AW5" s="432"/>
      <c r="AX5" s="432"/>
      <c r="AY5" s="432"/>
      <c r="AZ5" s="432"/>
    </row>
    <row r="6" ht="15.75" customHeight="1">
      <c r="D6" s="362">
        <v>0.0</v>
      </c>
      <c r="E6" s="25"/>
      <c r="F6" s="25"/>
      <c r="G6" s="25"/>
      <c r="I6" s="443"/>
      <c r="J6" s="447"/>
      <c r="K6" s="74"/>
      <c r="L6" s="74"/>
      <c r="M6" s="74"/>
      <c r="N6" s="74"/>
      <c r="O6" s="74"/>
      <c r="P6" s="74"/>
      <c r="Q6" s="74"/>
      <c r="R6" s="451"/>
      <c r="S6" s="74"/>
      <c r="T6" s="74"/>
      <c r="U6" s="446">
        <v>0.0</v>
      </c>
      <c r="V6" s="74"/>
      <c r="W6" s="74"/>
      <c r="Z6" s="443"/>
      <c r="AA6" s="447"/>
      <c r="AB6" s="74"/>
      <c r="AC6" s="74"/>
      <c r="AD6" s="74"/>
      <c r="AE6" s="74"/>
      <c r="AF6" s="74"/>
      <c r="AG6" s="74"/>
      <c r="AH6" s="74"/>
      <c r="AI6" s="451"/>
      <c r="AJ6" s="74"/>
      <c r="AK6" s="74"/>
      <c r="AL6" s="446">
        <v>0.0</v>
      </c>
      <c r="AM6" s="74"/>
      <c r="AN6" s="74"/>
      <c r="AQ6" s="448">
        <f t="shared" si="1"/>
        <v>0</v>
      </c>
      <c r="AR6" s="449">
        <f t="shared" si="2"/>
        <v>0</v>
      </c>
      <c r="AS6" s="450">
        <f t="shared" si="3"/>
        <v>0</v>
      </c>
      <c r="AT6" s="449">
        <f t="shared" si="4"/>
        <v>0</v>
      </c>
      <c r="AU6" s="432"/>
      <c r="AV6" s="432"/>
      <c r="AW6" s="432"/>
      <c r="AX6" s="432"/>
      <c r="AY6" s="432"/>
      <c r="AZ6" s="432"/>
    </row>
    <row r="7" ht="15.75" customHeight="1">
      <c r="D7" s="31"/>
      <c r="E7" s="31"/>
      <c r="F7" s="31"/>
      <c r="G7" s="31"/>
      <c r="I7" s="443"/>
      <c r="J7" s="447"/>
      <c r="K7" s="74"/>
      <c r="L7" s="74"/>
      <c r="M7" s="74"/>
      <c r="N7" s="74"/>
      <c r="O7" s="74"/>
      <c r="P7" s="74"/>
      <c r="Q7" s="74"/>
      <c r="R7" s="445"/>
      <c r="S7" s="74"/>
      <c r="T7" s="74"/>
      <c r="U7" s="446">
        <v>0.0</v>
      </c>
      <c r="V7" s="74"/>
      <c r="W7" s="74"/>
      <c r="Z7" s="443"/>
      <c r="AA7" s="447"/>
      <c r="AB7" s="74"/>
      <c r="AC7" s="74"/>
      <c r="AD7" s="74"/>
      <c r="AE7" s="74"/>
      <c r="AF7" s="74"/>
      <c r="AG7" s="74"/>
      <c r="AH7" s="74"/>
      <c r="AI7" s="445"/>
      <c r="AJ7" s="74"/>
      <c r="AK7" s="74"/>
      <c r="AL7" s="446">
        <v>0.0</v>
      </c>
      <c r="AM7" s="74"/>
      <c r="AN7" s="74"/>
      <c r="AQ7" s="448">
        <f t="shared" si="1"/>
        <v>0</v>
      </c>
      <c r="AR7" s="449">
        <f t="shared" si="2"/>
        <v>0</v>
      </c>
      <c r="AS7" s="450">
        <f t="shared" si="3"/>
        <v>0</v>
      </c>
      <c r="AT7" s="449">
        <f t="shared" si="4"/>
        <v>0</v>
      </c>
      <c r="AU7" s="432"/>
      <c r="AV7" s="432"/>
      <c r="AW7" s="432"/>
      <c r="AX7" s="432"/>
      <c r="AY7" s="432"/>
      <c r="AZ7" s="432"/>
    </row>
    <row r="8" ht="15.75" customHeight="1">
      <c r="D8" s="12"/>
      <c r="F8" s="245"/>
      <c r="I8" s="443"/>
      <c r="J8" s="447"/>
      <c r="K8" s="74"/>
      <c r="L8" s="74"/>
      <c r="M8" s="74"/>
      <c r="N8" s="74"/>
      <c r="O8" s="74"/>
      <c r="P8" s="74"/>
      <c r="Q8" s="74"/>
      <c r="R8" s="445"/>
      <c r="S8" s="74"/>
      <c r="T8" s="74"/>
      <c r="U8" s="446">
        <v>0.0</v>
      </c>
      <c r="V8" s="74"/>
      <c r="W8" s="74"/>
      <c r="Z8" s="443"/>
      <c r="AA8" s="447"/>
      <c r="AB8" s="74"/>
      <c r="AC8" s="74"/>
      <c r="AD8" s="74"/>
      <c r="AE8" s="74"/>
      <c r="AF8" s="74"/>
      <c r="AG8" s="74"/>
      <c r="AH8" s="74"/>
      <c r="AI8" s="445"/>
      <c r="AJ8" s="74"/>
      <c r="AK8" s="74"/>
      <c r="AL8" s="446">
        <v>0.0</v>
      </c>
      <c r="AM8" s="74"/>
      <c r="AN8" s="74"/>
      <c r="AQ8" s="448">
        <f t="shared" si="1"/>
        <v>0</v>
      </c>
      <c r="AR8" s="449">
        <f t="shared" si="2"/>
        <v>0</v>
      </c>
      <c r="AS8" s="450">
        <f t="shared" si="3"/>
        <v>0</v>
      </c>
      <c r="AT8" s="449">
        <f t="shared" si="4"/>
        <v>0</v>
      </c>
      <c r="AU8" s="432"/>
      <c r="AV8" s="432"/>
      <c r="AW8" s="432"/>
      <c r="AX8" s="432"/>
      <c r="AY8" s="432"/>
      <c r="AZ8" s="432"/>
    </row>
    <row r="9" ht="15.75" customHeight="1">
      <c r="D9" s="452">
        <v>0.0</v>
      </c>
      <c r="E9" s="25"/>
      <c r="F9" s="25"/>
      <c r="G9" s="25"/>
      <c r="I9" s="443"/>
      <c r="J9" s="447"/>
      <c r="K9" s="74"/>
      <c r="L9" s="74"/>
      <c r="M9" s="74"/>
      <c r="N9" s="74"/>
      <c r="O9" s="74"/>
      <c r="P9" s="74"/>
      <c r="Q9" s="74"/>
      <c r="R9" s="451"/>
      <c r="S9" s="74"/>
      <c r="T9" s="74"/>
      <c r="U9" s="453">
        <v>0.0</v>
      </c>
      <c r="V9" s="74"/>
      <c r="W9" s="74"/>
      <c r="Z9" s="443"/>
      <c r="AA9" s="447"/>
      <c r="AB9" s="74"/>
      <c r="AC9" s="74"/>
      <c r="AD9" s="74"/>
      <c r="AE9" s="74"/>
      <c r="AF9" s="74"/>
      <c r="AG9" s="74"/>
      <c r="AH9" s="74"/>
      <c r="AI9" s="451"/>
      <c r="AJ9" s="74"/>
      <c r="AK9" s="74"/>
      <c r="AL9" s="446">
        <v>0.0</v>
      </c>
      <c r="AM9" s="74"/>
      <c r="AN9" s="74"/>
      <c r="AQ9" s="448">
        <f t="shared" si="1"/>
        <v>0</v>
      </c>
      <c r="AR9" s="449">
        <f t="shared" si="2"/>
        <v>0</v>
      </c>
      <c r="AS9" s="450">
        <f t="shared" si="3"/>
        <v>0</v>
      </c>
      <c r="AT9" s="449">
        <f t="shared" si="4"/>
        <v>0</v>
      </c>
      <c r="AU9" s="432"/>
      <c r="AV9" s="432"/>
      <c r="AW9" s="432"/>
      <c r="AX9" s="432"/>
      <c r="AY9" s="432"/>
      <c r="AZ9" s="432"/>
    </row>
    <row r="10" ht="15.75" customHeight="1">
      <c r="D10" s="31"/>
      <c r="E10" s="31"/>
      <c r="F10" s="31"/>
      <c r="G10" s="31"/>
      <c r="I10" s="443"/>
      <c r="J10" s="447"/>
      <c r="K10" s="74"/>
      <c r="L10" s="74"/>
      <c r="M10" s="74"/>
      <c r="N10" s="74"/>
      <c r="O10" s="74"/>
      <c r="P10" s="74"/>
      <c r="Q10" s="74"/>
      <c r="R10" s="445"/>
      <c r="S10" s="74"/>
      <c r="T10" s="74"/>
      <c r="U10" s="446">
        <v>0.0</v>
      </c>
      <c r="V10" s="74"/>
      <c r="W10" s="74"/>
      <c r="Z10" s="443"/>
      <c r="AA10" s="447"/>
      <c r="AB10" s="74"/>
      <c r="AC10" s="74"/>
      <c r="AD10" s="74"/>
      <c r="AE10" s="74"/>
      <c r="AF10" s="74"/>
      <c r="AG10" s="74"/>
      <c r="AH10" s="74"/>
      <c r="AI10" s="445"/>
      <c r="AJ10" s="74"/>
      <c r="AK10" s="74"/>
      <c r="AL10" s="446">
        <v>0.0</v>
      </c>
      <c r="AM10" s="74"/>
      <c r="AN10" s="74"/>
      <c r="AQ10" s="448">
        <f t="shared" si="1"/>
        <v>0</v>
      </c>
      <c r="AR10" s="449">
        <f t="shared" si="2"/>
        <v>0</v>
      </c>
      <c r="AS10" s="450">
        <f t="shared" si="3"/>
        <v>0</v>
      </c>
      <c r="AT10" s="449">
        <f t="shared" si="4"/>
        <v>0</v>
      </c>
      <c r="AU10" s="432"/>
      <c r="AV10" s="432"/>
      <c r="AW10" s="432"/>
      <c r="AX10" s="432"/>
      <c r="AY10" s="432"/>
      <c r="AZ10" s="432"/>
    </row>
    <row r="11" ht="15.75" customHeight="1">
      <c r="D11" s="12"/>
      <c r="F11" s="245"/>
      <c r="I11" s="443"/>
      <c r="J11" s="447"/>
      <c r="K11" s="74"/>
      <c r="L11" s="74"/>
      <c r="M11" s="74"/>
      <c r="N11" s="74"/>
      <c r="O11" s="74"/>
      <c r="P11" s="74"/>
      <c r="Q11" s="74"/>
      <c r="R11" s="445"/>
      <c r="S11" s="74"/>
      <c r="T11" s="74"/>
      <c r="U11" s="446">
        <v>0.0</v>
      </c>
      <c r="V11" s="74"/>
      <c r="W11" s="74"/>
      <c r="Z11" s="443"/>
      <c r="AA11" s="447"/>
      <c r="AB11" s="74"/>
      <c r="AC11" s="74"/>
      <c r="AD11" s="74"/>
      <c r="AE11" s="74"/>
      <c r="AF11" s="74"/>
      <c r="AG11" s="74"/>
      <c r="AH11" s="74"/>
      <c r="AI11" s="445"/>
      <c r="AJ11" s="74"/>
      <c r="AK11" s="74"/>
      <c r="AL11" s="453">
        <v>0.0</v>
      </c>
      <c r="AM11" s="74"/>
      <c r="AN11" s="74"/>
      <c r="AQ11" s="448">
        <f t="shared" si="1"/>
        <v>0</v>
      </c>
      <c r="AR11" s="449">
        <f t="shared" si="2"/>
        <v>0</v>
      </c>
      <c r="AS11" s="450">
        <f t="shared" si="3"/>
        <v>0</v>
      </c>
      <c r="AT11" s="449">
        <f t="shared" si="4"/>
        <v>0</v>
      </c>
      <c r="AU11" s="432"/>
      <c r="AV11" s="432"/>
      <c r="AW11" s="432"/>
      <c r="AX11" s="432"/>
      <c r="AY11" s="432"/>
      <c r="AZ11" s="432"/>
    </row>
    <row r="12" ht="15.75" customHeight="1">
      <c r="D12" s="363">
        <v>49.0</v>
      </c>
      <c r="E12" s="25"/>
      <c r="F12" s="25"/>
      <c r="G12" s="25"/>
      <c r="I12" s="443"/>
      <c r="J12" s="447"/>
      <c r="K12" s="74"/>
      <c r="L12" s="74"/>
      <c r="M12" s="74"/>
      <c r="N12" s="74"/>
      <c r="O12" s="74"/>
      <c r="P12" s="74"/>
      <c r="Q12" s="74"/>
      <c r="R12" s="445"/>
      <c r="S12" s="74"/>
      <c r="T12" s="74"/>
      <c r="U12" s="446">
        <v>0.0</v>
      </c>
      <c r="V12" s="74"/>
      <c r="W12" s="74"/>
      <c r="Z12" s="443"/>
      <c r="AA12" s="447"/>
      <c r="AB12" s="74"/>
      <c r="AC12" s="74"/>
      <c r="AD12" s="74"/>
      <c r="AE12" s="74"/>
      <c r="AF12" s="74"/>
      <c r="AG12" s="74"/>
      <c r="AH12" s="74"/>
      <c r="AI12" s="454"/>
      <c r="AJ12" s="74"/>
      <c r="AK12" s="74"/>
      <c r="AL12" s="446">
        <v>0.0</v>
      </c>
      <c r="AM12" s="74"/>
      <c r="AN12" s="74"/>
      <c r="AQ12" s="448">
        <f t="shared" si="1"/>
        <v>0</v>
      </c>
      <c r="AR12" s="449">
        <f t="shared" si="2"/>
        <v>0</v>
      </c>
      <c r="AS12" s="450">
        <f t="shared" si="3"/>
        <v>0</v>
      </c>
      <c r="AT12" s="449">
        <f t="shared" si="4"/>
        <v>0</v>
      </c>
      <c r="AU12" s="432"/>
      <c r="AV12" s="432"/>
      <c r="AW12" s="432"/>
      <c r="AX12" s="432"/>
      <c r="AY12" s="432"/>
      <c r="AZ12" s="432"/>
    </row>
    <row r="13" ht="15.75" customHeight="1">
      <c r="D13" s="31"/>
      <c r="E13" s="31"/>
      <c r="F13" s="31"/>
      <c r="G13" s="31"/>
      <c r="I13" s="443"/>
      <c r="J13" s="447"/>
      <c r="K13" s="74"/>
      <c r="L13" s="74"/>
      <c r="M13" s="74"/>
      <c r="N13" s="74"/>
      <c r="O13" s="74"/>
      <c r="P13" s="74"/>
      <c r="Q13" s="74"/>
      <c r="R13" s="451"/>
      <c r="S13" s="74"/>
      <c r="T13" s="74"/>
      <c r="U13" s="446">
        <v>0.0</v>
      </c>
      <c r="V13" s="74"/>
      <c r="W13" s="74"/>
      <c r="Z13" s="443"/>
      <c r="AA13" s="447"/>
      <c r="AB13" s="74"/>
      <c r="AC13" s="74"/>
      <c r="AD13" s="74"/>
      <c r="AE13" s="74"/>
      <c r="AF13" s="74"/>
      <c r="AG13" s="74"/>
      <c r="AH13" s="74"/>
      <c r="AI13" s="451"/>
      <c r="AJ13" s="74"/>
      <c r="AK13" s="74"/>
      <c r="AL13" s="446">
        <v>0.0</v>
      </c>
      <c r="AM13" s="74"/>
      <c r="AN13" s="74"/>
      <c r="AQ13" s="448">
        <f t="shared" si="1"/>
        <v>0</v>
      </c>
      <c r="AR13" s="449">
        <f t="shared" si="2"/>
        <v>0</v>
      </c>
      <c r="AS13" s="450">
        <f t="shared" si="3"/>
        <v>0</v>
      </c>
      <c r="AT13" s="449">
        <f t="shared" si="4"/>
        <v>0</v>
      </c>
      <c r="AU13" s="432"/>
      <c r="AV13" s="432"/>
      <c r="AW13" s="432"/>
      <c r="AX13" s="432"/>
      <c r="AY13" s="432"/>
      <c r="AZ13" s="432"/>
    </row>
    <row r="14" ht="15.75" customHeight="1">
      <c r="D14" s="12"/>
      <c r="F14" s="245"/>
      <c r="I14" s="443"/>
      <c r="J14" s="447"/>
      <c r="K14" s="74"/>
      <c r="L14" s="74"/>
      <c r="M14" s="74"/>
      <c r="N14" s="74"/>
      <c r="O14" s="74"/>
      <c r="P14" s="74"/>
      <c r="Q14" s="74"/>
      <c r="R14" s="445"/>
      <c r="S14" s="74"/>
      <c r="T14" s="74"/>
      <c r="U14" s="446">
        <v>0.0</v>
      </c>
      <c r="V14" s="74"/>
      <c r="W14" s="74"/>
      <c r="Z14" s="443"/>
      <c r="AA14" s="447"/>
      <c r="AB14" s="74"/>
      <c r="AC14" s="74"/>
      <c r="AD14" s="74"/>
      <c r="AE14" s="74"/>
      <c r="AF14" s="74"/>
      <c r="AG14" s="74"/>
      <c r="AH14" s="74"/>
      <c r="AI14" s="445"/>
      <c r="AJ14" s="74"/>
      <c r="AK14" s="74"/>
      <c r="AL14" s="446">
        <v>0.0</v>
      </c>
      <c r="AM14" s="74"/>
      <c r="AN14" s="74"/>
      <c r="AQ14" s="448">
        <f t="shared" si="1"/>
        <v>0</v>
      </c>
      <c r="AR14" s="449">
        <f t="shared" si="2"/>
        <v>0</v>
      </c>
      <c r="AS14" s="450">
        <f t="shared" si="3"/>
        <v>0</v>
      </c>
      <c r="AT14" s="449">
        <f t="shared" si="4"/>
        <v>0</v>
      </c>
      <c r="AU14" s="432"/>
      <c r="AV14" s="432"/>
      <c r="AW14" s="432"/>
      <c r="AX14" s="432"/>
      <c r="AY14" s="432"/>
      <c r="AZ14" s="432"/>
    </row>
    <row r="15" ht="15.75" customHeight="1">
      <c r="D15" s="364">
        <v>0.0</v>
      </c>
      <c r="E15" s="25"/>
      <c r="F15" s="25"/>
      <c r="G15" s="25"/>
      <c r="I15" s="443"/>
      <c r="J15" s="447"/>
      <c r="K15" s="74"/>
      <c r="L15" s="74"/>
      <c r="M15" s="74"/>
      <c r="N15" s="74"/>
      <c r="O15" s="74"/>
      <c r="P15" s="74"/>
      <c r="Q15" s="74"/>
      <c r="R15" s="445"/>
      <c r="S15" s="74"/>
      <c r="T15" s="74"/>
      <c r="U15" s="446">
        <v>0.0</v>
      </c>
      <c r="V15" s="74"/>
      <c r="W15" s="74"/>
      <c r="Z15" s="443"/>
      <c r="AA15" s="447"/>
      <c r="AB15" s="74"/>
      <c r="AC15" s="74"/>
      <c r="AD15" s="74"/>
      <c r="AE15" s="74"/>
      <c r="AF15" s="74"/>
      <c r="AG15" s="74"/>
      <c r="AH15" s="74"/>
      <c r="AI15" s="445"/>
      <c r="AJ15" s="74"/>
      <c r="AK15" s="74"/>
      <c r="AL15" s="446">
        <v>0.0</v>
      </c>
      <c r="AM15" s="74"/>
      <c r="AN15" s="74"/>
      <c r="AQ15" s="448">
        <f t="shared" si="1"/>
        <v>0</v>
      </c>
      <c r="AR15" s="449">
        <f t="shared" si="2"/>
        <v>0</v>
      </c>
      <c r="AS15" s="450">
        <f t="shared" si="3"/>
        <v>0</v>
      </c>
      <c r="AT15" s="449">
        <f t="shared" si="4"/>
        <v>0</v>
      </c>
      <c r="AU15" s="432"/>
      <c r="AV15" s="432"/>
      <c r="AW15" s="432"/>
      <c r="AX15" s="432"/>
      <c r="AY15" s="432"/>
      <c r="AZ15" s="432"/>
    </row>
    <row r="16" ht="15.75" customHeight="1">
      <c r="D16" s="31"/>
      <c r="E16" s="31"/>
      <c r="F16" s="31"/>
      <c r="G16" s="31"/>
      <c r="I16" s="443"/>
      <c r="J16" s="447"/>
      <c r="K16" s="74"/>
      <c r="L16" s="74"/>
      <c r="M16" s="74"/>
      <c r="N16" s="74"/>
      <c r="O16" s="74"/>
      <c r="P16" s="74"/>
      <c r="Q16" s="74"/>
      <c r="R16" s="445"/>
      <c r="S16" s="74"/>
      <c r="T16" s="74"/>
      <c r="U16" s="446">
        <v>0.0</v>
      </c>
      <c r="V16" s="74"/>
      <c r="W16" s="74"/>
      <c r="Z16" s="443"/>
      <c r="AA16" s="447"/>
      <c r="AB16" s="74"/>
      <c r="AC16" s="74"/>
      <c r="AD16" s="74"/>
      <c r="AE16" s="74"/>
      <c r="AF16" s="74"/>
      <c r="AG16" s="74"/>
      <c r="AH16" s="74"/>
      <c r="AI16" s="445"/>
      <c r="AJ16" s="74"/>
      <c r="AK16" s="74"/>
      <c r="AL16" s="446">
        <v>0.0</v>
      </c>
      <c r="AM16" s="74"/>
      <c r="AN16" s="74"/>
      <c r="AQ16" s="448">
        <f t="shared" si="1"/>
        <v>0</v>
      </c>
      <c r="AR16" s="449">
        <f t="shared" si="2"/>
        <v>0</v>
      </c>
      <c r="AS16" s="450">
        <f t="shared" si="3"/>
        <v>0</v>
      </c>
      <c r="AT16" s="449">
        <f t="shared" si="4"/>
        <v>0</v>
      </c>
      <c r="AU16" s="432"/>
      <c r="AV16" s="432"/>
      <c r="AW16" s="432"/>
      <c r="AX16" s="432"/>
      <c r="AY16" s="432"/>
      <c r="AZ16" s="432"/>
    </row>
    <row r="17" ht="15.75" customHeight="1">
      <c r="D17" s="455"/>
      <c r="E17" s="171"/>
      <c r="F17" s="171"/>
      <c r="G17" s="456"/>
      <c r="H17" s="171"/>
      <c r="I17" s="443"/>
      <c r="J17" s="447"/>
      <c r="K17" s="74"/>
      <c r="L17" s="74"/>
      <c r="M17" s="74"/>
      <c r="N17" s="74"/>
      <c r="O17" s="74"/>
      <c r="P17" s="74"/>
      <c r="Q17" s="74"/>
      <c r="R17" s="445"/>
      <c r="S17" s="74"/>
      <c r="T17" s="74"/>
      <c r="U17" s="446">
        <v>0.0</v>
      </c>
      <c r="V17" s="74"/>
      <c r="W17" s="74"/>
      <c r="Z17" s="443"/>
      <c r="AA17" s="447"/>
      <c r="AB17" s="74"/>
      <c r="AC17" s="74"/>
      <c r="AD17" s="74"/>
      <c r="AE17" s="74"/>
      <c r="AF17" s="74"/>
      <c r="AG17" s="74"/>
      <c r="AH17" s="74"/>
      <c r="AI17" s="445"/>
      <c r="AJ17" s="74"/>
      <c r="AK17" s="74"/>
      <c r="AL17" s="446">
        <v>0.0</v>
      </c>
      <c r="AM17" s="74"/>
      <c r="AN17" s="74"/>
      <c r="AQ17" s="448">
        <f t="shared" si="1"/>
        <v>0</v>
      </c>
      <c r="AR17" s="449">
        <f t="shared" si="2"/>
        <v>0</v>
      </c>
      <c r="AS17" s="450">
        <f t="shared" si="3"/>
        <v>0</v>
      </c>
      <c r="AT17" s="449">
        <f t="shared" si="4"/>
        <v>0</v>
      </c>
      <c r="AU17" s="432"/>
      <c r="AV17" s="432"/>
      <c r="AW17" s="432"/>
      <c r="AX17" s="432"/>
      <c r="AY17" s="432"/>
      <c r="AZ17" s="432"/>
    </row>
    <row r="18" ht="15.75" customHeight="1">
      <c r="D18" s="12"/>
      <c r="G18" s="245"/>
      <c r="H18" s="457" t="str">
        <f>IMAGE("http://i.imgur.com/hVYvCFW.png",2)</f>
        <v/>
      </c>
      <c r="I18" s="443"/>
      <c r="J18" s="447"/>
      <c r="K18" s="74"/>
      <c r="L18" s="74"/>
      <c r="M18" s="74"/>
      <c r="N18" s="74"/>
      <c r="O18" s="74"/>
      <c r="P18" s="74"/>
      <c r="Q18" s="74"/>
      <c r="R18" s="445"/>
      <c r="S18" s="74"/>
      <c r="T18" s="74"/>
      <c r="U18" s="446">
        <v>0.0</v>
      </c>
      <c r="V18" s="74"/>
      <c r="W18" s="74"/>
      <c r="Z18" s="443"/>
      <c r="AA18" s="447"/>
      <c r="AB18" s="74"/>
      <c r="AC18" s="74"/>
      <c r="AD18" s="74"/>
      <c r="AE18" s="74"/>
      <c r="AF18" s="74"/>
      <c r="AG18" s="74"/>
      <c r="AH18" s="74"/>
      <c r="AI18" s="445"/>
      <c r="AJ18" s="74"/>
      <c r="AK18" s="74"/>
      <c r="AL18" s="446">
        <v>0.0</v>
      </c>
      <c r="AM18" s="74"/>
      <c r="AN18" s="74"/>
      <c r="AQ18" s="448">
        <f t="shared" si="1"/>
        <v>0</v>
      </c>
      <c r="AR18" s="449">
        <f t="shared" si="2"/>
        <v>0</v>
      </c>
      <c r="AS18" s="450">
        <f t="shared" si="3"/>
        <v>0</v>
      </c>
      <c r="AT18" s="449">
        <f t="shared" si="4"/>
        <v>0</v>
      </c>
      <c r="AU18" s="432"/>
      <c r="AV18" s="432"/>
      <c r="AW18" s="432"/>
      <c r="AX18" s="432"/>
      <c r="AY18" s="432"/>
      <c r="AZ18" s="432"/>
    </row>
    <row r="19" ht="15.75" customHeight="1">
      <c r="D19" s="90" t="s">
        <v>313</v>
      </c>
      <c r="E19" s="458">
        <f>SUM(D3*0.01+D6*0.1+D9*0.5+D12+D15*10)</f>
        <v>49</v>
      </c>
      <c r="F19" s="70"/>
      <c r="G19" s="70"/>
      <c r="I19" s="443"/>
      <c r="J19" s="447"/>
      <c r="K19" s="74"/>
      <c r="L19" s="74"/>
      <c r="M19" s="74"/>
      <c r="N19" s="74"/>
      <c r="O19" s="74"/>
      <c r="P19" s="74"/>
      <c r="Q19" s="74"/>
      <c r="R19" s="451"/>
      <c r="S19" s="74"/>
      <c r="T19" s="74"/>
      <c r="U19" s="446">
        <v>0.0</v>
      </c>
      <c r="V19" s="74"/>
      <c r="W19" s="74"/>
      <c r="Z19" s="443"/>
      <c r="AA19" s="447"/>
      <c r="AB19" s="74"/>
      <c r="AC19" s="74"/>
      <c r="AD19" s="74"/>
      <c r="AE19" s="74"/>
      <c r="AF19" s="74"/>
      <c r="AG19" s="74"/>
      <c r="AH19" s="74"/>
      <c r="AI19" s="451"/>
      <c r="AJ19" s="74"/>
      <c r="AK19" s="74"/>
      <c r="AL19" s="446">
        <v>0.0</v>
      </c>
      <c r="AM19" s="74"/>
      <c r="AN19" s="74"/>
      <c r="AQ19" s="448">
        <f t="shared" si="1"/>
        <v>0</v>
      </c>
      <c r="AR19" s="449">
        <f t="shared" si="2"/>
        <v>0</v>
      </c>
      <c r="AS19" s="450">
        <f t="shared" si="3"/>
        <v>0</v>
      </c>
      <c r="AT19" s="449">
        <f t="shared" si="4"/>
        <v>0</v>
      </c>
      <c r="AU19" s="432"/>
      <c r="AV19" s="432"/>
      <c r="AW19" s="432"/>
      <c r="AX19" s="432"/>
      <c r="AY19" s="432"/>
      <c r="AZ19" s="432"/>
    </row>
    <row r="20" ht="15.75" customHeight="1">
      <c r="D20" s="459">
        <f>SUM(AQ3:AQ76)+SUM(AS3:AS76)</f>
        <v>0</v>
      </c>
      <c r="I20" s="443"/>
      <c r="J20" s="447"/>
      <c r="K20" s="74"/>
      <c r="L20" s="74"/>
      <c r="M20" s="74"/>
      <c r="N20" s="74"/>
      <c r="O20" s="74"/>
      <c r="P20" s="74"/>
      <c r="Q20" s="74"/>
      <c r="R20" s="451"/>
      <c r="S20" s="74"/>
      <c r="T20" s="74"/>
      <c r="U20" s="446">
        <v>0.0</v>
      </c>
      <c r="V20" s="74"/>
      <c r="W20" s="74"/>
      <c r="Z20" s="443"/>
      <c r="AA20" s="447"/>
      <c r="AB20" s="74"/>
      <c r="AC20" s="74"/>
      <c r="AD20" s="74"/>
      <c r="AE20" s="74"/>
      <c r="AF20" s="74"/>
      <c r="AG20" s="74"/>
      <c r="AH20" s="74"/>
      <c r="AI20" s="451"/>
      <c r="AJ20" s="74"/>
      <c r="AK20" s="74"/>
      <c r="AL20" s="446">
        <v>0.0</v>
      </c>
      <c r="AM20" s="74"/>
      <c r="AN20" s="74"/>
      <c r="AQ20" s="448">
        <f t="shared" si="1"/>
        <v>0</v>
      </c>
      <c r="AR20" s="449">
        <f t="shared" si="2"/>
        <v>0</v>
      </c>
      <c r="AS20" s="450">
        <f t="shared" si="3"/>
        <v>0</v>
      </c>
      <c r="AT20" s="449">
        <f t="shared" si="4"/>
        <v>0</v>
      </c>
      <c r="AU20" s="432"/>
      <c r="AV20" s="432"/>
      <c r="AW20" s="432"/>
      <c r="AX20" s="432"/>
      <c r="AY20" s="432"/>
      <c r="AZ20" s="432"/>
    </row>
    <row r="21" ht="15.75" customHeight="1">
      <c r="I21" s="443"/>
      <c r="J21" s="447"/>
      <c r="K21" s="74"/>
      <c r="L21" s="74"/>
      <c r="M21" s="74"/>
      <c r="N21" s="74"/>
      <c r="O21" s="74"/>
      <c r="P21" s="74"/>
      <c r="Q21" s="74"/>
      <c r="R21" s="445"/>
      <c r="S21" s="74"/>
      <c r="T21" s="74"/>
      <c r="U21" s="446">
        <v>0.0</v>
      </c>
      <c r="V21" s="74"/>
      <c r="W21" s="74"/>
      <c r="Z21" s="443"/>
      <c r="AA21" s="447"/>
      <c r="AB21" s="74"/>
      <c r="AC21" s="74"/>
      <c r="AD21" s="74"/>
      <c r="AE21" s="74"/>
      <c r="AF21" s="74"/>
      <c r="AG21" s="74"/>
      <c r="AH21" s="74"/>
      <c r="AI21" s="445"/>
      <c r="AJ21" s="74"/>
      <c r="AK21" s="74"/>
      <c r="AL21" s="446">
        <v>0.0</v>
      </c>
      <c r="AM21" s="74"/>
      <c r="AN21" s="74"/>
      <c r="AQ21" s="448">
        <f t="shared" si="1"/>
        <v>0</v>
      </c>
      <c r="AR21" s="449">
        <f t="shared" si="2"/>
        <v>0</v>
      </c>
      <c r="AS21" s="450">
        <f t="shared" si="3"/>
        <v>0</v>
      </c>
      <c r="AT21" s="449">
        <f t="shared" si="4"/>
        <v>0</v>
      </c>
      <c r="AU21" s="432"/>
      <c r="AV21" s="432"/>
      <c r="AW21" s="432"/>
      <c r="AX21" s="432"/>
      <c r="AY21" s="432"/>
      <c r="AZ21" s="432"/>
    </row>
    <row r="22" ht="15.75" customHeight="1">
      <c r="D22" s="180" t="s">
        <v>296</v>
      </c>
      <c r="E22" s="31"/>
      <c r="F22" s="31"/>
      <c r="G22" s="31"/>
      <c r="I22" s="443"/>
      <c r="J22" s="447"/>
      <c r="K22" s="74"/>
      <c r="L22" s="74"/>
      <c r="M22" s="74"/>
      <c r="N22" s="74"/>
      <c r="O22" s="74"/>
      <c r="P22" s="74"/>
      <c r="Q22" s="74"/>
      <c r="R22" s="445"/>
      <c r="S22" s="74"/>
      <c r="T22" s="74"/>
      <c r="U22" s="446">
        <v>0.0</v>
      </c>
      <c r="V22" s="74"/>
      <c r="W22" s="74"/>
      <c r="Z22" s="443"/>
      <c r="AA22" s="447"/>
      <c r="AB22" s="74"/>
      <c r="AC22" s="74"/>
      <c r="AD22" s="74"/>
      <c r="AE22" s="74"/>
      <c r="AF22" s="74"/>
      <c r="AG22" s="74"/>
      <c r="AH22" s="74"/>
      <c r="AI22" s="445"/>
      <c r="AJ22" s="74"/>
      <c r="AK22" s="74"/>
      <c r="AL22" s="446">
        <v>0.0</v>
      </c>
      <c r="AM22" s="74"/>
      <c r="AN22" s="74"/>
      <c r="AQ22" s="448">
        <f t="shared" si="1"/>
        <v>0</v>
      </c>
      <c r="AR22" s="449">
        <f t="shared" si="2"/>
        <v>0</v>
      </c>
      <c r="AS22" s="450">
        <f t="shared" si="3"/>
        <v>0</v>
      </c>
      <c r="AT22" s="449">
        <f t="shared" si="4"/>
        <v>0</v>
      </c>
      <c r="AU22" s="432"/>
      <c r="AV22" s="432"/>
      <c r="AW22" s="432"/>
      <c r="AX22" s="432"/>
      <c r="AY22" s="432"/>
      <c r="AZ22" s="432"/>
    </row>
    <row r="23" ht="15.75" customHeight="1">
      <c r="D23" s="12"/>
      <c r="I23" s="443"/>
      <c r="J23" s="447"/>
      <c r="K23" s="74"/>
      <c r="L23" s="74"/>
      <c r="M23" s="74"/>
      <c r="N23" s="74"/>
      <c r="O23" s="74"/>
      <c r="P23" s="74"/>
      <c r="Q23" s="74"/>
      <c r="R23" s="445"/>
      <c r="S23" s="74"/>
      <c r="T23" s="74"/>
      <c r="U23" s="446">
        <v>0.0</v>
      </c>
      <c r="V23" s="74"/>
      <c r="W23" s="74"/>
      <c r="Z23" s="443"/>
      <c r="AA23" s="447"/>
      <c r="AB23" s="74"/>
      <c r="AC23" s="74"/>
      <c r="AD23" s="74"/>
      <c r="AE23" s="74"/>
      <c r="AF23" s="74"/>
      <c r="AG23" s="74"/>
      <c r="AH23" s="74"/>
      <c r="AI23" s="445"/>
      <c r="AJ23" s="74"/>
      <c r="AK23" s="74"/>
      <c r="AL23" s="446">
        <v>0.0</v>
      </c>
      <c r="AM23" s="74"/>
      <c r="AN23" s="74"/>
      <c r="AQ23" s="448">
        <f t="shared" si="1"/>
        <v>0</v>
      </c>
      <c r="AR23" s="449">
        <f t="shared" si="2"/>
        <v>0</v>
      </c>
      <c r="AS23" s="450">
        <f t="shared" si="3"/>
        <v>0</v>
      </c>
      <c r="AT23" s="449">
        <f t="shared" si="4"/>
        <v>0</v>
      </c>
      <c r="AU23" s="432"/>
      <c r="AV23" s="432"/>
      <c r="AW23" s="432"/>
      <c r="AX23" s="432"/>
      <c r="AY23" s="432"/>
      <c r="AZ23" s="432"/>
    </row>
    <row r="24" ht="15.75" customHeight="1">
      <c r="D24" s="90" t="s">
        <v>314</v>
      </c>
      <c r="E24" s="460">
        <f>if(strength="-","-",strength*15*(if(isnumber(find("powerful build",lower(concatenate(v2.1!C59:AC84)))),2,1)))</f>
        <v>120</v>
      </c>
      <c r="F24" s="70"/>
      <c r="G24" s="70"/>
      <c r="I24" s="443"/>
      <c r="J24" s="447"/>
      <c r="K24" s="74"/>
      <c r="L24" s="74"/>
      <c r="M24" s="74"/>
      <c r="N24" s="74"/>
      <c r="O24" s="74"/>
      <c r="P24" s="74"/>
      <c r="Q24" s="74"/>
      <c r="R24" s="445"/>
      <c r="S24" s="74"/>
      <c r="T24" s="74"/>
      <c r="U24" s="446">
        <v>0.0</v>
      </c>
      <c r="V24" s="74"/>
      <c r="W24" s="74"/>
      <c r="Z24" s="443"/>
      <c r="AA24" s="447"/>
      <c r="AB24" s="74"/>
      <c r="AC24" s="74"/>
      <c r="AD24" s="74"/>
      <c r="AE24" s="74"/>
      <c r="AF24" s="74"/>
      <c r="AG24" s="74"/>
      <c r="AH24" s="74"/>
      <c r="AI24" s="445"/>
      <c r="AJ24" s="74"/>
      <c r="AK24" s="74"/>
      <c r="AL24" s="446">
        <v>0.0</v>
      </c>
      <c r="AM24" s="74"/>
      <c r="AN24" s="74"/>
      <c r="AQ24" s="448">
        <f t="shared" si="1"/>
        <v>0</v>
      </c>
      <c r="AR24" s="449">
        <f t="shared" si="2"/>
        <v>0</v>
      </c>
      <c r="AS24" s="450">
        <f t="shared" si="3"/>
        <v>0</v>
      </c>
      <c r="AT24" s="449">
        <f t="shared" si="4"/>
        <v>0</v>
      </c>
      <c r="AU24" s="432"/>
      <c r="AV24" s="432"/>
      <c r="AW24" s="432"/>
      <c r="AX24" s="432"/>
      <c r="AY24" s="432"/>
      <c r="AZ24" s="432"/>
    </row>
    <row r="25" ht="15.75" customHeight="1">
      <c r="D25" s="461">
        <f>SUM(AR3:AR76)+SUM(AT3:AT76)+SUM(D3,D6,D9,D12,D15)*0.02</f>
        <v>0.98</v>
      </c>
      <c r="I25" s="443"/>
      <c r="J25" s="447"/>
      <c r="K25" s="74"/>
      <c r="L25" s="74"/>
      <c r="M25" s="74"/>
      <c r="N25" s="74"/>
      <c r="O25" s="74"/>
      <c r="P25" s="74"/>
      <c r="Q25" s="74"/>
      <c r="R25" s="451"/>
      <c r="S25" s="74"/>
      <c r="T25" s="74"/>
      <c r="U25" s="446">
        <v>0.0</v>
      </c>
      <c r="V25" s="74"/>
      <c r="W25" s="74"/>
      <c r="Z25" s="443"/>
      <c r="AA25" s="447"/>
      <c r="AB25" s="74"/>
      <c r="AC25" s="74"/>
      <c r="AD25" s="74"/>
      <c r="AE25" s="74"/>
      <c r="AF25" s="74"/>
      <c r="AG25" s="74"/>
      <c r="AH25" s="74"/>
      <c r="AI25" s="451"/>
      <c r="AJ25" s="74"/>
      <c r="AK25" s="74"/>
      <c r="AL25" s="446">
        <v>0.0</v>
      </c>
      <c r="AM25" s="74"/>
      <c r="AN25" s="74"/>
      <c r="AQ25" s="448">
        <f t="shared" si="1"/>
        <v>0</v>
      </c>
      <c r="AR25" s="449">
        <f t="shared" si="2"/>
        <v>0</v>
      </c>
      <c r="AS25" s="450">
        <f t="shared" si="3"/>
        <v>0</v>
      </c>
      <c r="AT25" s="449">
        <f t="shared" si="4"/>
        <v>0</v>
      </c>
      <c r="AU25" s="432"/>
      <c r="AV25" s="432"/>
      <c r="AW25" s="432"/>
      <c r="AX25" s="432"/>
      <c r="AY25" s="432"/>
      <c r="AZ25" s="432"/>
    </row>
    <row r="26" ht="15.75" customHeight="1">
      <c r="I26" s="443"/>
      <c r="J26" s="447"/>
      <c r="K26" s="74"/>
      <c r="L26" s="74"/>
      <c r="M26" s="74"/>
      <c r="N26" s="74"/>
      <c r="O26" s="74"/>
      <c r="P26" s="74"/>
      <c r="Q26" s="74"/>
      <c r="R26" s="445"/>
      <c r="S26" s="74"/>
      <c r="T26" s="74"/>
      <c r="U26" s="446">
        <v>0.0</v>
      </c>
      <c r="V26" s="74"/>
      <c r="W26" s="74"/>
      <c r="Z26" s="443"/>
      <c r="AA26" s="447"/>
      <c r="AB26" s="74"/>
      <c r="AC26" s="74"/>
      <c r="AD26" s="74"/>
      <c r="AE26" s="74"/>
      <c r="AF26" s="74"/>
      <c r="AG26" s="74"/>
      <c r="AH26" s="74"/>
      <c r="AI26" s="445"/>
      <c r="AJ26" s="74"/>
      <c r="AK26" s="74"/>
      <c r="AL26" s="446">
        <v>0.0</v>
      </c>
      <c r="AM26" s="74"/>
      <c r="AN26" s="74"/>
      <c r="AQ26" s="448">
        <f t="shared" si="1"/>
        <v>0</v>
      </c>
      <c r="AR26" s="449">
        <f t="shared" si="2"/>
        <v>0</v>
      </c>
      <c r="AS26" s="450">
        <f t="shared" si="3"/>
        <v>0</v>
      </c>
      <c r="AT26" s="449">
        <f t="shared" si="4"/>
        <v>0</v>
      </c>
      <c r="AU26" s="432"/>
      <c r="AV26" s="432"/>
      <c r="AW26" s="432"/>
      <c r="AX26" s="432"/>
      <c r="AY26" s="432"/>
      <c r="AZ26" s="432"/>
    </row>
    <row r="27" ht="15.75" customHeight="1">
      <c r="D27" s="180" t="s">
        <v>205</v>
      </c>
      <c r="E27" s="31"/>
      <c r="F27" s="31"/>
      <c r="G27" s="31"/>
      <c r="I27" s="443"/>
      <c r="J27" s="447"/>
      <c r="K27" s="74"/>
      <c r="L27" s="74"/>
      <c r="M27" s="74"/>
      <c r="N27" s="74"/>
      <c r="O27" s="74"/>
      <c r="P27" s="74"/>
      <c r="Q27" s="74"/>
      <c r="R27" s="445"/>
      <c r="S27" s="74"/>
      <c r="T27" s="74"/>
      <c r="U27" s="446">
        <v>0.0</v>
      </c>
      <c r="V27" s="74"/>
      <c r="W27" s="74"/>
      <c r="Z27" s="443"/>
      <c r="AA27" s="447"/>
      <c r="AB27" s="74"/>
      <c r="AC27" s="74"/>
      <c r="AD27" s="74"/>
      <c r="AE27" s="74"/>
      <c r="AF27" s="74"/>
      <c r="AG27" s="74"/>
      <c r="AH27" s="74"/>
      <c r="AI27" s="445"/>
      <c r="AJ27" s="74"/>
      <c r="AK27" s="74"/>
      <c r="AL27" s="446">
        <v>0.0</v>
      </c>
      <c r="AM27" s="74"/>
      <c r="AN27" s="74"/>
      <c r="AQ27" s="448">
        <f t="shared" si="1"/>
        <v>0</v>
      </c>
      <c r="AR27" s="449">
        <f t="shared" si="2"/>
        <v>0</v>
      </c>
      <c r="AS27" s="450">
        <f t="shared" si="3"/>
        <v>0</v>
      </c>
      <c r="AT27" s="449">
        <f t="shared" si="4"/>
        <v>0</v>
      </c>
      <c r="AU27" s="432"/>
      <c r="AV27" s="432"/>
      <c r="AW27" s="432"/>
      <c r="AX27" s="432"/>
      <c r="AY27" s="432"/>
      <c r="AZ27" s="432"/>
    </row>
    <row r="28" ht="15.75" customHeight="1">
      <c r="D28" s="456"/>
      <c r="E28" s="462"/>
      <c r="F28" s="462"/>
      <c r="G28" s="270"/>
      <c r="H28" s="171"/>
      <c r="I28" s="443"/>
      <c r="J28" s="447"/>
      <c r="K28" s="74"/>
      <c r="L28" s="74"/>
      <c r="M28" s="74"/>
      <c r="N28" s="74"/>
      <c r="O28" s="74"/>
      <c r="P28" s="74"/>
      <c r="Q28" s="74"/>
      <c r="R28" s="445"/>
      <c r="S28" s="74"/>
      <c r="T28" s="74"/>
      <c r="U28" s="446">
        <v>0.0</v>
      </c>
      <c r="V28" s="74"/>
      <c r="W28" s="74"/>
      <c r="Z28" s="443"/>
      <c r="AA28" s="447"/>
      <c r="AB28" s="74"/>
      <c r="AC28" s="74"/>
      <c r="AD28" s="74"/>
      <c r="AE28" s="74"/>
      <c r="AF28" s="74"/>
      <c r="AG28" s="74"/>
      <c r="AH28" s="74"/>
      <c r="AI28" s="445"/>
      <c r="AJ28" s="74"/>
      <c r="AK28" s="74"/>
      <c r="AL28" s="446">
        <v>0.0</v>
      </c>
      <c r="AM28" s="74"/>
      <c r="AN28" s="74"/>
      <c r="AQ28" s="448">
        <f t="shared" si="1"/>
        <v>0</v>
      </c>
      <c r="AR28" s="449">
        <f t="shared" si="2"/>
        <v>0</v>
      </c>
      <c r="AS28" s="450">
        <f t="shared" si="3"/>
        <v>0</v>
      </c>
      <c r="AT28" s="449">
        <f t="shared" si="4"/>
        <v>0</v>
      </c>
      <c r="AU28" s="432"/>
      <c r="AV28" s="432"/>
      <c r="AW28" s="432"/>
      <c r="AX28" s="432"/>
      <c r="AY28" s="432"/>
      <c r="AZ28" s="432"/>
    </row>
    <row r="29" ht="15.75" customHeight="1">
      <c r="D29" s="463"/>
      <c r="E29" s="171"/>
      <c r="F29" s="171"/>
      <c r="G29" s="171"/>
      <c r="H29" s="171"/>
      <c r="I29" s="443"/>
      <c r="J29" s="447"/>
      <c r="K29" s="74"/>
      <c r="L29" s="74"/>
      <c r="M29" s="74"/>
      <c r="N29" s="74"/>
      <c r="O29" s="74"/>
      <c r="P29" s="74"/>
      <c r="Q29" s="74"/>
      <c r="R29" s="445"/>
      <c r="S29" s="74"/>
      <c r="T29" s="74"/>
      <c r="U29" s="446">
        <v>0.0</v>
      </c>
      <c r="V29" s="74"/>
      <c r="W29" s="74"/>
      <c r="Z29" s="443"/>
      <c r="AA29" s="447"/>
      <c r="AB29" s="74"/>
      <c r="AC29" s="74"/>
      <c r="AD29" s="74"/>
      <c r="AE29" s="74"/>
      <c r="AF29" s="74"/>
      <c r="AG29" s="74"/>
      <c r="AH29" s="74"/>
      <c r="AI29" s="445"/>
      <c r="AJ29" s="74"/>
      <c r="AK29" s="74"/>
      <c r="AL29" s="446">
        <v>0.0</v>
      </c>
      <c r="AM29" s="74"/>
      <c r="AN29" s="74"/>
      <c r="AQ29" s="448">
        <f t="shared" si="1"/>
        <v>0</v>
      </c>
      <c r="AR29" s="449">
        <f t="shared" si="2"/>
        <v>0</v>
      </c>
      <c r="AS29" s="450">
        <f t="shared" si="3"/>
        <v>0</v>
      </c>
      <c r="AT29" s="449">
        <f t="shared" si="4"/>
        <v>0</v>
      </c>
      <c r="AU29" s="432"/>
      <c r="AV29" s="432"/>
      <c r="AW29" s="432"/>
      <c r="AX29" s="432"/>
      <c r="AY29" s="432"/>
      <c r="AZ29" s="432"/>
    </row>
    <row r="30" ht="15.75" customHeight="1">
      <c r="D30" s="464"/>
      <c r="E30" s="74"/>
      <c r="F30" s="74"/>
      <c r="G30" s="74"/>
      <c r="H30" s="74"/>
      <c r="I30" s="443"/>
      <c r="J30" s="447"/>
      <c r="K30" s="74"/>
      <c r="L30" s="74"/>
      <c r="M30" s="74"/>
      <c r="N30" s="74"/>
      <c r="O30" s="74"/>
      <c r="P30" s="74"/>
      <c r="Q30" s="74"/>
      <c r="R30" s="445"/>
      <c r="S30" s="74"/>
      <c r="T30" s="74"/>
      <c r="U30" s="446">
        <v>0.0</v>
      </c>
      <c r="V30" s="74"/>
      <c r="W30" s="74"/>
      <c r="Z30" s="443"/>
      <c r="AA30" s="447"/>
      <c r="AB30" s="74"/>
      <c r="AC30" s="74"/>
      <c r="AD30" s="74"/>
      <c r="AE30" s="74"/>
      <c r="AF30" s="74"/>
      <c r="AG30" s="74"/>
      <c r="AH30" s="74"/>
      <c r="AI30" s="445"/>
      <c r="AJ30" s="74"/>
      <c r="AK30" s="74"/>
      <c r="AL30" s="446">
        <v>0.0</v>
      </c>
      <c r="AM30" s="74"/>
      <c r="AN30" s="74"/>
      <c r="AQ30" s="448">
        <f t="shared" si="1"/>
        <v>0</v>
      </c>
      <c r="AR30" s="449">
        <f t="shared" si="2"/>
        <v>0</v>
      </c>
      <c r="AS30" s="450">
        <f t="shared" si="3"/>
        <v>0</v>
      </c>
      <c r="AT30" s="449">
        <f t="shared" si="4"/>
        <v>0</v>
      </c>
      <c r="AU30" s="432"/>
      <c r="AV30" s="432"/>
      <c r="AW30" s="432"/>
      <c r="AX30" s="432"/>
      <c r="AY30" s="432"/>
      <c r="AZ30" s="432"/>
    </row>
    <row r="31" ht="15.75" customHeight="1">
      <c r="D31" s="464"/>
      <c r="E31" s="74"/>
      <c r="F31" s="74"/>
      <c r="G31" s="74"/>
      <c r="H31" s="74"/>
      <c r="I31" s="443"/>
      <c r="J31" s="447"/>
      <c r="K31" s="74"/>
      <c r="L31" s="74"/>
      <c r="M31" s="74"/>
      <c r="N31" s="74"/>
      <c r="O31" s="74"/>
      <c r="P31" s="74"/>
      <c r="Q31" s="74"/>
      <c r="R31" s="451"/>
      <c r="S31" s="74"/>
      <c r="T31" s="74"/>
      <c r="U31" s="446">
        <v>0.0</v>
      </c>
      <c r="V31" s="74"/>
      <c r="W31" s="74"/>
      <c r="Z31" s="443"/>
      <c r="AA31" s="447"/>
      <c r="AB31" s="74"/>
      <c r="AC31" s="74"/>
      <c r="AD31" s="74"/>
      <c r="AE31" s="74"/>
      <c r="AF31" s="74"/>
      <c r="AG31" s="74"/>
      <c r="AH31" s="74"/>
      <c r="AI31" s="451"/>
      <c r="AJ31" s="74"/>
      <c r="AK31" s="74"/>
      <c r="AL31" s="446">
        <v>0.0</v>
      </c>
      <c r="AM31" s="74"/>
      <c r="AN31" s="74"/>
      <c r="AQ31" s="448">
        <f t="shared" si="1"/>
        <v>0</v>
      </c>
      <c r="AR31" s="449">
        <f t="shared" si="2"/>
        <v>0</v>
      </c>
      <c r="AS31" s="450">
        <f t="shared" si="3"/>
        <v>0</v>
      </c>
      <c r="AT31" s="449">
        <f t="shared" si="4"/>
        <v>0</v>
      </c>
      <c r="AU31" s="432"/>
      <c r="AV31" s="432"/>
      <c r="AW31" s="432"/>
      <c r="AX31" s="432"/>
      <c r="AY31" s="432"/>
      <c r="AZ31" s="432"/>
    </row>
    <row r="32" ht="15.75" customHeight="1">
      <c r="D32" s="464"/>
      <c r="E32" s="74"/>
      <c r="F32" s="74"/>
      <c r="G32" s="74"/>
      <c r="H32" s="74"/>
      <c r="I32" s="443"/>
      <c r="J32" s="447"/>
      <c r="K32" s="74"/>
      <c r="L32" s="74"/>
      <c r="M32" s="74"/>
      <c r="N32" s="74"/>
      <c r="O32" s="74"/>
      <c r="P32" s="74"/>
      <c r="Q32" s="74"/>
      <c r="R32" s="445"/>
      <c r="S32" s="74"/>
      <c r="T32" s="74"/>
      <c r="U32" s="446">
        <v>0.0</v>
      </c>
      <c r="V32" s="74"/>
      <c r="W32" s="74"/>
      <c r="Z32" s="443"/>
      <c r="AA32" s="447"/>
      <c r="AB32" s="74"/>
      <c r="AC32" s="74"/>
      <c r="AD32" s="74"/>
      <c r="AE32" s="74"/>
      <c r="AF32" s="74"/>
      <c r="AG32" s="74"/>
      <c r="AH32" s="74"/>
      <c r="AI32" s="445"/>
      <c r="AJ32" s="74"/>
      <c r="AK32" s="74"/>
      <c r="AL32" s="446">
        <v>0.0</v>
      </c>
      <c r="AM32" s="74"/>
      <c r="AN32" s="74"/>
      <c r="AQ32" s="448">
        <f t="shared" si="1"/>
        <v>0</v>
      </c>
      <c r="AR32" s="449">
        <f t="shared" si="2"/>
        <v>0</v>
      </c>
      <c r="AS32" s="450">
        <f t="shared" si="3"/>
        <v>0</v>
      </c>
      <c r="AT32" s="449">
        <f t="shared" si="4"/>
        <v>0</v>
      </c>
      <c r="AU32" s="432"/>
      <c r="AV32" s="432"/>
      <c r="AW32" s="432"/>
      <c r="AX32" s="432"/>
      <c r="AY32" s="432"/>
      <c r="AZ32" s="432"/>
    </row>
    <row r="33" ht="15.75" customHeight="1">
      <c r="D33" s="464"/>
      <c r="E33" s="74"/>
      <c r="F33" s="74"/>
      <c r="G33" s="74"/>
      <c r="H33" s="74"/>
      <c r="I33" s="443"/>
      <c r="J33" s="447"/>
      <c r="K33" s="74"/>
      <c r="L33" s="74"/>
      <c r="M33" s="74"/>
      <c r="N33" s="74"/>
      <c r="O33" s="74"/>
      <c r="P33" s="74"/>
      <c r="Q33" s="74"/>
      <c r="R33" s="445"/>
      <c r="S33" s="74"/>
      <c r="T33" s="74"/>
      <c r="U33" s="446">
        <v>0.0</v>
      </c>
      <c r="V33" s="74"/>
      <c r="W33" s="74"/>
      <c r="Z33" s="443"/>
      <c r="AA33" s="447"/>
      <c r="AB33" s="74"/>
      <c r="AC33" s="74"/>
      <c r="AD33" s="74"/>
      <c r="AE33" s="74"/>
      <c r="AF33" s="74"/>
      <c r="AG33" s="74"/>
      <c r="AH33" s="74"/>
      <c r="AI33" s="445"/>
      <c r="AJ33" s="74"/>
      <c r="AK33" s="74"/>
      <c r="AL33" s="446">
        <v>0.0</v>
      </c>
      <c r="AM33" s="74"/>
      <c r="AN33" s="74"/>
      <c r="AQ33" s="448">
        <f t="shared" si="1"/>
        <v>0</v>
      </c>
      <c r="AR33" s="449">
        <f t="shared" si="2"/>
        <v>0</v>
      </c>
      <c r="AS33" s="450">
        <f t="shared" si="3"/>
        <v>0</v>
      </c>
      <c r="AT33" s="449">
        <f t="shared" si="4"/>
        <v>0</v>
      </c>
      <c r="AU33" s="432"/>
      <c r="AV33" s="432"/>
      <c r="AW33" s="432"/>
      <c r="AX33" s="432"/>
      <c r="AY33" s="432"/>
      <c r="AZ33" s="432"/>
    </row>
    <row r="34" ht="15.75" customHeight="1">
      <c r="D34" s="464"/>
      <c r="E34" s="74"/>
      <c r="F34" s="74"/>
      <c r="G34" s="74"/>
      <c r="H34" s="74"/>
      <c r="I34" s="443"/>
      <c r="J34" s="447"/>
      <c r="K34" s="74"/>
      <c r="L34" s="74"/>
      <c r="M34" s="74"/>
      <c r="N34" s="74"/>
      <c r="O34" s="74"/>
      <c r="P34" s="74"/>
      <c r="Q34" s="74"/>
      <c r="R34" s="451"/>
      <c r="S34" s="74"/>
      <c r="T34" s="74"/>
      <c r="U34" s="446">
        <v>0.0</v>
      </c>
      <c r="V34" s="74"/>
      <c r="W34" s="74"/>
      <c r="Z34" s="443"/>
      <c r="AA34" s="447"/>
      <c r="AB34" s="74"/>
      <c r="AC34" s="74"/>
      <c r="AD34" s="74"/>
      <c r="AE34" s="74"/>
      <c r="AF34" s="74"/>
      <c r="AG34" s="74"/>
      <c r="AH34" s="74"/>
      <c r="AI34" s="451"/>
      <c r="AJ34" s="74"/>
      <c r="AK34" s="74"/>
      <c r="AL34" s="446">
        <v>0.0</v>
      </c>
      <c r="AM34" s="74"/>
      <c r="AN34" s="74"/>
      <c r="AQ34" s="448">
        <f t="shared" si="1"/>
        <v>0</v>
      </c>
      <c r="AR34" s="449">
        <f t="shared" si="2"/>
        <v>0</v>
      </c>
      <c r="AS34" s="450">
        <f t="shared" si="3"/>
        <v>0</v>
      </c>
      <c r="AT34" s="449">
        <f t="shared" si="4"/>
        <v>0</v>
      </c>
      <c r="AU34" s="432"/>
      <c r="AV34" s="432"/>
      <c r="AW34" s="432"/>
      <c r="AX34" s="432"/>
      <c r="AY34" s="432"/>
      <c r="AZ34" s="432"/>
    </row>
    <row r="35" ht="15.75" customHeight="1">
      <c r="D35" s="464"/>
      <c r="E35" s="74"/>
      <c r="F35" s="74"/>
      <c r="G35" s="74"/>
      <c r="H35" s="74"/>
      <c r="I35" s="443"/>
      <c r="J35" s="447"/>
      <c r="K35" s="74"/>
      <c r="L35" s="74"/>
      <c r="M35" s="74"/>
      <c r="N35" s="74"/>
      <c r="O35" s="74"/>
      <c r="P35" s="74"/>
      <c r="Q35" s="74"/>
      <c r="R35" s="445"/>
      <c r="S35" s="74"/>
      <c r="T35" s="74"/>
      <c r="U35" s="446">
        <v>0.0</v>
      </c>
      <c r="V35" s="74"/>
      <c r="W35" s="74"/>
      <c r="Z35" s="443"/>
      <c r="AA35" s="447"/>
      <c r="AB35" s="74"/>
      <c r="AC35" s="74"/>
      <c r="AD35" s="74"/>
      <c r="AE35" s="74"/>
      <c r="AF35" s="74"/>
      <c r="AG35" s="74"/>
      <c r="AH35" s="74"/>
      <c r="AI35" s="445"/>
      <c r="AJ35" s="74"/>
      <c r="AK35" s="74"/>
      <c r="AL35" s="446">
        <v>0.0</v>
      </c>
      <c r="AM35" s="74"/>
      <c r="AN35" s="74"/>
      <c r="AQ35" s="448">
        <f t="shared" si="1"/>
        <v>0</v>
      </c>
      <c r="AR35" s="449">
        <f t="shared" si="2"/>
        <v>0</v>
      </c>
      <c r="AS35" s="450">
        <f t="shared" si="3"/>
        <v>0</v>
      </c>
      <c r="AT35" s="449">
        <f t="shared" si="4"/>
        <v>0</v>
      </c>
      <c r="AU35" s="432"/>
      <c r="AV35" s="432"/>
      <c r="AW35" s="432"/>
      <c r="AX35" s="432"/>
      <c r="AY35" s="432"/>
      <c r="AZ35" s="432"/>
    </row>
    <row r="36" ht="15.75" customHeight="1">
      <c r="D36" s="464"/>
      <c r="E36" s="74"/>
      <c r="F36" s="74"/>
      <c r="G36" s="74"/>
      <c r="H36" s="74"/>
      <c r="I36" s="443"/>
      <c r="J36" s="447"/>
      <c r="K36" s="74"/>
      <c r="L36" s="74"/>
      <c r="M36" s="74"/>
      <c r="N36" s="74"/>
      <c r="O36" s="74"/>
      <c r="P36" s="74"/>
      <c r="Q36" s="74"/>
      <c r="R36" s="445"/>
      <c r="S36" s="74"/>
      <c r="T36" s="74"/>
      <c r="U36" s="446">
        <v>0.0</v>
      </c>
      <c r="V36" s="74"/>
      <c r="W36" s="74"/>
      <c r="Z36" s="443"/>
      <c r="AA36" s="447"/>
      <c r="AB36" s="74"/>
      <c r="AC36" s="74"/>
      <c r="AD36" s="74"/>
      <c r="AE36" s="74"/>
      <c r="AF36" s="74"/>
      <c r="AG36" s="74"/>
      <c r="AH36" s="74"/>
      <c r="AI36" s="445"/>
      <c r="AJ36" s="74"/>
      <c r="AK36" s="74"/>
      <c r="AL36" s="446">
        <v>0.0</v>
      </c>
      <c r="AM36" s="74"/>
      <c r="AN36" s="74"/>
      <c r="AQ36" s="448">
        <f t="shared" si="1"/>
        <v>0</v>
      </c>
      <c r="AR36" s="449">
        <f t="shared" si="2"/>
        <v>0</v>
      </c>
      <c r="AS36" s="450">
        <f t="shared" si="3"/>
        <v>0</v>
      </c>
      <c r="AT36" s="449">
        <f t="shared" si="4"/>
        <v>0</v>
      </c>
      <c r="AU36" s="432"/>
      <c r="AV36" s="432"/>
      <c r="AW36" s="432"/>
      <c r="AX36" s="432"/>
      <c r="AY36" s="432"/>
      <c r="AZ36" s="432"/>
    </row>
    <row r="37" ht="15.75" customHeight="1">
      <c r="D37" s="464"/>
      <c r="E37" s="74"/>
      <c r="F37" s="74"/>
      <c r="G37" s="74"/>
      <c r="H37" s="74"/>
      <c r="I37" s="443"/>
      <c r="J37" s="447"/>
      <c r="K37" s="74"/>
      <c r="L37" s="74"/>
      <c r="M37" s="74"/>
      <c r="N37" s="74"/>
      <c r="O37" s="74"/>
      <c r="P37" s="74"/>
      <c r="Q37" s="74"/>
      <c r="R37" s="445"/>
      <c r="S37" s="74"/>
      <c r="T37" s="74"/>
      <c r="U37" s="446">
        <v>0.0</v>
      </c>
      <c r="V37" s="74"/>
      <c r="W37" s="74"/>
      <c r="Z37" s="443"/>
      <c r="AA37" s="447"/>
      <c r="AB37" s="74"/>
      <c r="AC37" s="74"/>
      <c r="AD37" s="74"/>
      <c r="AE37" s="74"/>
      <c r="AF37" s="74"/>
      <c r="AG37" s="74"/>
      <c r="AH37" s="74"/>
      <c r="AI37" s="445"/>
      <c r="AJ37" s="74"/>
      <c r="AK37" s="74"/>
      <c r="AL37" s="446">
        <v>0.0</v>
      </c>
      <c r="AM37" s="74"/>
      <c r="AN37" s="74"/>
      <c r="AQ37" s="448">
        <f t="shared" si="1"/>
        <v>0</v>
      </c>
      <c r="AR37" s="449">
        <f t="shared" si="2"/>
        <v>0</v>
      </c>
      <c r="AS37" s="450">
        <f t="shared" si="3"/>
        <v>0</v>
      </c>
      <c r="AT37" s="449">
        <f t="shared" si="4"/>
        <v>0</v>
      </c>
      <c r="AU37" s="432"/>
      <c r="AV37" s="432"/>
      <c r="AW37" s="432"/>
      <c r="AX37" s="432"/>
      <c r="AY37" s="432"/>
      <c r="AZ37" s="432"/>
    </row>
    <row r="38" ht="15.75" customHeight="1">
      <c r="D38" s="464"/>
      <c r="E38" s="74"/>
      <c r="F38" s="74"/>
      <c r="G38" s="74"/>
      <c r="H38" s="74"/>
      <c r="I38" s="443"/>
      <c r="J38" s="447"/>
      <c r="K38" s="74"/>
      <c r="L38" s="74"/>
      <c r="M38" s="74"/>
      <c r="N38" s="74"/>
      <c r="O38" s="74"/>
      <c r="P38" s="74"/>
      <c r="Q38" s="74"/>
      <c r="R38" s="451"/>
      <c r="S38" s="74"/>
      <c r="T38" s="74"/>
      <c r="U38" s="446">
        <v>0.0</v>
      </c>
      <c r="V38" s="74"/>
      <c r="W38" s="74"/>
      <c r="Z38" s="443"/>
      <c r="AA38" s="447"/>
      <c r="AB38" s="74"/>
      <c r="AC38" s="74"/>
      <c r="AD38" s="74"/>
      <c r="AE38" s="74"/>
      <c r="AF38" s="74"/>
      <c r="AG38" s="74"/>
      <c r="AH38" s="74"/>
      <c r="AI38" s="451"/>
      <c r="AJ38" s="74"/>
      <c r="AK38" s="74"/>
      <c r="AL38" s="446">
        <v>0.0</v>
      </c>
      <c r="AM38" s="74"/>
      <c r="AN38" s="74"/>
      <c r="AQ38" s="448">
        <f t="shared" si="1"/>
        <v>0</v>
      </c>
      <c r="AR38" s="449">
        <f t="shared" si="2"/>
        <v>0</v>
      </c>
      <c r="AS38" s="450">
        <f t="shared" si="3"/>
        <v>0</v>
      </c>
      <c r="AT38" s="449">
        <f t="shared" si="4"/>
        <v>0</v>
      </c>
      <c r="AU38" s="432"/>
      <c r="AV38" s="432"/>
      <c r="AW38" s="432"/>
      <c r="AX38" s="432"/>
      <c r="AY38" s="432"/>
      <c r="AZ38" s="432"/>
    </row>
    <row r="39" ht="15.75" customHeight="1">
      <c r="D39" s="464"/>
      <c r="E39" s="74"/>
      <c r="F39" s="74"/>
      <c r="G39" s="74"/>
      <c r="H39" s="74"/>
      <c r="I39" s="443"/>
      <c r="J39" s="447"/>
      <c r="K39" s="74"/>
      <c r="L39" s="74"/>
      <c r="M39" s="74"/>
      <c r="N39" s="74"/>
      <c r="O39" s="74"/>
      <c r="P39" s="74"/>
      <c r="Q39" s="74"/>
      <c r="R39" s="445"/>
      <c r="S39" s="74"/>
      <c r="T39" s="74"/>
      <c r="U39" s="446">
        <v>0.0</v>
      </c>
      <c r="V39" s="74"/>
      <c r="W39" s="74"/>
      <c r="Z39" s="443"/>
      <c r="AA39" s="447"/>
      <c r="AB39" s="74"/>
      <c r="AC39" s="74"/>
      <c r="AD39" s="74"/>
      <c r="AE39" s="74"/>
      <c r="AF39" s="74"/>
      <c r="AG39" s="74"/>
      <c r="AH39" s="74"/>
      <c r="AI39" s="445"/>
      <c r="AJ39" s="74"/>
      <c r="AK39" s="74"/>
      <c r="AL39" s="446">
        <v>0.0</v>
      </c>
      <c r="AM39" s="74"/>
      <c r="AN39" s="74"/>
      <c r="AQ39" s="448">
        <f t="shared" si="1"/>
        <v>0</v>
      </c>
      <c r="AR39" s="449">
        <f t="shared" si="2"/>
        <v>0</v>
      </c>
      <c r="AS39" s="450">
        <f t="shared" si="3"/>
        <v>0</v>
      </c>
      <c r="AT39" s="449">
        <f t="shared" si="4"/>
        <v>0</v>
      </c>
      <c r="AU39" s="432"/>
      <c r="AV39" s="432"/>
      <c r="AW39" s="432"/>
      <c r="AX39" s="432"/>
      <c r="AY39" s="432"/>
      <c r="AZ39" s="432"/>
    </row>
    <row r="40" ht="15.75" customHeight="1">
      <c r="D40" s="464"/>
      <c r="E40" s="74"/>
      <c r="F40" s="74"/>
      <c r="G40" s="74"/>
      <c r="H40" s="74"/>
      <c r="I40" s="443"/>
      <c r="J40" s="447"/>
      <c r="K40" s="74"/>
      <c r="L40" s="74"/>
      <c r="M40" s="74"/>
      <c r="N40" s="74"/>
      <c r="O40" s="74"/>
      <c r="P40" s="74"/>
      <c r="Q40" s="74"/>
      <c r="R40" s="445"/>
      <c r="S40" s="74"/>
      <c r="T40" s="74"/>
      <c r="U40" s="446">
        <v>0.0</v>
      </c>
      <c r="V40" s="74"/>
      <c r="W40" s="74"/>
      <c r="Z40" s="443"/>
      <c r="AA40" s="447"/>
      <c r="AB40" s="74"/>
      <c r="AC40" s="74"/>
      <c r="AD40" s="74"/>
      <c r="AE40" s="74"/>
      <c r="AF40" s="74"/>
      <c r="AG40" s="74"/>
      <c r="AH40" s="74"/>
      <c r="AI40" s="445"/>
      <c r="AJ40" s="74"/>
      <c r="AK40" s="74"/>
      <c r="AL40" s="446">
        <v>0.0</v>
      </c>
      <c r="AM40" s="74"/>
      <c r="AN40" s="74"/>
      <c r="AQ40" s="448">
        <f t="shared" si="1"/>
        <v>0</v>
      </c>
      <c r="AR40" s="449">
        <f t="shared" si="2"/>
        <v>0</v>
      </c>
      <c r="AS40" s="450">
        <f t="shared" si="3"/>
        <v>0</v>
      </c>
      <c r="AT40" s="449">
        <f t="shared" si="4"/>
        <v>0</v>
      </c>
      <c r="AU40" s="432"/>
      <c r="AV40" s="432"/>
      <c r="AW40" s="432"/>
      <c r="AX40" s="432"/>
      <c r="AY40" s="432"/>
      <c r="AZ40" s="432"/>
    </row>
    <row r="41" ht="15.75" customHeight="1">
      <c r="D41" s="464"/>
      <c r="E41" s="74"/>
      <c r="F41" s="74"/>
      <c r="G41" s="74"/>
      <c r="H41" s="74"/>
      <c r="I41" s="443"/>
      <c r="J41" s="447"/>
      <c r="K41" s="74"/>
      <c r="L41" s="74"/>
      <c r="M41" s="74"/>
      <c r="N41" s="74"/>
      <c r="O41" s="74"/>
      <c r="P41" s="74"/>
      <c r="Q41" s="74"/>
      <c r="R41" s="445"/>
      <c r="S41" s="74"/>
      <c r="T41" s="74"/>
      <c r="U41" s="446">
        <v>0.0</v>
      </c>
      <c r="V41" s="74"/>
      <c r="W41" s="74"/>
      <c r="Z41" s="443"/>
      <c r="AA41" s="447"/>
      <c r="AB41" s="74"/>
      <c r="AC41" s="74"/>
      <c r="AD41" s="74"/>
      <c r="AE41" s="74"/>
      <c r="AF41" s="74"/>
      <c r="AG41" s="74"/>
      <c r="AH41" s="74"/>
      <c r="AI41" s="445"/>
      <c r="AJ41" s="74"/>
      <c r="AK41" s="74"/>
      <c r="AL41" s="446">
        <v>0.0</v>
      </c>
      <c r="AM41" s="74"/>
      <c r="AN41" s="74"/>
      <c r="AQ41" s="448">
        <f t="shared" si="1"/>
        <v>0</v>
      </c>
      <c r="AR41" s="449">
        <f t="shared" si="2"/>
        <v>0</v>
      </c>
      <c r="AS41" s="450">
        <f t="shared" si="3"/>
        <v>0</v>
      </c>
      <c r="AT41" s="449">
        <f t="shared" si="4"/>
        <v>0</v>
      </c>
      <c r="AU41" s="432"/>
      <c r="AV41" s="432"/>
      <c r="AW41" s="432"/>
      <c r="AX41" s="432"/>
      <c r="AY41" s="432"/>
      <c r="AZ41" s="432"/>
    </row>
    <row r="42" ht="15.75" customHeight="1">
      <c r="D42" s="464"/>
      <c r="E42" s="74"/>
      <c r="F42" s="74"/>
      <c r="G42" s="74"/>
      <c r="H42" s="74"/>
      <c r="I42" s="443"/>
      <c r="J42" s="447"/>
      <c r="K42" s="74"/>
      <c r="L42" s="74"/>
      <c r="M42" s="74"/>
      <c r="N42" s="74"/>
      <c r="O42" s="74"/>
      <c r="P42" s="74"/>
      <c r="Q42" s="74"/>
      <c r="R42" s="445"/>
      <c r="S42" s="74"/>
      <c r="T42" s="74"/>
      <c r="U42" s="446">
        <v>0.0</v>
      </c>
      <c r="V42" s="74"/>
      <c r="W42" s="74"/>
      <c r="Z42" s="443"/>
      <c r="AA42" s="447"/>
      <c r="AB42" s="74"/>
      <c r="AC42" s="74"/>
      <c r="AD42" s="74"/>
      <c r="AE42" s="74"/>
      <c r="AF42" s="74"/>
      <c r="AG42" s="74"/>
      <c r="AH42" s="74"/>
      <c r="AI42" s="445"/>
      <c r="AJ42" s="74"/>
      <c r="AK42" s="74"/>
      <c r="AL42" s="446">
        <v>0.0</v>
      </c>
      <c r="AM42" s="74"/>
      <c r="AN42" s="74"/>
      <c r="AQ42" s="448">
        <f t="shared" si="1"/>
        <v>0</v>
      </c>
      <c r="AR42" s="449">
        <f t="shared" si="2"/>
        <v>0</v>
      </c>
      <c r="AS42" s="450">
        <f t="shared" si="3"/>
        <v>0</v>
      </c>
      <c r="AT42" s="449">
        <f t="shared" si="4"/>
        <v>0</v>
      </c>
      <c r="AU42" s="432"/>
      <c r="AV42" s="432"/>
      <c r="AW42" s="432"/>
      <c r="AX42" s="432"/>
      <c r="AY42" s="432"/>
      <c r="AZ42" s="432"/>
    </row>
    <row r="43" ht="15.75" customHeight="1">
      <c r="D43" s="464"/>
      <c r="E43" s="74"/>
      <c r="F43" s="74"/>
      <c r="G43" s="74"/>
      <c r="H43" s="74"/>
      <c r="I43" s="443"/>
      <c r="J43" s="447"/>
      <c r="K43" s="74"/>
      <c r="L43" s="74"/>
      <c r="M43" s="74"/>
      <c r="N43" s="74"/>
      <c r="O43" s="74"/>
      <c r="P43" s="74"/>
      <c r="Q43" s="74"/>
      <c r="R43" s="445"/>
      <c r="S43" s="74"/>
      <c r="T43" s="74"/>
      <c r="U43" s="446">
        <v>0.0</v>
      </c>
      <c r="V43" s="74"/>
      <c r="W43" s="74"/>
      <c r="Z43" s="443"/>
      <c r="AA43" s="447"/>
      <c r="AB43" s="74"/>
      <c r="AC43" s="74"/>
      <c r="AD43" s="74"/>
      <c r="AE43" s="74"/>
      <c r="AF43" s="74"/>
      <c r="AG43" s="74"/>
      <c r="AH43" s="74"/>
      <c r="AI43" s="445"/>
      <c r="AJ43" s="74"/>
      <c r="AK43" s="74"/>
      <c r="AL43" s="446">
        <v>0.0</v>
      </c>
      <c r="AM43" s="74"/>
      <c r="AN43" s="74"/>
      <c r="AQ43" s="448">
        <f t="shared" si="1"/>
        <v>0</v>
      </c>
      <c r="AR43" s="449">
        <f t="shared" si="2"/>
        <v>0</v>
      </c>
      <c r="AS43" s="450">
        <f t="shared" si="3"/>
        <v>0</v>
      </c>
      <c r="AT43" s="449">
        <f t="shared" si="4"/>
        <v>0</v>
      </c>
      <c r="AU43" s="432"/>
      <c r="AV43" s="432"/>
      <c r="AW43" s="432"/>
      <c r="AX43" s="432"/>
      <c r="AY43" s="432"/>
      <c r="AZ43" s="432"/>
    </row>
    <row r="44" ht="15.75" customHeight="1">
      <c r="D44" s="464"/>
      <c r="E44" s="74"/>
      <c r="F44" s="74"/>
      <c r="G44" s="74"/>
      <c r="H44" s="74"/>
      <c r="I44" s="443"/>
      <c r="J44" s="447"/>
      <c r="K44" s="74"/>
      <c r="L44" s="74"/>
      <c r="M44" s="74"/>
      <c r="N44" s="74"/>
      <c r="O44" s="74"/>
      <c r="P44" s="74"/>
      <c r="Q44" s="74"/>
      <c r="R44" s="451"/>
      <c r="S44" s="74"/>
      <c r="T44" s="74"/>
      <c r="U44" s="446">
        <v>0.0</v>
      </c>
      <c r="V44" s="74"/>
      <c r="W44" s="74"/>
      <c r="Z44" s="443"/>
      <c r="AA44" s="447"/>
      <c r="AB44" s="74"/>
      <c r="AC44" s="74"/>
      <c r="AD44" s="74"/>
      <c r="AE44" s="74"/>
      <c r="AF44" s="74"/>
      <c r="AG44" s="74"/>
      <c r="AH44" s="74"/>
      <c r="AI44" s="451"/>
      <c r="AJ44" s="74"/>
      <c r="AK44" s="74"/>
      <c r="AL44" s="446">
        <v>0.0</v>
      </c>
      <c r="AM44" s="74"/>
      <c r="AN44" s="74"/>
      <c r="AQ44" s="448">
        <f t="shared" si="1"/>
        <v>0</v>
      </c>
      <c r="AR44" s="449">
        <f t="shared" si="2"/>
        <v>0</v>
      </c>
      <c r="AS44" s="450">
        <f t="shared" si="3"/>
        <v>0</v>
      </c>
      <c r="AT44" s="449">
        <f t="shared" si="4"/>
        <v>0</v>
      </c>
      <c r="AU44" s="432"/>
      <c r="AV44" s="432"/>
      <c r="AW44" s="432"/>
      <c r="AX44" s="432"/>
      <c r="AY44" s="432"/>
      <c r="AZ44" s="432"/>
    </row>
    <row r="45" ht="15.75" customHeight="1">
      <c r="D45" s="464"/>
      <c r="E45" s="74"/>
      <c r="F45" s="74"/>
      <c r="G45" s="74"/>
      <c r="H45" s="74"/>
      <c r="I45" s="443"/>
      <c r="J45" s="447"/>
      <c r="K45" s="74"/>
      <c r="L45" s="74"/>
      <c r="M45" s="74"/>
      <c r="N45" s="74"/>
      <c r="O45" s="74"/>
      <c r="P45" s="74"/>
      <c r="Q45" s="74"/>
      <c r="R45" s="451"/>
      <c r="S45" s="74"/>
      <c r="T45" s="74"/>
      <c r="U45" s="446">
        <v>0.0</v>
      </c>
      <c r="V45" s="74"/>
      <c r="W45" s="74"/>
      <c r="Z45" s="443"/>
      <c r="AA45" s="447"/>
      <c r="AB45" s="74"/>
      <c r="AC45" s="74"/>
      <c r="AD45" s="74"/>
      <c r="AE45" s="74"/>
      <c r="AF45" s="74"/>
      <c r="AG45" s="74"/>
      <c r="AH45" s="74"/>
      <c r="AI45" s="451"/>
      <c r="AJ45" s="74"/>
      <c r="AK45" s="74"/>
      <c r="AL45" s="446">
        <v>0.0</v>
      </c>
      <c r="AM45" s="74"/>
      <c r="AN45" s="74"/>
      <c r="AQ45" s="448">
        <f t="shared" si="1"/>
        <v>0</v>
      </c>
      <c r="AR45" s="449">
        <f t="shared" si="2"/>
        <v>0</v>
      </c>
      <c r="AS45" s="450">
        <f t="shared" si="3"/>
        <v>0</v>
      </c>
      <c r="AT45" s="449">
        <f t="shared" si="4"/>
        <v>0</v>
      </c>
      <c r="AU45" s="432"/>
      <c r="AV45" s="432"/>
      <c r="AW45" s="432"/>
      <c r="AX45" s="432"/>
      <c r="AY45" s="432"/>
      <c r="AZ45" s="432"/>
    </row>
    <row r="46" ht="15.75" customHeight="1">
      <c r="D46" s="464"/>
      <c r="E46" s="74"/>
      <c r="F46" s="74"/>
      <c r="G46" s="74"/>
      <c r="H46" s="74"/>
      <c r="I46" s="443"/>
      <c r="J46" s="447"/>
      <c r="K46" s="74"/>
      <c r="L46" s="74"/>
      <c r="M46" s="74"/>
      <c r="N46" s="74"/>
      <c r="O46" s="74"/>
      <c r="P46" s="74"/>
      <c r="Q46" s="74"/>
      <c r="R46" s="445"/>
      <c r="S46" s="74"/>
      <c r="T46" s="74"/>
      <c r="U46" s="446">
        <v>0.0</v>
      </c>
      <c r="V46" s="74"/>
      <c r="W46" s="74"/>
      <c r="Z46" s="443"/>
      <c r="AA46" s="447"/>
      <c r="AB46" s="74"/>
      <c r="AC46" s="74"/>
      <c r="AD46" s="74"/>
      <c r="AE46" s="74"/>
      <c r="AF46" s="74"/>
      <c r="AG46" s="74"/>
      <c r="AH46" s="74"/>
      <c r="AI46" s="445"/>
      <c r="AJ46" s="74"/>
      <c r="AK46" s="74"/>
      <c r="AL46" s="446">
        <v>0.0</v>
      </c>
      <c r="AM46" s="74"/>
      <c r="AN46" s="74"/>
      <c r="AQ46" s="448">
        <f t="shared" si="1"/>
        <v>0</v>
      </c>
      <c r="AR46" s="449">
        <f t="shared" si="2"/>
        <v>0</v>
      </c>
      <c r="AS46" s="450">
        <f t="shared" si="3"/>
        <v>0</v>
      </c>
      <c r="AT46" s="449">
        <f t="shared" si="4"/>
        <v>0</v>
      </c>
      <c r="AU46" s="432"/>
      <c r="AV46" s="432"/>
      <c r="AW46" s="432"/>
      <c r="AX46" s="432"/>
      <c r="AY46" s="432"/>
      <c r="AZ46" s="432"/>
    </row>
    <row r="47" ht="15.75" customHeight="1">
      <c r="D47" s="464"/>
      <c r="E47" s="74"/>
      <c r="F47" s="74"/>
      <c r="G47" s="74"/>
      <c r="H47" s="74"/>
      <c r="I47" s="443"/>
      <c r="J47" s="447"/>
      <c r="K47" s="74"/>
      <c r="L47" s="74"/>
      <c r="M47" s="74"/>
      <c r="N47" s="74"/>
      <c r="O47" s="74"/>
      <c r="P47" s="74"/>
      <c r="Q47" s="74"/>
      <c r="R47" s="445"/>
      <c r="S47" s="74"/>
      <c r="T47" s="74"/>
      <c r="U47" s="446">
        <v>0.0</v>
      </c>
      <c r="V47" s="74"/>
      <c r="W47" s="74"/>
      <c r="Z47" s="443"/>
      <c r="AA47" s="447"/>
      <c r="AB47" s="74"/>
      <c r="AC47" s="74"/>
      <c r="AD47" s="74"/>
      <c r="AE47" s="74"/>
      <c r="AF47" s="74"/>
      <c r="AG47" s="74"/>
      <c r="AH47" s="74"/>
      <c r="AI47" s="445"/>
      <c r="AJ47" s="74"/>
      <c r="AK47" s="74"/>
      <c r="AL47" s="446">
        <v>0.0</v>
      </c>
      <c r="AM47" s="74"/>
      <c r="AN47" s="74"/>
      <c r="AQ47" s="448">
        <f t="shared" si="1"/>
        <v>0</v>
      </c>
      <c r="AR47" s="449">
        <f t="shared" si="2"/>
        <v>0</v>
      </c>
      <c r="AS47" s="450">
        <f t="shared" si="3"/>
        <v>0</v>
      </c>
      <c r="AT47" s="449">
        <f t="shared" si="4"/>
        <v>0</v>
      </c>
      <c r="AU47" s="432"/>
      <c r="AV47" s="432"/>
      <c r="AW47" s="432"/>
      <c r="AX47" s="432"/>
      <c r="AY47" s="432"/>
      <c r="AZ47" s="432"/>
    </row>
    <row r="48" ht="15.75" customHeight="1">
      <c r="D48" s="464"/>
      <c r="E48" s="74"/>
      <c r="F48" s="74"/>
      <c r="G48" s="74"/>
      <c r="H48" s="74"/>
      <c r="I48" s="443"/>
      <c r="J48" s="447"/>
      <c r="K48" s="74"/>
      <c r="L48" s="74"/>
      <c r="M48" s="74"/>
      <c r="N48" s="74"/>
      <c r="O48" s="74"/>
      <c r="P48" s="74"/>
      <c r="Q48" s="74"/>
      <c r="R48" s="445"/>
      <c r="S48" s="74"/>
      <c r="T48" s="74"/>
      <c r="U48" s="446">
        <v>0.0</v>
      </c>
      <c r="V48" s="74"/>
      <c r="W48" s="74"/>
      <c r="Z48" s="443"/>
      <c r="AA48" s="447"/>
      <c r="AB48" s="74"/>
      <c r="AC48" s="74"/>
      <c r="AD48" s="74"/>
      <c r="AE48" s="74"/>
      <c r="AF48" s="74"/>
      <c r="AG48" s="74"/>
      <c r="AH48" s="74"/>
      <c r="AI48" s="445"/>
      <c r="AJ48" s="74"/>
      <c r="AK48" s="74"/>
      <c r="AL48" s="446">
        <v>0.0</v>
      </c>
      <c r="AM48" s="74"/>
      <c r="AN48" s="74"/>
      <c r="AQ48" s="448">
        <f t="shared" si="1"/>
        <v>0</v>
      </c>
      <c r="AR48" s="449">
        <f t="shared" si="2"/>
        <v>0</v>
      </c>
      <c r="AS48" s="450">
        <f t="shared" si="3"/>
        <v>0</v>
      </c>
      <c r="AT48" s="449">
        <f t="shared" si="4"/>
        <v>0</v>
      </c>
      <c r="AU48" s="432"/>
      <c r="AV48" s="432"/>
      <c r="AW48" s="432"/>
      <c r="AX48" s="432"/>
      <c r="AY48" s="432"/>
      <c r="AZ48" s="432"/>
    </row>
    <row r="49" ht="15.75" customHeight="1">
      <c r="D49" s="464"/>
      <c r="E49" s="74"/>
      <c r="F49" s="74"/>
      <c r="G49" s="74"/>
      <c r="H49" s="74"/>
      <c r="I49" s="443"/>
      <c r="J49" s="447"/>
      <c r="K49" s="74"/>
      <c r="L49" s="74"/>
      <c r="M49" s="74"/>
      <c r="N49" s="74"/>
      <c r="O49" s="74"/>
      <c r="P49" s="74"/>
      <c r="Q49" s="74"/>
      <c r="R49" s="445"/>
      <c r="S49" s="74"/>
      <c r="T49" s="74"/>
      <c r="U49" s="446">
        <v>0.0</v>
      </c>
      <c r="V49" s="74"/>
      <c r="W49" s="74"/>
      <c r="Z49" s="443"/>
      <c r="AA49" s="447"/>
      <c r="AB49" s="74"/>
      <c r="AC49" s="74"/>
      <c r="AD49" s="74"/>
      <c r="AE49" s="74"/>
      <c r="AF49" s="74"/>
      <c r="AG49" s="74"/>
      <c r="AH49" s="74"/>
      <c r="AI49" s="445"/>
      <c r="AJ49" s="74"/>
      <c r="AK49" s="74"/>
      <c r="AL49" s="446">
        <v>0.0</v>
      </c>
      <c r="AM49" s="74"/>
      <c r="AN49" s="74"/>
      <c r="AQ49" s="448">
        <f t="shared" si="1"/>
        <v>0</v>
      </c>
      <c r="AR49" s="449">
        <f t="shared" si="2"/>
        <v>0</v>
      </c>
      <c r="AS49" s="450">
        <f t="shared" si="3"/>
        <v>0</v>
      </c>
      <c r="AT49" s="449">
        <f t="shared" si="4"/>
        <v>0</v>
      </c>
      <c r="AU49" s="432"/>
      <c r="AV49" s="432"/>
      <c r="AW49" s="432"/>
      <c r="AX49" s="432"/>
      <c r="AY49" s="432"/>
      <c r="AZ49" s="432"/>
    </row>
    <row r="50" ht="15.75" customHeight="1">
      <c r="D50" s="464"/>
      <c r="E50" s="74"/>
      <c r="F50" s="74"/>
      <c r="G50" s="74"/>
      <c r="H50" s="74"/>
      <c r="I50" s="443"/>
      <c r="J50" s="447"/>
      <c r="K50" s="74"/>
      <c r="L50" s="74"/>
      <c r="M50" s="74"/>
      <c r="N50" s="74"/>
      <c r="O50" s="74"/>
      <c r="P50" s="74"/>
      <c r="Q50" s="74"/>
      <c r="R50" s="451"/>
      <c r="S50" s="74"/>
      <c r="T50" s="74"/>
      <c r="U50" s="446">
        <v>0.0</v>
      </c>
      <c r="V50" s="74"/>
      <c r="W50" s="74"/>
      <c r="Z50" s="443"/>
      <c r="AA50" s="447"/>
      <c r="AB50" s="74"/>
      <c r="AC50" s="74"/>
      <c r="AD50" s="74"/>
      <c r="AE50" s="74"/>
      <c r="AF50" s="74"/>
      <c r="AG50" s="74"/>
      <c r="AH50" s="74"/>
      <c r="AI50" s="451"/>
      <c r="AJ50" s="74"/>
      <c r="AK50" s="74"/>
      <c r="AL50" s="446">
        <v>0.0</v>
      </c>
      <c r="AM50" s="74"/>
      <c r="AN50" s="74"/>
      <c r="AQ50" s="448">
        <f t="shared" si="1"/>
        <v>0</v>
      </c>
      <c r="AR50" s="449">
        <f t="shared" si="2"/>
        <v>0</v>
      </c>
      <c r="AS50" s="450">
        <f t="shared" si="3"/>
        <v>0</v>
      </c>
      <c r="AT50" s="449">
        <f t="shared" si="4"/>
        <v>0</v>
      </c>
      <c r="AU50" s="432"/>
      <c r="AV50" s="432"/>
      <c r="AW50" s="432"/>
      <c r="AX50" s="432"/>
      <c r="AY50" s="432"/>
      <c r="AZ50" s="432"/>
    </row>
    <row r="51" ht="15.75" customHeight="1">
      <c r="D51" s="464"/>
      <c r="E51" s="74"/>
      <c r="F51" s="74"/>
      <c r="G51" s="74"/>
      <c r="H51" s="74"/>
      <c r="I51" s="443"/>
      <c r="J51" s="447"/>
      <c r="K51" s="74"/>
      <c r="L51" s="74"/>
      <c r="M51" s="74"/>
      <c r="N51" s="74"/>
      <c r="O51" s="74"/>
      <c r="P51" s="74"/>
      <c r="Q51" s="74"/>
      <c r="R51" s="445"/>
      <c r="S51" s="74"/>
      <c r="T51" s="74"/>
      <c r="U51" s="446">
        <v>0.0</v>
      </c>
      <c r="V51" s="74"/>
      <c r="W51" s="74"/>
      <c r="Z51" s="443"/>
      <c r="AA51" s="447"/>
      <c r="AB51" s="74"/>
      <c r="AC51" s="74"/>
      <c r="AD51" s="74"/>
      <c r="AE51" s="74"/>
      <c r="AF51" s="74"/>
      <c r="AG51" s="74"/>
      <c r="AH51" s="74"/>
      <c r="AI51" s="445"/>
      <c r="AJ51" s="74"/>
      <c r="AK51" s="74"/>
      <c r="AL51" s="446">
        <v>0.0</v>
      </c>
      <c r="AM51" s="74"/>
      <c r="AN51" s="74"/>
      <c r="AQ51" s="448">
        <f t="shared" si="1"/>
        <v>0</v>
      </c>
      <c r="AR51" s="449">
        <f t="shared" si="2"/>
        <v>0</v>
      </c>
      <c r="AS51" s="450">
        <f t="shared" si="3"/>
        <v>0</v>
      </c>
      <c r="AT51" s="449">
        <f t="shared" si="4"/>
        <v>0</v>
      </c>
      <c r="AU51" s="432"/>
      <c r="AV51" s="432"/>
      <c r="AW51" s="432"/>
      <c r="AX51" s="432"/>
      <c r="AY51" s="432"/>
      <c r="AZ51" s="432"/>
    </row>
    <row r="52" ht="15.75" customHeight="1">
      <c r="D52" s="464"/>
      <c r="E52" s="74"/>
      <c r="F52" s="74"/>
      <c r="G52" s="74"/>
      <c r="H52" s="74"/>
      <c r="I52" s="443"/>
      <c r="J52" s="447"/>
      <c r="K52" s="74"/>
      <c r="L52" s="74"/>
      <c r="M52" s="74"/>
      <c r="N52" s="74"/>
      <c r="O52" s="74"/>
      <c r="P52" s="74"/>
      <c r="Q52" s="74"/>
      <c r="R52" s="445"/>
      <c r="S52" s="74"/>
      <c r="T52" s="74"/>
      <c r="U52" s="446">
        <v>0.0</v>
      </c>
      <c r="V52" s="74"/>
      <c r="W52" s="74"/>
      <c r="Z52" s="443"/>
      <c r="AA52" s="447"/>
      <c r="AB52" s="74"/>
      <c r="AC52" s="74"/>
      <c r="AD52" s="74"/>
      <c r="AE52" s="74"/>
      <c r="AF52" s="74"/>
      <c r="AG52" s="74"/>
      <c r="AH52" s="74"/>
      <c r="AI52" s="445"/>
      <c r="AJ52" s="74"/>
      <c r="AK52" s="74"/>
      <c r="AL52" s="446">
        <v>0.0</v>
      </c>
      <c r="AM52" s="74"/>
      <c r="AN52" s="74"/>
      <c r="AQ52" s="448">
        <f t="shared" si="1"/>
        <v>0</v>
      </c>
      <c r="AR52" s="449">
        <f t="shared" si="2"/>
        <v>0</v>
      </c>
      <c r="AS52" s="450">
        <f t="shared" si="3"/>
        <v>0</v>
      </c>
      <c r="AT52" s="449">
        <f t="shared" si="4"/>
        <v>0</v>
      </c>
      <c r="AU52" s="432"/>
      <c r="AV52" s="432"/>
      <c r="AW52" s="432"/>
      <c r="AX52" s="432"/>
      <c r="AY52" s="432"/>
      <c r="AZ52" s="432"/>
    </row>
    <row r="53" ht="15.75" customHeight="1">
      <c r="D53" s="464"/>
      <c r="E53" s="74"/>
      <c r="F53" s="74"/>
      <c r="G53" s="74"/>
      <c r="H53" s="74"/>
      <c r="I53" s="443"/>
      <c r="J53" s="447"/>
      <c r="K53" s="74"/>
      <c r="L53" s="74"/>
      <c r="M53" s="74"/>
      <c r="N53" s="74"/>
      <c r="O53" s="74"/>
      <c r="P53" s="74"/>
      <c r="Q53" s="74"/>
      <c r="R53" s="445"/>
      <c r="S53" s="74"/>
      <c r="T53" s="74"/>
      <c r="U53" s="446">
        <v>0.0</v>
      </c>
      <c r="V53" s="74"/>
      <c r="W53" s="74"/>
      <c r="Z53" s="443"/>
      <c r="AA53" s="447"/>
      <c r="AB53" s="74"/>
      <c r="AC53" s="74"/>
      <c r="AD53" s="74"/>
      <c r="AE53" s="74"/>
      <c r="AF53" s="74"/>
      <c r="AG53" s="74"/>
      <c r="AH53" s="74"/>
      <c r="AI53" s="445"/>
      <c r="AJ53" s="74"/>
      <c r="AK53" s="74"/>
      <c r="AL53" s="446">
        <v>0.0</v>
      </c>
      <c r="AM53" s="74"/>
      <c r="AN53" s="74"/>
      <c r="AQ53" s="448">
        <f t="shared" si="1"/>
        <v>0</v>
      </c>
      <c r="AR53" s="449">
        <f t="shared" si="2"/>
        <v>0</v>
      </c>
      <c r="AS53" s="450">
        <f t="shared" si="3"/>
        <v>0</v>
      </c>
      <c r="AT53" s="449">
        <f t="shared" si="4"/>
        <v>0</v>
      </c>
      <c r="AU53" s="432"/>
      <c r="AV53" s="432"/>
      <c r="AW53" s="432"/>
      <c r="AX53" s="432"/>
      <c r="AY53" s="432"/>
      <c r="AZ53" s="432"/>
    </row>
    <row r="54" ht="15.75" customHeight="1">
      <c r="D54" s="464"/>
      <c r="E54" s="74"/>
      <c r="F54" s="74"/>
      <c r="G54" s="74"/>
      <c r="H54" s="74"/>
      <c r="I54" s="443"/>
      <c r="J54" s="447"/>
      <c r="K54" s="74"/>
      <c r="L54" s="74"/>
      <c r="M54" s="74"/>
      <c r="N54" s="74"/>
      <c r="O54" s="74"/>
      <c r="P54" s="74"/>
      <c r="Q54" s="74"/>
      <c r="R54" s="445"/>
      <c r="S54" s="74"/>
      <c r="T54" s="74"/>
      <c r="U54" s="446">
        <v>0.0</v>
      </c>
      <c r="V54" s="74"/>
      <c r="W54" s="74"/>
      <c r="Z54" s="443"/>
      <c r="AA54" s="447"/>
      <c r="AB54" s="74"/>
      <c r="AC54" s="74"/>
      <c r="AD54" s="74"/>
      <c r="AE54" s="74"/>
      <c r="AF54" s="74"/>
      <c r="AG54" s="74"/>
      <c r="AH54" s="74"/>
      <c r="AI54" s="445"/>
      <c r="AJ54" s="74"/>
      <c r="AK54" s="74"/>
      <c r="AL54" s="446">
        <v>0.0</v>
      </c>
      <c r="AM54" s="74"/>
      <c r="AN54" s="74"/>
      <c r="AQ54" s="448">
        <f t="shared" si="1"/>
        <v>0</v>
      </c>
      <c r="AR54" s="449">
        <f t="shared" si="2"/>
        <v>0</v>
      </c>
      <c r="AS54" s="450">
        <f t="shared" si="3"/>
        <v>0</v>
      </c>
      <c r="AT54" s="449">
        <f t="shared" si="4"/>
        <v>0</v>
      </c>
      <c r="AU54" s="432"/>
      <c r="AV54" s="432"/>
      <c r="AW54" s="432"/>
      <c r="AX54" s="432"/>
      <c r="AY54" s="432"/>
      <c r="AZ54" s="432"/>
    </row>
    <row r="55" ht="15.75" customHeight="1">
      <c r="D55" s="464"/>
      <c r="E55" s="74"/>
      <c r="F55" s="74"/>
      <c r="G55" s="74"/>
      <c r="H55" s="74"/>
      <c r="I55" s="443"/>
      <c r="J55" s="447"/>
      <c r="K55" s="74"/>
      <c r="L55" s="74"/>
      <c r="M55" s="74"/>
      <c r="N55" s="74"/>
      <c r="O55" s="74"/>
      <c r="P55" s="74"/>
      <c r="Q55" s="74"/>
      <c r="R55" s="451"/>
      <c r="S55" s="74"/>
      <c r="T55" s="74"/>
      <c r="U55" s="446">
        <v>0.0</v>
      </c>
      <c r="V55" s="74"/>
      <c r="W55" s="74"/>
      <c r="Z55" s="443"/>
      <c r="AA55" s="447"/>
      <c r="AB55" s="74"/>
      <c r="AC55" s="74"/>
      <c r="AD55" s="74"/>
      <c r="AE55" s="74"/>
      <c r="AF55" s="74"/>
      <c r="AG55" s="74"/>
      <c r="AH55" s="74"/>
      <c r="AI55" s="451"/>
      <c r="AJ55" s="74"/>
      <c r="AK55" s="74"/>
      <c r="AL55" s="446">
        <v>0.0</v>
      </c>
      <c r="AM55" s="74"/>
      <c r="AN55" s="74"/>
      <c r="AQ55" s="448">
        <f t="shared" si="1"/>
        <v>0</v>
      </c>
      <c r="AR55" s="449">
        <f t="shared" si="2"/>
        <v>0</v>
      </c>
      <c r="AS55" s="450">
        <f t="shared" si="3"/>
        <v>0</v>
      </c>
      <c r="AT55" s="449">
        <f t="shared" si="4"/>
        <v>0</v>
      </c>
      <c r="AU55" s="432"/>
      <c r="AV55" s="432"/>
      <c r="AW55" s="432"/>
      <c r="AX55" s="432"/>
      <c r="AY55" s="432"/>
      <c r="AZ55" s="432"/>
    </row>
    <row r="56" ht="15.75" customHeight="1">
      <c r="D56" s="464"/>
      <c r="E56" s="74"/>
      <c r="F56" s="74"/>
      <c r="G56" s="74"/>
      <c r="H56" s="74"/>
      <c r="I56" s="443"/>
      <c r="J56" s="447"/>
      <c r="K56" s="74"/>
      <c r="L56" s="74"/>
      <c r="M56" s="74"/>
      <c r="N56" s="74"/>
      <c r="O56" s="74"/>
      <c r="P56" s="74"/>
      <c r="Q56" s="74"/>
      <c r="R56" s="445"/>
      <c r="S56" s="74"/>
      <c r="T56" s="74"/>
      <c r="U56" s="446">
        <v>0.0</v>
      </c>
      <c r="V56" s="74"/>
      <c r="W56" s="74"/>
      <c r="Z56" s="443"/>
      <c r="AA56" s="447"/>
      <c r="AB56" s="74"/>
      <c r="AC56" s="74"/>
      <c r="AD56" s="74"/>
      <c r="AE56" s="74"/>
      <c r="AF56" s="74"/>
      <c r="AG56" s="74"/>
      <c r="AH56" s="74"/>
      <c r="AI56" s="445"/>
      <c r="AJ56" s="74"/>
      <c r="AK56" s="74"/>
      <c r="AL56" s="446">
        <v>0.0</v>
      </c>
      <c r="AM56" s="74"/>
      <c r="AN56" s="74"/>
      <c r="AQ56" s="448">
        <f t="shared" si="1"/>
        <v>0</v>
      </c>
      <c r="AR56" s="449">
        <f t="shared" si="2"/>
        <v>0</v>
      </c>
      <c r="AS56" s="450">
        <f t="shared" si="3"/>
        <v>0</v>
      </c>
      <c r="AT56" s="449">
        <f t="shared" si="4"/>
        <v>0</v>
      </c>
      <c r="AU56" s="432"/>
      <c r="AV56" s="432"/>
      <c r="AW56" s="432"/>
      <c r="AX56" s="432"/>
      <c r="AY56" s="432"/>
      <c r="AZ56" s="432"/>
    </row>
    <row r="57" ht="15.75" customHeight="1">
      <c r="D57" s="464"/>
      <c r="E57" s="74"/>
      <c r="F57" s="74"/>
      <c r="G57" s="74"/>
      <c r="H57" s="74"/>
      <c r="I57" s="443"/>
      <c r="J57" s="447"/>
      <c r="K57" s="74"/>
      <c r="L57" s="74"/>
      <c r="M57" s="74"/>
      <c r="N57" s="74"/>
      <c r="O57" s="74"/>
      <c r="P57" s="74"/>
      <c r="Q57" s="74"/>
      <c r="R57" s="445"/>
      <c r="S57" s="74"/>
      <c r="T57" s="74"/>
      <c r="U57" s="446">
        <v>0.0</v>
      </c>
      <c r="V57" s="74"/>
      <c r="W57" s="74"/>
      <c r="Z57" s="443"/>
      <c r="AA57" s="447"/>
      <c r="AB57" s="74"/>
      <c r="AC57" s="74"/>
      <c r="AD57" s="74"/>
      <c r="AE57" s="74"/>
      <c r="AF57" s="74"/>
      <c r="AG57" s="74"/>
      <c r="AH57" s="74"/>
      <c r="AI57" s="445"/>
      <c r="AJ57" s="74"/>
      <c r="AK57" s="74"/>
      <c r="AL57" s="446">
        <v>0.0</v>
      </c>
      <c r="AM57" s="74"/>
      <c r="AN57" s="74"/>
      <c r="AQ57" s="448">
        <f t="shared" si="1"/>
        <v>0</v>
      </c>
      <c r="AR57" s="449">
        <f t="shared" si="2"/>
        <v>0</v>
      </c>
      <c r="AS57" s="450">
        <f t="shared" si="3"/>
        <v>0</v>
      </c>
      <c r="AT57" s="449">
        <f t="shared" si="4"/>
        <v>0</v>
      </c>
      <c r="AU57" s="432"/>
      <c r="AV57" s="432"/>
      <c r="AW57" s="432"/>
      <c r="AX57" s="432"/>
      <c r="AY57" s="432"/>
      <c r="AZ57" s="432"/>
    </row>
    <row r="58" ht="15.75" customHeight="1">
      <c r="D58" s="464"/>
      <c r="E58" s="74"/>
      <c r="F58" s="74"/>
      <c r="G58" s="74"/>
      <c r="H58" s="74"/>
      <c r="I58" s="443"/>
      <c r="J58" s="447"/>
      <c r="K58" s="74"/>
      <c r="L58" s="74"/>
      <c r="M58" s="74"/>
      <c r="N58" s="74"/>
      <c r="O58" s="74"/>
      <c r="P58" s="74"/>
      <c r="Q58" s="74"/>
      <c r="R58" s="451"/>
      <c r="S58" s="74"/>
      <c r="T58" s="74"/>
      <c r="U58" s="446">
        <v>0.0</v>
      </c>
      <c r="V58" s="74"/>
      <c r="W58" s="74"/>
      <c r="Z58" s="443"/>
      <c r="AA58" s="447"/>
      <c r="AB58" s="74"/>
      <c r="AC58" s="74"/>
      <c r="AD58" s="74"/>
      <c r="AE58" s="74"/>
      <c r="AF58" s="74"/>
      <c r="AG58" s="74"/>
      <c r="AH58" s="74"/>
      <c r="AI58" s="451"/>
      <c r="AJ58" s="74"/>
      <c r="AK58" s="74"/>
      <c r="AL58" s="446">
        <v>0.0</v>
      </c>
      <c r="AM58" s="74"/>
      <c r="AN58" s="74"/>
      <c r="AQ58" s="448">
        <f t="shared" si="1"/>
        <v>0</v>
      </c>
      <c r="AR58" s="449">
        <f t="shared" si="2"/>
        <v>0</v>
      </c>
      <c r="AS58" s="450">
        <f t="shared" si="3"/>
        <v>0</v>
      </c>
      <c r="AT58" s="449">
        <f t="shared" si="4"/>
        <v>0</v>
      </c>
      <c r="AU58" s="432"/>
      <c r="AV58" s="432"/>
      <c r="AW58" s="432"/>
      <c r="AX58" s="432"/>
      <c r="AY58" s="432"/>
      <c r="AZ58" s="432"/>
    </row>
    <row r="59" ht="15.75" customHeight="1">
      <c r="D59" s="464"/>
      <c r="E59" s="74"/>
      <c r="F59" s="74"/>
      <c r="G59" s="74"/>
      <c r="H59" s="74"/>
      <c r="I59" s="443"/>
      <c r="J59" s="447"/>
      <c r="K59" s="74"/>
      <c r="L59" s="74"/>
      <c r="M59" s="74"/>
      <c r="N59" s="74"/>
      <c r="O59" s="74"/>
      <c r="P59" s="74"/>
      <c r="Q59" s="74"/>
      <c r="R59" s="445"/>
      <c r="S59" s="74"/>
      <c r="T59" s="74"/>
      <c r="U59" s="446">
        <v>0.0</v>
      </c>
      <c r="V59" s="74"/>
      <c r="W59" s="74"/>
      <c r="Z59" s="443"/>
      <c r="AA59" s="447"/>
      <c r="AB59" s="74"/>
      <c r="AC59" s="74"/>
      <c r="AD59" s="74"/>
      <c r="AE59" s="74"/>
      <c r="AF59" s="74"/>
      <c r="AG59" s="74"/>
      <c r="AH59" s="74"/>
      <c r="AI59" s="445"/>
      <c r="AJ59" s="74"/>
      <c r="AK59" s="74"/>
      <c r="AL59" s="446">
        <v>0.0</v>
      </c>
      <c r="AM59" s="74"/>
      <c r="AN59" s="74"/>
      <c r="AQ59" s="448">
        <f t="shared" si="1"/>
        <v>0</v>
      </c>
      <c r="AR59" s="449">
        <f t="shared" si="2"/>
        <v>0</v>
      </c>
      <c r="AS59" s="450">
        <f t="shared" si="3"/>
        <v>0</v>
      </c>
      <c r="AT59" s="449">
        <f t="shared" si="4"/>
        <v>0</v>
      </c>
      <c r="AU59" s="432"/>
      <c r="AV59" s="432"/>
      <c r="AW59" s="432"/>
      <c r="AX59" s="432"/>
      <c r="AY59" s="432"/>
      <c r="AZ59" s="432"/>
    </row>
    <row r="60" ht="15.75" customHeight="1">
      <c r="D60" s="464"/>
      <c r="E60" s="74"/>
      <c r="F60" s="74"/>
      <c r="G60" s="74"/>
      <c r="H60" s="74"/>
      <c r="I60" s="443"/>
      <c r="J60" s="447"/>
      <c r="K60" s="74"/>
      <c r="L60" s="74"/>
      <c r="M60" s="74"/>
      <c r="N60" s="74"/>
      <c r="O60" s="74"/>
      <c r="P60" s="74"/>
      <c r="Q60" s="74"/>
      <c r="R60" s="445"/>
      <c r="S60" s="74"/>
      <c r="T60" s="74"/>
      <c r="U60" s="446">
        <v>0.0</v>
      </c>
      <c r="V60" s="74"/>
      <c r="W60" s="74"/>
      <c r="Z60" s="443"/>
      <c r="AA60" s="447"/>
      <c r="AB60" s="74"/>
      <c r="AC60" s="74"/>
      <c r="AD60" s="74"/>
      <c r="AE60" s="74"/>
      <c r="AF60" s="74"/>
      <c r="AG60" s="74"/>
      <c r="AH60" s="74"/>
      <c r="AI60" s="445"/>
      <c r="AJ60" s="74"/>
      <c r="AK60" s="74"/>
      <c r="AL60" s="446">
        <v>0.0</v>
      </c>
      <c r="AM60" s="74"/>
      <c r="AN60" s="74"/>
      <c r="AQ60" s="448">
        <f t="shared" si="1"/>
        <v>0</v>
      </c>
      <c r="AR60" s="449">
        <f t="shared" si="2"/>
        <v>0</v>
      </c>
      <c r="AS60" s="450">
        <f t="shared" si="3"/>
        <v>0</v>
      </c>
      <c r="AT60" s="449">
        <f t="shared" si="4"/>
        <v>0</v>
      </c>
      <c r="AU60" s="432"/>
      <c r="AV60" s="432"/>
      <c r="AW60" s="432"/>
      <c r="AX60" s="432"/>
      <c r="AY60" s="432"/>
      <c r="AZ60" s="432"/>
    </row>
    <row r="61" ht="15.75" customHeight="1">
      <c r="D61" s="464"/>
      <c r="E61" s="74"/>
      <c r="F61" s="74"/>
      <c r="G61" s="74"/>
      <c r="H61" s="74"/>
      <c r="I61" s="443"/>
      <c r="J61" s="447"/>
      <c r="K61" s="74"/>
      <c r="L61" s="74"/>
      <c r="M61" s="74"/>
      <c r="N61" s="74"/>
      <c r="O61" s="74"/>
      <c r="P61" s="74"/>
      <c r="Q61" s="74"/>
      <c r="R61" s="445"/>
      <c r="S61" s="74"/>
      <c r="T61" s="74"/>
      <c r="U61" s="446">
        <v>0.0</v>
      </c>
      <c r="V61" s="74"/>
      <c r="W61" s="74"/>
      <c r="Z61" s="443"/>
      <c r="AA61" s="447"/>
      <c r="AB61" s="74"/>
      <c r="AC61" s="74"/>
      <c r="AD61" s="74"/>
      <c r="AE61" s="74"/>
      <c r="AF61" s="74"/>
      <c r="AG61" s="74"/>
      <c r="AH61" s="74"/>
      <c r="AI61" s="445"/>
      <c r="AJ61" s="74"/>
      <c r="AK61" s="74"/>
      <c r="AL61" s="446">
        <v>0.0</v>
      </c>
      <c r="AM61" s="74"/>
      <c r="AN61" s="74"/>
      <c r="AQ61" s="448">
        <f t="shared" si="1"/>
        <v>0</v>
      </c>
      <c r="AR61" s="449">
        <f t="shared" si="2"/>
        <v>0</v>
      </c>
      <c r="AS61" s="450">
        <f t="shared" si="3"/>
        <v>0</v>
      </c>
      <c r="AT61" s="449">
        <f t="shared" si="4"/>
        <v>0</v>
      </c>
      <c r="AU61" s="432"/>
      <c r="AV61" s="432"/>
      <c r="AW61" s="432"/>
      <c r="AX61" s="432"/>
      <c r="AY61" s="432"/>
      <c r="AZ61" s="432"/>
    </row>
    <row r="62" ht="15.75" customHeight="1">
      <c r="D62" s="464"/>
      <c r="E62" s="74"/>
      <c r="F62" s="74"/>
      <c r="G62" s="74"/>
      <c r="H62" s="74"/>
      <c r="I62" s="443"/>
      <c r="J62" s="447"/>
      <c r="K62" s="74"/>
      <c r="L62" s="74"/>
      <c r="M62" s="74"/>
      <c r="N62" s="74"/>
      <c r="O62" s="74"/>
      <c r="P62" s="74"/>
      <c r="Q62" s="74"/>
      <c r="R62" s="451"/>
      <c r="S62" s="74"/>
      <c r="T62" s="74"/>
      <c r="U62" s="446">
        <v>0.0</v>
      </c>
      <c r="V62" s="74"/>
      <c r="W62" s="74"/>
      <c r="Z62" s="443"/>
      <c r="AA62" s="447"/>
      <c r="AB62" s="74"/>
      <c r="AC62" s="74"/>
      <c r="AD62" s="74"/>
      <c r="AE62" s="74"/>
      <c r="AF62" s="74"/>
      <c r="AG62" s="74"/>
      <c r="AH62" s="74"/>
      <c r="AI62" s="451"/>
      <c r="AJ62" s="74"/>
      <c r="AK62" s="74"/>
      <c r="AL62" s="446">
        <v>0.0</v>
      </c>
      <c r="AM62" s="74"/>
      <c r="AN62" s="74"/>
      <c r="AQ62" s="448">
        <f t="shared" si="1"/>
        <v>0</v>
      </c>
      <c r="AR62" s="449">
        <f t="shared" si="2"/>
        <v>0</v>
      </c>
      <c r="AS62" s="450">
        <f t="shared" si="3"/>
        <v>0</v>
      </c>
      <c r="AT62" s="449">
        <f t="shared" si="4"/>
        <v>0</v>
      </c>
      <c r="AU62" s="432"/>
      <c r="AV62" s="432"/>
      <c r="AW62" s="432"/>
      <c r="AX62" s="432"/>
      <c r="AY62" s="432"/>
      <c r="AZ62" s="432"/>
    </row>
    <row r="63" ht="15.75" customHeight="1">
      <c r="D63" s="464"/>
      <c r="E63" s="74"/>
      <c r="F63" s="74"/>
      <c r="G63" s="74"/>
      <c r="H63" s="74"/>
      <c r="I63" s="443"/>
      <c r="J63" s="447"/>
      <c r="K63" s="74"/>
      <c r="L63" s="74"/>
      <c r="M63" s="74"/>
      <c r="N63" s="74"/>
      <c r="O63" s="74"/>
      <c r="P63" s="74"/>
      <c r="Q63" s="74"/>
      <c r="R63" s="445"/>
      <c r="S63" s="74"/>
      <c r="T63" s="74"/>
      <c r="U63" s="446">
        <v>0.0</v>
      </c>
      <c r="V63" s="74"/>
      <c r="W63" s="74"/>
      <c r="Z63" s="443"/>
      <c r="AA63" s="447"/>
      <c r="AB63" s="74"/>
      <c r="AC63" s="74"/>
      <c r="AD63" s="74"/>
      <c r="AE63" s="74"/>
      <c r="AF63" s="74"/>
      <c r="AG63" s="74"/>
      <c r="AH63" s="74"/>
      <c r="AI63" s="445"/>
      <c r="AJ63" s="74"/>
      <c r="AK63" s="74"/>
      <c r="AL63" s="446">
        <v>0.0</v>
      </c>
      <c r="AM63" s="74"/>
      <c r="AN63" s="74"/>
      <c r="AQ63" s="448">
        <f t="shared" si="1"/>
        <v>0</v>
      </c>
      <c r="AR63" s="449">
        <f t="shared" si="2"/>
        <v>0</v>
      </c>
      <c r="AS63" s="450">
        <f t="shared" si="3"/>
        <v>0</v>
      </c>
      <c r="AT63" s="449">
        <f t="shared" si="4"/>
        <v>0</v>
      </c>
      <c r="AU63" s="432"/>
      <c r="AV63" s="432"/>
      <c r="AW63" s="432"/>
      <c r="AX63" s="432"/>
      <c r="AY63" s="432"/>
      <c r="AZ63" s="432"/>
    </row>
    <row r="64" ht="15.75" customHeight="1">
      <c r="D64" s="464"/>
      <c r="E64" s="74"/>
      <c r="F64" s="74"/>
      <c r="G64" s="74"/>
      <c r="H64" s="74"/>
      <c r="I64" s="443"/>
      <c r="J64" s="447"/>
      <c r="K64" s="74"/>
      <c r="L64" s="74"/>
      <c r="M64" s="74"/>
      <c r="N64" s="74"/>
      <c r="O64" s="74"/>
      <c r="P64" s="74"/>
      <c r="Q64" s="74"/>
      <c r="R64" s="445"/>
      <c r="S64" s="74"/>
      <c r="T64" s="74"/>
      <c r="U64" s="446">
        <v>0.0</v>
      </c>
      <c r="V64" s="74"/>
      <c r="W64" s="74"/>
      <c r="Z64" s="443"/>
      <c r="AA64" s="447"/>
      <c r="AB64" s="74"/>
      <c r="AC64" s="74"/>
      <c r="AD64" s="74"/>
      <c r="AE64" s="74"/>
      <c r="AF64" s="74"/>
      <c r="AG64" s="74"/>
      <c r="AH64" s="74"/>
      <c r="AI64" s="445"/>
      <c r="AJ64" s="74"/>
      <c r="AK64" s="74"/>
      <c r="AL64" s="446">
        <v>0.0</v>
      </c>
      <c r="AM64" s="74"/>
      <c r="AN64" s="74"/>
      <c r="AQ64" s="448">
        <f t="shared" si="1"/>
        <v>0</v>
      </c>
      <c r="AR64" s="449">
        <f t="shared" si="2"/>
        <v>0</v>
      </c>
      <c r="AS64" s="450">
        <f t="shared" si="3"/>
        <v>0</v>
      </c>
      <c r="AT64" s="449">
        <f t="shared" si="4"/>
        <v>0</v>
      </c>
      <c r="AU64" s="432"/>
      <c r="AV64" s="432"/>
      <c r="AW64" s="432"/>
      <c r="AX64" s="432"/>
      <c r="AY64" s="432"/>
      <c r="AZ64" s="432"/>
    </row>
    <row r="65" ht="15.75" customHeight="1">
      <c r="D65" s="464"/>
      <c r="E65" s="74"/>
      <c r="F65" s="74"/>
      <c r="G65" s="74"/>
      <c r="H65" s="74"/>
      <c r="I65" s="443"/>
      <c r="J65" s="447"/>
      <c r="K65" s="74"/>
      <c r="L65" s="74"/>
      <c r="M65" s="74"/>
      <c r="N65" s="74"/>
      <c r="O65" s="74"/>
      <c r="P65" s="74"/>
      <c r="Q65" s="74"/>
      <c r="R65" s="445"/>
      <c r="S65" s="74"/>
      <c r="T65" s="74"/>
      <c r="U65" s="446">
        <v>0.0</v>
      </c>
      <c r="V65" s="74"/>
      <c r="W65" s="74"/>
      <c r="Z65" s="443"/>
      <c r="AA65" s="447"/>
      <c r="AB65" s="74"/>
      <c r="AC65" s="74"/>
      <c r="AD65" s="74"/>
      <c r="AE65" s="74"/>
      <c r="AF65" s="74"/>
      <c r="AG65" s="74"/>
      <c r="AH65" s="74"/>
      <c r="AI65" s="445"/>
      <c r="AJ65" s="74"/>
      <c r="AK65" s="74"/>
      <c r="AL65" s="446">
        <v>0.0</v>
      </c>
      <c r="AM65" s="74"/>
      <c r="AN65" s="74"/>
      <c r="AQ65" s="448">
        <f t="shared" si="1"/>
        <v>0</v>
      </c>
      <c r="AR65" s="449">
        <f t="shared" si="2"/>
        <v>0</v>
      </c>
      <c r="AS65" s="450">
        <f t="shared" si="3"/>
        <v>0</v>
      </c>
      <c r="AT65" s="449">
        <f t="shared" si="4"/>
        <v>0</v>
      </c>
      <c r="AU65" s="432"/>
      <c r="AV65" s="432"/>
      <c r="AW65" s="432"/>
      <c r="AX65" s="432"/>
      <c r="AY65" s="432"/>
      <c r="AZ65" s="432"/>
    </row>
    <row r="66" ht="15.75" customHeight="1">
      <c r="D66" s="464"/>
      <c r="E66" s="74"/>
      <c r="F66" s="74"/>
      <c r="G66" s="74"/>
      <c r="H66" s="74"/>
      <c r="I66" s="443"/>
      <c r="J66" s="447"/>
      <c r="K66" s="74"/>
      <c r="L66" s="74"/>
      <c r="M66" s="74"/>
      <c r="N66" s="74"/>
      <c r="O66" s="74"/>
      <c r="P66" s="74"/>
      <c r="Q66" s="74"/>
      <c r="R66" s="445"/>
      <c r="S66" s="74"/>
      <c r="T66" s="74"/>
      <c r="U66" s="446">
        <v>0.0</v>
      </c>
      <c r="V66" s="74"/>
      <c r="W66" s="74"/>
      <c r="Z66" s="443"/>
      <c r="AA66" s="447"/>
      <c r="AB66" s="74"/>
      <c r="AC66" s="74"/>
      <c r="AD66" s="74"/>
      <c r="AE66" s="74"/>
      <c r="AF66" s="74"/>
      <c r="AG66" s="74"/>
      <c r="AH66" s="74"/>
      <c r="AI66" s="445"/>
      <c r="AJ66" s="74"/>
      <c r="AK66" s="74"/>
      <c r="AL66" s="446">
        <v>0.0</v>
      </c>
      <c r="AM66" s="74"/>
      <c r="AN66" s="74"/>
      <c r="AQ66" s="448">
        <f t="shared" si="1"/>
        <v>0</v>
      </c>
      <c r="AR66" s="449">
        <f t="shared" si="2"/>
        <v>0</v>
      </c>
      <c r="AS66" s="450">
        <f t="shared" si="3"/>
        <v>0</v>
      </c>
      <c r="AT66" s="449">
        <f t="shared" si="4"/>
        <v>0</v>
      </c>
      <c r="AU66" s="432"/>
      <c r="AV66" s="432"/>
      <c r="AW66" s="432"/>
      <c r="AX66" s="432"/>
      <c r="AY66" s="432"/>
      <c r="AZ66" s="432"/>
    </row>
    <row r="67" ht="15.75" customHeight="1">
      <c r="D67" s="464"/>
      <c r="E67" s="74"/>
      <c r="F67" s="74"/>
      <c r="G67" s="74"/>
      <c r="H67" s="74"/>
      <c r="I67" s="443"/>
      <c r="J67" s="447"/>
      <c r="K67" s="74"/>
      <c r="L67" s="74"/>
      <c r="M67" s="74"/>
      <c r="N67" s="74"/>
      <c r="O67" s="74"/>
      <c r="P67" s="74"/>
      <c r="Q67" s="74"/>
      <c r="R67" s="445"/>
      <c r="S67" s="74"/>
      <c r="T67" s="74"/>
      <c r="U67" s="446">
        <v>0.0</v>
      </c>
      <c r="V67" s="74"/>
      <c r="W67" s="74"/>
      <c r="Z67" s="443"/>
      <c r="AA67" s="447"/>
      <c r="AB67" s="74"/>
      <c r="AC67" s="74"/>
      <c r="AD67" s="74"/>
      <c r="AE67" s="74"/>
      <c r="AF67" s="74"/>
      <c r="AG67" s="74"/>
      <c r="AH67" s="74"/>
      <c r="AI67" s="445"/>
      <c r="AJ67" s="74"/>
      <c r="AK67" s="74"/>
      <c r="AL67" s="446">
        <v>0.0</v>
      </c>
      <c r="AM67" s="74"/>
      <c r="AN67" s="74"/>
      <c r="AQ67" s="448">
        <f t="shared" si="1"/>
        <v>0</v>
      </c>
      <c r="AR67" s="449">
        <f t="shared" si="2"/>
        <v>0</v>
      </c>
      <c r="AS67" s="450">
        <f t="shared" si="3"/>
        <v>0</v>
      </c>
      <c r="AT67" s="449">
        <f t="shared" si="4"/>
        <v>0</v>
      </c>
      <c r="AU67" s="432"/>
      <c r="AV67" s="432"/>
      <c r="AW67" s="432"/>
      <c r="AX67" s="432"/>
      <c r="AY67" s="432"/>
      <c r="AZ67" s="432"/>
    </row>
    <row r="68" ht="15.75" customHeight="1">
      <c r="D68" s="464"/>
      <c r="E68" s="74"/>
      <c r="F68" s="74"/>
      <c r="G68" s="74"/>
      <c r="H68" s="74"/>
      <c r="I68" s="443"/>
      <c r="J68" s="447"/>
      <c r="K68" s="74"/>
      <c r="L68" s="74"/>
      <c r="M68" s="74"/>
      <c r="N68" s="74"/>
      <c r="O68" s="74"/>
      <c r="P68" s="74"/>
      <c r="Q68" s="74"/>
      <c r="R68" s="451"/>
      <c r="S68" s="74"/>
      <c r="T68" s="74"/>
      <c r="U68" s="446">
        <v>0.0</v>
      </c>
      <c r="V68" s="74"/>
      <c r="W68" s="74"/>
      <c r="Z68" s="443"/>
      <c r="AA68" s="447"/>
      <c r="AB68" s="74"/>
      <c r="AC68" s="74"/>
      <c r="AD68" s="74"/>
      <c r="AE68" s="74"/>
      <c r="AF68" s="74"/>
      <c r="AG68" s="74"/>
      <c r="AH68" s="74"/>
      <c r="AI68" s="451"/>
      <c r="AJ68" s="74"/>
      <c r="AK68" s="74"/>
      <c r="AL68" s="446">
        <v>0.0</v>
      </c>
      <c r="AM68" s="74"/>
      <c r="AN68" s="74"/>
      <c r="AQ68" s="448">
        <f t="shared" si="1"/>
        <v>0</v>
      </c>
      <c r="AR68" s="449">
        <f t="shared" si="2"/>
        <v>0</v>
      </c>
      <c r="AS68" s="450">
        <f t="shared" si="3"/>
        <v>0</v>
      </c>
      <c r="AT68" s="449">
        <f t="shared" si="4"/>
        <v>0</v>
      </c>
      <c r="AU68" s="432"/>
      <c r="AV68" s="432"/>
      <c r="AW68" s="432"/>
      <c r="AX68" s="432"/>
      <c r="AY68" s="432"/>
      <c r="AZ68" s="432"/>
    </row>
    <row r="69" ht="15.75" customHeight="1">
      <c r="D69" s="464"/>
      <c r="E69" s="74"/>
      <c r="F69" s="74"/>
      <c r="G69" s="74"/>
      <c r="H69" s="74"/>
      <c r="I69" s="443"/>
      <c r="J69" s="447"/>
      <c r="K69" s="74"/>
      <c r="L69" s="74"/>
      <c r="M69" s="74"/>
      <c r="N69" s="74"/>
      <c r="O69" s="74"/>
      <c r="P69" s="74"/>
      <c r="Q69" s="74"/>
      <c r="R69" s="451"/>
      <c r="S69" s="74"/>
      <c r="T69" s="74"/>
      <c r="U69" s="446">
        <v>0.0</v>
      </c>
      <c r="V69" s="74"/>
      <c r="W69" s="74"/>
      <c r="Z69" s="443"/>
      <c r="AA69" s="447"/>
      <c r="AB69" s="74"/>
      <c r="AC69" s="74"/>
      <c r="AD69" s="74"/>
      <c r="AE69" s="74"/>
      <c r="AF69" s="74"/>
      <c r="AG69" s="74"/>
      <c r="AH69" s="74"/>
      <c r="AI69" s="451"/>
      <c r="AJ69" s="74"/>
      <c r="AK69" s="74"/>
      <c r="AL69" s="446">
        <v>0.0</v>
      </c>
      <c r="AM69" s="74"/>
      <c r="AN69" s="74"/>
      <c r="AQ69" s="448">
        <f t="shared" si="1"/>
        <v>0</v>
      </c>
      <c r="AR69" s="449">
        <f t="shared" si="2"/>
        <v>0</v>
      </c>
      <c r="AS69" s="450">
        <f t="shared" si="3"/>
        <v>0</v>
      </c>
      <c r="AT69" s="449">
        <f t="shared" si="4"/>
        <v>0</v>
      </c>
      <c r="AU69" s="432"/>
      <c r="AV69" s="432"/>
      <c r="AW69" s="432"/>
      <c r="AX69" s="432"/>
      <c r="AY69" s="432"/>
      <c r="AZ69" s="432"/>
    </row>
    <row r="70" ht="15.75" customHeight="1">
      <c r="D70" s="464"/>
      <c r="E70" s="74"/>
      <c r="F70" s="74"/>
      <c r="G70" s="74"/>
      <c r="H70" s="74"/>
      <c r="I70" s="443"/>
      <c r="J70" s="447"/>
      <c r="K70" s="74"/>
      <c r="L70" s="74"/>
      <c r="M70" s="74"/>
      <c r="N70" s="74"/>
      <c r="O70" s="74"/>
      <c r="P70" s="74"/>
      <c r="Q70" s="74"/>
      <c r="R70" s="445"/>
      <c r="S70" s="74"/>
      <c r="T70" s="74"/>
      <c r="U70" s="446">
        <v>0.0</v>
      </c>
      <c r="V70" s="74"/>
      <c r="W70" s="74"/>
      <c r="Z70" s="443"/>
      <c r="AA70" s="447"/>
      <c r="AB70" s="74"/>
      <c r="AC70" s="74"/>
      <c r="AD70" s="74"/>
      <c r="AE70" s="74"/>
      <c r="AF70" s="74"/>
      <c r="AG70" s="74"/>
      <c r="AH70" s="74"/>
      <c r="AI70" s="445"/>
      <c r="AJ70" s="74"/>
      <c r="AK70" s="74"/>
      <c r="AL70" s="446">
        <v>0.0</v>
      </c>
      <c r="AM70" s="74"/>
      <c r="AN70" s="74"/>
      <c r="AQ70" s="448">
        <f t="shared" si="1"/>
        <v>0</v>
      </c>
      <c r="AR70" s="449">
        <f t="shared" si="2"/>
        <v>0</v>
      </c>
      <c r="AS70" s="450">
        <f t="shared" si="3"/>
        <v>0</v>
      </c>
      <c r="AT70" s="449">
        <f t="shared" si="4"/>
        <v>0</v>
      </c>
      <c r="AU70" s="432"/>
      <c r="AV70" s="432"/>
      <c r="AW70" s="432"/>
      <c r="AX70" s="432"/>
      <c r="AY70" s="432"/>
      <c r="AZ70" s="432"/>
    </row>
    <row r="71" ht="15.75" customHeight="1">
      <c r="D71" s="464"/>
      <c r="E71" s="74"/>
      <c r="F71" s="74"/>
      <c r="G71" s="74"/>
      <c r="H71" s="74"/>
      <c r="I71" s="443"/>
      <c r="J71" s="447"/>
      <c r="K71" s="74"/>
      <c r="L71" s="74"/>
      <c r="M71" s="74"/>
      <c r="N71" s="74"/>
      <c r="O71" s="74"/>
      <c r="P71" s="74"/>
      <c r="Q71" s="74"/>
      <c r="R71" s="445"/>
      <c r="S71" s="74"/>
      <c r="T71" s="74"/>
      <c r="U71" s="446">
        <v>0.0</v>
      </c>
      <c r="V71" s="74"/>
      <c r="W71" s="74"/>
      <c r="Z71" s="443"/>
      <c r="AA71" s="447"/>
      <c r="AB71" s="74"/>
      <c r="AC71" s="74"/>
      <c r="AD71" s="74"/>
      <c r="AE71" s="74"/>
      <c r="AF71" s="74"/>
      <c r="AG71" s="74"/>
      <c r="AH71" s="74"/>
      <c r="AI71" s="445"/>
      <c r="AJ71" s="74"/>
      <c r="AK71" s="74"/>
      <c r="AL71" s="446">
        <v>0.0</v>
      </c>
      <c r="AM71" s="74"/>
      <c r="AN71" s="74"/>
      <c r="AQ71" s="448">
        <f t="shared" si="1"/>
        <v>0</v>
      </c>
      <c r="AR71" s="449">
        <f t="shared" si="2"/>
        <v>0</v>
      </c>
      <c r="AS71" s="450">
        <f t="shared" si="3"/>
        <v>0</v>
      </c>
      <c r="AT71" s="449">
        <f t="shared" si="4"/>
        <v>0</v>
      </c>
      <c r="AU71" s="432"/>
      <c r="AV71" s="432"/>
      <c r="AW71" s="432"/>
      <c r="AX71" s="432"/>
      <c r="AY71" s="432"/>
      <c r="AZ71" s="432"/>
    </row>
    <row r="72" ht="15.75" customHeight="1">
      <c r="D72" s="464"/>
      <c r="E72" s="74"/>
      <c r="F72" s="74"/>
      <c r="G72" s="74"/>
      <c r="H72" s="74"/>
      <c r="I72" s="443"/>
      <c r="J72" s="447"/>
      <c r="K72" s="74"/>
      <c r="L72" s="74"/>
      <c r="M72" s="74"/>
      <c r="N72" s="74"/>
      <c r="O72" s="74"/>
      <c r="P72" s="74"/>
      <c r="Q72" s="74"/>
      <c r="R72" s="445"/>
      <c r="S72" s="74"/>
      <c r="T72" s="74"/>
      <c r="U72" s="446">
        <v>0.0</v>
      </c>
      <c r="V72" s="74"/>
      <c r="W72" s="74"/>
      <c r="Z72" s="443"/>
      <c r="AA72" s="447"/>
      <c r="AB72" s="74"/>
      <c r="AC72" s="74"/>
      <c r="AD72" s="74"/>
      <c r="AE72" s="74"/>
      <c r="AF72" s="74"/>
      <c r="AG72" s="74"/>
      <c r="AH72" s="74"/>
      <c r="AI72" s="445"/>
      <c r="AJ72" s="74"/>
      <c r="AK72" s="74"/>
      <c r="AL72" s="446">
        <v>0.0</v>
      </c>
      <c r="AM72" s="74"/>
      <c r="AN72" s="74"/>
      <c r="AQ72" s="448">
        <f t="shared" si="1"/>
        <v>0</v>
      </c>
      <c r="AR72" s="449">
        <f t="shared" si="2"/>
        <v>0</v>
      </c>
      <c r="AS72" s="450">
        <f t="shared" si="3"/>
        <v>0</v>
      </c>
      <c r="AT72" s="449">
        <f t="shared" si="4"/>
        <v>0</v>
      </c>
      <c r="AU72" s="432"/>
      <c r="AV72" s="432"/>
      <c r="AW72" s="432"/>
      <c r="AX72" s="432"/>
      <c r="AY72" s="432"/>
      <c r="AZ72" s="432"/>
    </row>
    <row r="73" ht="15.75" customHeight="1">
      <c r="D73" s="464"/>
      <c r="E73" s="74"/>
      <c r="F73" s="74"/>
      <c r="G73" s="74"/>
      <c r="H73" s="74"/>
      <c r="I73" s="443"/>
      <c r="J73" s="447"/>
      <c r="K73" s="74"/>
      <c r="L73" s="74"/>
      <c r="M73" s="74"/>
      <c r="N73" s="74"/>
      <c r="O73" s="74"/>
      <c r="P73" s="74"/>
      <c r="Q73" s="74"/>
      <c r="R73" s="445"/>
      <c r="S73" s="74"/>
      <c r="T73" s="74"/>
      <c r="U73" s="446">
        <v>0.0</v>
      </c>
      <c r="V73" s="74"/>
      <c r="W73" s="74"/>
      <c r="Z73" s="443"/>
      <c r="AA73" s="447"/>
      <c r="AB73" s="74"/>
      <c r="AC73" s="74"/>
      <c r="AD73" s="74"/>
      <c r="AE73" s="74"/>
      <c r="AF73" s="74"/>
      <c r="AG73" s="74"/>
      <c r="AH73" s="74"/>
      <c r="AI73" s="445"/>
      <c r="AJ73" s="74"/>
      <c r="AK73" s="74"/>
      <c r="AL73" s="446">
        <v>0.0</v>
      </c>
      <c r="AM73" s="74"/>
      <c r="AN73" s="74"/>
      <c r="AQ73" s="448">
        <f t="shared" si="1"/>
        <v>0</v>
      </c>
      <c r="AR73" s="449">
        <f t="shared" si="2"/>
        <v>0</v>
      </c>
      <c r="AS73" s="450">
        <f t="shared" si="3"/>
        <v>0</v>
      </c>
      <c r="AT73" s="449">
        <f t="shared" si="4"/>
        <v>0</v>
      </c>
      <c r="AU73" s="432"/>
      <c r="AV73" s="432"/>
      <c r="AW73" s="432"/>
      <c r="AX73" s="432"/>
      <c r="AY73" s="432"/>
      <c r="AZ73" s="432"/>
    </row>
    <row r="74" ht="15.75" customHeight="1">
      <c r="D74" s="464"/>
      <c r="E74" s="74"/>
      <c r="F74" s="74"/>
      <c r="G74" s="74"/>
      <c r="H74" s="74"/>
      <c r="I74" s="443"/>
      <c r="J74" s="447"/>
      <c r="K74" s="74"/>
      <c r="L74" s="74"/>
      <c r="M74" s="74"/>
      <c r="N74" s="74"/>
      <c r="O74" s="74"/>
      <c r="P74" s="74"/>
      <c r="Q74" s="74"/>
      <c r="R74" s="451"/>
      <c r="S74" s="74"/>
      <c r="T74" s="74"/>
      <c r="U74" s="446">
        <v>0.0</v>
      </c>
      <c r="V74" s="74"/>
      <c r="W74" s="74"/>
      <c r="Z74" s="443"/>
      <c r="AA74" s="447"/>
      <c r="AB74" s="74"/>
      <c r="AC74" s="74"/>
      <c r="AD74" s="74"/>
      <c r="AE74" s="74"/>
      <c r="AF74" s="74"/>
      <c r="AG74" s="74"/>
      <c r="AH74" s="74"/>
      <c r="AI74" s="451"/>
      <c r="AJ74" s="74"/>
      <c r="AK74" s="74"/>
      <c r="AL74" s="446">
        <v>0.0</v>
      </c>
      <c r="AM74" s="74"/>
      <c r="AN74" s="74"/>
      <c r="AQ74" s="448">
        <f t="shared" si="1"/>
        <v>0</v>
      </c>
      <c r="AR74" s="449">
        <f t="shared" si="2"/>
        <v>0</v>
      </c>
      <c r="AS74" s="450">
        <f t="shared" si="3"/>
        <v>0</v>
      </c>
      <c r="AT74" s="449">
        <f t="shared" si="4"/>
        <v>0</v>
      </c>
      <c r="AU74" s="432"/>
      <c r="AV74" s="432"/>
      <c r="AW74" s="432"/>
      <c r="AX74" s="432"/>
      <c r="AY74" s="432"/>
      <c r="AZ74" s="432"/>
    </row>
    <row r="75" ht="15.75" customHeight="1">
      <c r="D75" s="464"/>
      <c r="E75" s="74"/>
      <c r="F75" s="74"/>
      <c r="G75" s="74"/>
      <c r="H75" s="74"/>
      <c r="I75" s="443"/>
      <c r="J75" s="447"/>
      <c r="K75" s="74"/>
      <c r="L75" s="74"/>
      <c r="M75" s="74"/>
      <c r="N75" s="74"/>
      <c r="O75" s="74"/>
      <c r="P75" s="74"/>
      <c r="Q75" s="74"/>
      <c r="R75" s="445"/>
      <c r="S75" s="74"/>
      <c r="T75" s="74"/>
      <c r="U75" s="446">
        <v>0.0</v>
      </c>
      <c r="V75" s="74"/>
      <c r="W75" s="74"/>
      <c r="Z75" s="443"/>
      <c r="AA75" s="447"/>
      <c r="AB75" s="74"/>
      <c r="AC75" s="74"/>
      <c r="AD75" s="74"/>
      <c r="AE75" s="74"/>
      <c r="AF75" s="74"/>
      <c r="AG75" s="74"/>
      <c r="AH75" s="74"/>
      <c r="AI75" s="445"/>
      <c r="AJ75" s="74"/>
      <c r="AK75" s="74"/>
      <c r="AL75" s="446">
        <v>0.0</v>
      </c>
      <c r="AM75" s="74"/>
      <c r="AN75" s="74"/>
      <c r="AQ75" s="448">
        <f t="shared" si="1"/>
        <v>0</v>
      </c>
      <c r="AR75" s="449">
        <f t="shared" si="2"/>
        <v>0</v>
      </c>
      <c r="AS75" s="450">
        <f t="shared" si="3"/>
        <v>0</v>
      </c>
      <c r="AT75" s="449">
        <f t="shared" si="4"/>
        <v>0</v>
      </c>
      <c r="AU75" s="432"/>
      <c r="AV75" s="432"/>
      <c r="AW75" s="432"/>
      <c r="AX75" s="432"/>
      <c r="AY75" s="432"/>
      <c r="AZ75" s="432"/>
    </row>
    <row r="76" ht="15.75" customHeight="1">
      <c r="D76" s="464"/>
      <c r="E76" s="74"/>
      <c r="F76" s="74"/>
      <c r="G76" s="74"/>
      <c r="H76" s="74"/>
      <c r="I76" s="443"/>
      <c r="J76" s="447"/>
      <c r="K76" s="74"/>
      <c r="L76" s="74"/>
      <c r="M76" s="74"/>
      <c r="N76" s="74"/>
      <c r="O76" s="74"/>
      <c r="P76" s="74"/>
      <c r="Q76" s="74"/>
      <c r="R76" s="445"/>
      <c r="S76" s="74"/>
      <c r="T76" s="74"/>
      <c r="U76" s="446">
        <v>0.0</v>
      </c>
      <c r="V76" s="74"/>
      <c r="W76" s="74"/>
      <c r="Z76" s="443"/>
      <c r="AA76" s="447"/>
      <c r="AB76" s="74"/>
      <c r="AC76" s="74"/>
      <c r="AD76" s="74"/>
      <c r="AE76" s="74"/>
      <c r="AF76" s="74"/>
      <c r="AG76" s="74"/>
      <c r="AH76" s="74"/>
      <c r="AI76" s="445"/>
      <c r="AJ76" s="74"/>
      <c r="AK76" s="74"/>
      <c r="AL76" s="446">
        <v>0.0</v>
      </c>
      <c r="AM76" s="74"/>
      <c r="AN76" s="74"/>
      <c r="AQ76" s="465">
        <f t="shared" si="1"/>
        <v>0</v>
      </c>
      <c r="AR76" s="466">
        <f t="shared" si="2"/>
        <v>0</v>
      </c>
      <c r="AS76" s="450">
        <f t="shared" si="3"/>
        <v>0</v>
      </c>
      <c r="AT76" s="466">
        <f t="shared" si="4"/>
        <v>0</v>
      </c>
      <c r="AU76" s="432"/>
      <c r="AV76" s="432"/>
      <c r="AW76" s="432"/>
      <c r="AX76" s="432"/>
      <c r="AY76" s="432"/>
      <c r="AZ76" s="432"/>
    </row>
    <row r="77" ht="15.75" customHeight="1">
      <c r="D77" s="467"/>
      <c r="E77" s="85"/>
      <c r="F77" s="85"/>
      <c r="G77" s="85"/>
      <c r="H77" s="85"/>
      <c r="I77" s="105" t="s">
        <v>315</v>
      </c>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Q77" s="468"/>
      <c r="AR77" s="469"/>
      <c r="AS77" s="433"/>
      <c r="AT77" s="469"/>
      <c r="AU77" s="432"/>
      <c r="AV77" s="432"/>
      <c r="AW77" s="432"/>
      <c r="AX77" s="432"/>
      <c r="AY77" s="432"/>
      <c r="AZ77" s="432"/>
    </row>
    <row r="78" ht="15.75" customHeight="1">
      <c r="AQ78" s="468"/>
      <c r="AR78" s="469"/>
      <c r="AS78" s="433"/>
      <c r="AT78" s="469"/>
      <c r="AU78" s="432"/>
      <c r="AV78" s="432"/>
      <c r="AW78" s="432"/>
      <c r="AX78" s="432"/>
      <c r="AY78" s="432"/>
      <c r="AZ78" s="432"/>
    </row>
  </sheetData>
  <mergeCells count="524">
    <mergeCell ref="U2:W2"/>
    <mergeCell ref="AA2:AH2"/>
    <mergeCell ref="AI2:AK2"/>
    <mergeCell ref="AL2:AN2"/>
    <mergeCell ref="J2:Q2"/>
    <mergeCell ref="J3:Q3"/>
    <mergeCell ref="R3:T3"/>
    <mergeCell ref="U3:W3"/>
    <mergeCell ref="AA3:AH3"/>
    <mergeCell ref="AI3:AK3"/>
    <mergeCell ref="R4:T4"/>
    <mergeCell ref="U4:W4"/>
    <mergeCell ref="AA4:AH4"/>
    <mergeCell ref="AI4:AK4"/>
    <mergeCell ref="D3:G4"/>
    <mergeCell ref="J4:Q4"/>
    <mergeCell ref="D2:F2"/>
    <mergeCell ref="D5:E5"/>
    <mergeCell ref="J5:Q5"/>
    <mergeCell ref="R5:T5"/>
    <mergeCell ref="U5:W5"/>
    <mergeCell ref="AA5:AH5"/>
    <mergeCell ref="AI5:AK5"/>
    <mergeCell ref="AL5:AN5"/>
    <mergeCell ref="R6:T6"/>
    <mergeCell ref="U6:W6"/>
    <mergeCell ref="AA6:AH6"/>
    <mergeCell ref="AI6:AK6"/>
    <mergeCell ref="D6:G7"/>
    <mergeCell ref="J6:Q6"/>
    <mergeCell ref="J7:Q7"/>
    <mergeCell ref="R2:T2"/>
    <mergeCell ref="R7:T7"/>
    <mergeCell ref="U7:W7"/>
    <mergeCell ref="AA7:AH7"/>
    <mergeCell ref="AI7:AK7"/>
    <mergeCell ref="AL7:AN7"/>
    <mergeCell ref="D8:E8"/>
    <mergeCell ref="J8:Q8"/>
    <mergeCell ref="R8:T8"/>
    <mergeCell ref="U8:W8"/>
    <mergeCell ref="AA8:AH8"/>
    <mergeCell ref="AI8:AK8"/>
    <mergeCell ref="J9:Q9"/>
    <mergeCell ref="R9:T9"/>
    <mergeCell ref="U9:W9"/>
    <mergeCell ref="AA9:AH9"/>
    <mergeCell ref="AI9:AK9"/>
    <mergeCell ref="AL9:AN9"/>
    <mergeCell ref="J10:Q10"/>
    <mergeCell ref="R10:T10"/>
    <mergeCell ref="U10:W10"/>
    <mergeCell ref="AA10:AH10"/>
    <mergeCell ref="AI10:AK10"/>
    <mergeCell ref="AL10:AN10"/>
    <mergeCell ref="J11:Q11"/>
    <mergeCell ref="R11:T11"/>
    <mergeCell ref="U11:W11"/>
    <mergeCell ref="AA11:AH11"/>
    <mergeCell ref="AI11:AK11"/>
    <mergeCell ref="AL11:AN11"/>
    <mergeCell ref="J12:Q12"/>
    <mergeCell ref="R12:T12"/>
    <mergeCell ref="U12:W12"/>
    <mergeCell ref="AA12:AH12"/>
    <mergeCell ref="AI12:AK12"/>
    <mergeCell ref="AL12:AN12"/>
    <mergeCell ref="J13:Q13"/>
    <mergeCell ref="R13:T13"/>
    <mergeCell ref="U13:W13"/>
    <mergeCell ref="AA13:AH13"/>
    <mergeCell ref="AI13:AK13"/>
    <mergeCell ref="AL13:AN13"/>
    <mergeCell ref="J14:Q14"/>
    <mergeCell ref="R14:T14"/>
    <mergeCell ref="U14:W14"/>
    <mergeCell ref="AA14:AH14"/>
    <mergeCell ref="AI14:AK14"/>
    <mergeCell ref="AL14:AN14"/>
    <mergeCell ref="J15:Q15"/>
    <mergeCell ref="R15:T15"/>
    <mergeCell ref="U15:W15"/>
    <mergeCell ref="AA15:AH15"/>
    <mergeCell ref="AI15:AK15"/>
    <mergeCell ref="AL15:AN15"/>
    <mergeCell ref="J16:Q16"/>
    <mergeCell ref="R16:T16"/>
    <mergeCell ref="U16:W16"/>
    <mergeCell ref="AA16:AH16"/>
    <mergeCell ref="AI16:AK16"/>
    <mergeCell ref="AL16:AN16"/>
    <mergeCell ref="J17:Q17"/>
    <mergeCell ref="R17:T17"/>
    <mergeCell ref="U17:W17"/>
    <mergeCell ref="AA17:AH17"/>
    <mergeCell ref="AI17:AK17"/>
    <mergeCell ref="AL17:AN17"/>
    <mergeCell ref="D18:F18"/>
    <mergeCell ref="H18:H28"/>
    <mergeCell ref="H2:H17"/>
    <mergeCell ref="D9:G10"/>
    <mergeCell ref="D11:E11"/>
    <mergeCell ref="D12:G13"/>
    <mergeCell ref="D14:E14"/>
    <mergeCell ref="D15:G16"/>
    <mergeCell ref="D17:F17"/>
    <mergeCell ref="J18:Q18"/>
    <mergeCell ref="R18:T18"/>
    <mergeCell ref="U18:W18"/>
    <mergeCell ref="AA18:AH18"/>
    <mergeCell ref="AI18:AK18"/>
    <mergeCell ref="AL18:AN18"/>
    <mergeCell ref="E19:G19"/>
    <mergeCell ref="J19:Q19"/>
    <mergeCell ref="R19:T19"/>
    <mergeCell ref="U19:W19"/>
    <mergeCell ref="AA19:AH19"/>
    <mergeCell ref="AI19:AK19"/>
    <mergeCell ref="J20:Q20"/>
    <mergeCell ref="J21:Q21"/>
    <mergeCell ref="R21:T21"/>
    <mergeCell ref="U21:W21"/>
    <mergeCell ref="AA21:AH21"/>
    <mergeCell ref="AI21:AK21"/>
    <mergeCell ref="AL21:AN21"/>
    <mergeCell ref="D22:G22"/>
    <mergeCell ref="J22:Q22"/>
    <mergeCell ref="R22:T22"/>
    <mergeCell ref="U22:W22"/>
    <mergeCell ref="AA22:AH22"/>
    <mergeCell ref="AI22:AK22"/>
    <mergeCell ref="AL22:AN22"/>
    <mergeCell ref="D23:G23"/>
    <mergeCell ref="J23:Q23"/>
    <mergeCell ref="R23:T23"/>
    <mergeCell ref="U23:W23"/>
    <mergeCell ref="AA23:AH23"/>
    <mergeCell ref="AI23:AK23"/>
    <mergeCell ref="AL23:AN23"/>
    <mergeCell ref="E24:G24"/>
    <mergeCell ref="J24:Q24"/>
    <mergeCell ref="R24:T24"/>
    <mergeCell ref="U24:W24"/>
    <mergeCell ref="AA24:AH24"/>
    <mergeCell ref="AI24:AK24"/>
    <mergeCell ref="AL24:AN24"/>
    <mergeCell ref="D25:G26"/>
    <mergeCell ref="J25:Q25"/>
    <mergeCell ref="J26:Q26"/>
    <mergeCell ref="R25:T25"/>
    <mergeCell ref="U25:W25"/>
    <mergeCell ref="AA25:AH25"/>
    <mergeCell ref="AI25:AK25"/>
    <mergeCell ref="AL25:AN25"/>
    <mergeCell ref="R26:T26"/>
    <mergeCell ref="U26:W26"/>
    <mergeCell ref="AA26:AH26"/>
    <mergeCell ref="AI26:AK26"/>
    <mergeCell ref="AL26:AN26"/>
    <mergeCell ref="D27:G27"/>
    <mergeCell ref="J27:Q27"/>
    <mergeCell ref="R27:T27"/>
    <mergeCell ref="U27:W27"/>
    <mergeCell ref="AA27:AH27"/>
    <mergeCell ref="AI27:AK27"/>
    <mergeCell ref="AL27:AN27"/>
    <mergeCell ref="J28:Q28"/>
    <mergeCell ref="R28:T28"/>
    <mergeCell ref="U28:W28"/>
    <mergeCell ref="AA28:AH28"/>
    <mergeCell ref="AI28:AK28"/>
    <mergeCell ref="AL28:AN28"/>
    <mergeCell ref="D29:H29"/>
    <mergeCell ref="J29:Q29"/>
    <mergeCell ref="R29:T29"/>
    <mergeCell ref="U29:W29"/>
    <mergeCell ref="AA29:AH29"/>
    <mergeCell ref="AI29:AK29"/>
    <mergeCell ref="AL29:AN29"/>
    <mergeCell ref="D30:H30"/>
    <mergeCell ref="J30:Q30"/>
    <mergeCell ref="R30:T30"/>
    <mergeCell ref="U30:W30"/>
    <mergeCell ref="AA30:AH30"/>
    <mergeCell ref="AI30:AK30"/>
    <mergeCell ref="AL30:AN30"/>
    <mergeCell ref="D31:H31"/>
    <mergeCell ref="J31:Q31"/>
    <mergeCell ref="R31:T31"/>
    <mergeCell ref="U31:W31"/>
    <mergeCell ref="AA31:AH31"/>
    <mergeCell ref="AI31:AK31"/>
    <mergeCell ref="AL31:AN31"/>
    <mergeCell ref="D32:H32"/>
    <mergeCell ref="J32:Q32"/>
    <mergeCell ref="R32:T32"/>
    <mergeCell ref="U32:W32"/>
    <mergeCell ref="AA32:AH32"/>
    <mergeCell ref="AI32:AK32"/>
    <mergeCell ref="AL32:AN32"/>
    <mergeCell ref="D33:H33"/>
    <mergeCell ref="J33:Q33"/>
    <mergeCell ref="R33:T33"/>
    <mergeCell ref="U33:W33"/>
    <mergeCell ref="AA33:AH33"/>
    <mergeCell ref="AI33:AK33"/>
    <mergeCell ref="AL33:AN33"/>
    <mergeCell ref="D34:H34"/>
    <mergeCell ref="J34:Q34"/>
    <mergeCell ref="R34:T34"/>
    <mergeCell ref="U34:W34"/>
    <mergeCell ref="AA34:AH34"/>
    <mergeCell ref="AI34:AK34"/>
    <mergeCell ref="AL34:AN34"/>
    <mergeCell ref="D35:H35"/>
    <mergeCell ref="J35:Q35"/>
    <mergeCell ref="R35:T35"/>
    <mergeCell ref="U35:W35"/>
    <mergeCell ref="AA35:AH35"/>
    <mergeCell ref="AI35:AK35"/>
    <mergeCell ref="AL35:AN35"/>
    <mergeCell ref="D36:H36"/>
    <mergeCell ref="J36:Q36"/>
    <mergeCell ref="R36:T36"/>
    <mergeCell ref="U36:W36"/>
    <mergeCell ref="AA36:AH36"/>
    <mergeCell ref="AI36:AK36"/>
    <mergeCell ref="AL36:AN36"/>
    <mergeCell ref="D37:H37"/>
    <mergeCell ref="J37:Q37"/>
    <mergeCell ref="R37:T37"/>
    <mergeCell ref="U37:W37"/>
    <mergeCell ref="AA37:AH37"/>
    <mergeCell ref="AI37:AK37"/>
    <mergeCell ref="AL37:AN37"/>
    <mergeCell ref="D38:H38"/>
    <mergeCell ref="J38:Q38"/>
    <mergeCell ref="R38:T38"/>
    <mergeCell ref="U38:W38"/>
    <mergeCell ref="AA38:AH38"/>
    <mergeCell ref="AI38:AK38"/>
    <mergeCell ref="AL38:AN38"/>
    <mergeCell ref="D39:H39"/>
    <mergeCell ref="J39:Q39"/>
    <mergeCell ref="R39:T39"/>
    <mergeCell ref="U39:W39"/>
    <mergeCell ref="AA39:AH39"/>
    <mergeCell ref="AI39:AK39"/>
    <mergeCell ref="AL39:AN39"/>
    <mergeCell ref="D40:H40"/>
    <mergeCell ref="J40:Q40"/>
    <mergeCell ref="R40:T40"/>
    <mergeCell ref="U40:W40"/>
    <mergeCell ref="AA40:AH40"/>
    <mergeCell ref="AI40:AK40"/>
    <mergeCell ref="AL40:AN40"/>
    <mergeCell ref="D41:H41"/>
    <mergeCell ref="J41:Q41"/>
    <mergeCell ref="R41:T41"/>
    <mergeCell ref="U41:W41"/>
    <mergeCell ref="AA41:AH41"/>
    <mergeCell ref="AI41:AK41"/>
    <mergeCell ref="AL41:AN41"/>
    <mergeCell ref="D42:H42"/>
    <mergeCell ref="J42:Q42"/>
    <mergeCell ref="R42:T42"/>
    <mergeCell ref="U42:W42"/>
    <mergeCell ref="AA42:AH42"/>
    <mergeCell ref="AI42:AK42"/>
    <mergeCell ref="AL42:AN42"/>
    <mergeCell ref="D43:H43"/>
    <mergeCell ref="J43:Q43"/>
    <mergeCell ref="R43:T43"/>
    <mergeCell ref="U43:W43"/>
    <mergeCell ref="AA43:AH43"/>
    <mergeCell ref="AI43:AK43"/>
    <mergeCell ref="AL43:AN43"/>
    <mergeCell ref="D44:H44"/>
    <mergeCell ref="J44:Q44"/>
    <mergeCell ref="R44:T44"/>
    <mergeCell ref="U44:W44"/>
    <mergeCell ref="AA44:AH44"/>
    <mergeCell ref="AI44:AK44"/>
    <mergeCell ref="AL44:AN44"/>
    <mergeCell ref="D45:H45"/>
    <mergeCell ref="J45:Q45"/>
    <mergeCell ref="R45:T45"/>
    <mergeCell ref="U45:W45"/>
    <mergeCell ref="AA45:AH45"/>
    <mergeCell ref="AI45:AK45"/>
    <mergeCell ref="AL45:AN45"/>
    <mergeCell ref="D46:H46"/>
    <mergeCell ref="J46:Q46"/>
    <mergeCell ref="R46:T46"/>
    <mergeCell ref="U46:W46"/>
    <mergeCell ref="AA46:AH46"/>
    <mergeCell ref="AI46:AK46"/>
    <mergeCell ref="AL46:AN46"/>
    <mergeCell ref="D47:H47"/>
    <mergeCell ref="J47:Q47"/>
    <mergeCell ref="R47:T47"/>
    <mergeCell ref="U47:W47"/>
    <mergeCell ref="AA47:AH47"/>
    <mergeCell ref="AI47:AK47"/>
    <mergeCell ref="AL47:AN47"/>
    <mergeCell ref="D48:H48"/>
    <mergeCell ref="J48:Q48"/>
    <mergeCell ref="R48:T48"/>
    <mergeCell ref="U48:W48"/>
    <mergeCell ref="AA48:AH48"/>
    <mergeCell ref="AI48:AK48"/>
    <mergeCell ref="AL48:AN48"/>
    <mergeCell ref="D49:H49"/>
    <mergeCell ref="J49:Q49"/>
    <mergeCell ref="R49:T49"/>
    <mergeCell ref="U49:W49"/>
    <mergeCell ref="AA49:AH49"/>
    <mergeCell ref="AI49:AK49"/>
    <mergeCell ref="AL49:AN49"/>
    <mergeCell ref="D50:H50"/>
    <mergeCell ref="J50:Q50"/>
    <mergeCell ref="R50:T50"/>
    <mergeCell ref="U50:W50"/>
    <mergeCell ref="AA50:AH50"/>
    <mergeCell ref="AI50:AK50"/>
    <mergeCell ref="AL50:AN50"/>
    <mergeCell ref="D51:H51"/>
    <mergeCell ref="J51:Q51"/>
    <mergeCell ref="R51:T51"/>
    <mergeCell ref="U51:W51"/>
    <mergeCell ref="AA51:AH51"/>
    <mergeCell ref="AI51:AK51"/>
    <mergeCell ref="AL51:AN51"/>
    <mergeCell ref="D52:H52"/>
    <mergeCell ref="J66:Q66"/>
    <mergeCell ref="R66:T66"/>
    <mergeCell ref="U66:W66"/>
    <mergeCell ref="AA66:AH66"/>
    <mergeCell ref="AI66:AK66"/>
    <mergeCell ref="AL66:AN66"/>
    <mergeCell ref="D67:H67"/>
    <mergeCell ref="J67:Q67"/>
    <mergeCell ref="R67:T67"/>
    <mergeCell ref="U67:W67"/>
    <mergeCell ref="AA67:AH67"/>
    <mergeCell ref="AI67:AK67"/>
    <mergeCell ref="AL67:AN67"/>
    <mergeCell ref="D68:H68"/>
    <mergeCell ref="J68:Q68"/>
    <mergeCell ref="R68:T68"/>
    <mergeCell ref="U68:W68"/>
    <mergeCell ref="AA68:AH68"/>
    <mergeCell ref="AI68:AK68"/>
    <mergeCell ref="AL68:AN68"/>
    <mergeCell ref="D69:H69"/>
    <mergeCell ref="J69:Q69"/>
    <mergeCell ref="R69:T69"/>
    <mergeCell ref="U69:W69"/>
    <mergeCell ref="AA69:AH69"/>
    <mergeCell ref="AI69:AK69"/>
    <mergeCell ref="AL69:AN69"/>
    <mergeCell ref="D70:H70"/>
    <mergeCell ref="J70:Q70"/>
    <mergeCell ref="R70:T70"/>
    <mergeCell ref="U70:W70"/>
    <mergeCell ref="AA70:AH70"/>
    <mergeCell ref="AI70:AK70"/>
    <mergeCell ref="AL70:AN70"/>
    <mergeCell ref="D71:H71"/>
    <mergeCell ref="J71:Q71"/>
    <mergeCell ref="R71:T71"/>
    <mergeCell ref="U71:W71"/>
    <mergeCell ref="AA71:AH71"/>
    <mergeCell ref="AI71:AK71"/>
    <mergeCell ref="AL71:AN71"/>
    <mergeCell ref="D72:H72"/>
    <mergeCell ref="J72:Q72"/>
    <mergeCell ref="R72:T72"/>
    <mergeCell ref="U72:W72"/>
    <mergeCell ref="AA72:AH72"/>
    <mergeCell ref="AI72:AK72"/>
    <mergeCell ref="AL72:AN72"/>
    <mergeCell ref="D73:H73"/>
    <mergeCell ref="J73:Q73"/>
    <mergeCell ref="R73:T73"/>
    <mergeCell ref="U73:W73"/>
    <mergeCell ref="AA73:AH73"/>
    <mergeCell ref="AI73:AK73"/>
    <mergeCell ref="AL73:AN73"/>
    <mergeCell ref="D74:H74"/>
    <mergeCell ref="AL19:AN19"/>
    <mergeCell ref="D20:G21"/>
    <mergeCell ref="R20:T20"/>
    <mergeCell ref="U20:W20"/>
    <mergeCell ref="AA20:AH20"/>
    <mergeCell ref="AI20:AK20"/>
    <mergeCell ref="AL20:AN20"/>
    <mergeCell ref="J76:Q76"/>
    <mergeCell ref="R76:T76"/>
    <mergeCell ref="U76:W76"/>
    <mergeCell ref="AA76:AH76"/>
    <mergeCell ref="AI76:AK76"/>
    <mergeCell ref="AL76:AN76"/>
    <mergeCell ref="D77:H77"/>
    <mergeCell ref="I77:AN77"/>
    <mergeCell ref="B1:C78"/>
    <mergeCell ref="AO1:AO78"/>
    <mergeCell ref="X2:Y76"/>
    <mergeCell ref="AL3:AN3"/>
    <mergeCell ref="AL4:AN4"/>
    <mergeCell ref="AL6:AN6"/>
    <mergeCell ref="AL8:AN8"/>
    <mergeCell ref="J74:Q74"/>
    <mergeCell ref="R74:T74"/>
    <mergeCell ref="U74:W74"/>
    <mergeCell ref="AA74:AH74"/>
    <mergeCell ref="AI74:AK74"/>
    <mergeCell ref="AL74:AN74"/>
    <mergeCell ref="D75:H75"/>
    <mergeCell ref="J75:Q75"/>
    <mergeCell ref="R75:T75"/>
    <mergeCell ref="U75:W75"/>
    <mergeCell ref="AA75:AH75"/>
    <mergeCell ref="AI75:AK75"/>
    <mergeCell ref="AL75:AN75"/>
    <mergeCell ref="D76:H76"/>
    <mergeCell ref="J52:Q52"/>
    <mergeCell ref="R52:T52"/>
    <mergeCell ref="U52:W52"/>
    <mergeCell ref="AA52:AH52"/>
    <mergeCell ref="AI52:AK52"/>
    <mergeCell ref="AL52:AN52"/>
    <mergeCell ref="D53:H53"/>
    <mergeCell ref="J53:Q53"/>
    <mergeCell ref="R53:T53"/>
    <mergeCell ref="U53:W53"/>
    <mergeCell ref="AA53:AH53"/>
    <mergeCell ref="AI53:AK53"/>
    <mergeCell ref="AL53:AN53"/>
    <mergeCell ref="D54:H54"/>
    <mergeCell ref="J54:Q54"/>
    <mergeCell ref="R54:T54"/>
    <mergeCell ref="U54:W54"/>
    <mergeCell ref="AA54:AH54"/>
    <mergeCell ref="AI54:AK54"/>
    <mergeCell ref="AL54:AN54"/>
    <mergeCell ref="D55:H55"/>
    <mergeCell ref="J55:Q55"/>
    <mergeCell ref="R55:T55"/>
    <mergeCell ref="U55:W55"/>
    <mergeCell ref="AA55:AH55"/>
    <mergeCell ref="AI55:AK55"/>
    <mergeCell ref="AL55:AN55"/>
    <mergeCell ref="D56:H56"/>
    <mergeCell ref="J56:Q56"/>
    <mergeCell ref="R56:T56"/>
    <mergeCell ref="U56:W56"/>
    <mergeCell ref="AA56:AH56"/>
    <mergeCell ref="AI56:AK56"/>
    <mergeCell ref="AL56:AN56"/>
    <mergeCell ref="D57:H57"/>
    <mergeCell ref="J57:Q57"/>
    <mergeCell ref="R57:T57"/>
    <mergeCell ref="U57:W57"/>
    <mergeCell ref="AA57:AH57"/>
    <mergeCell ref="AI57:AK57"/>
    <mergeCell ref="AL57:AN57"/>
    <mergeCell ref="D58:H58"/>
    <mergeCell ref="J58:Q58"/>
    <mergeCell ref="R58:T58"/>
    <mergeCell ref="U58:W58"/>
    <mergeCell ref="AA58:AH58"/>
    <mergeCell ref="AI58:AK58"/>
    <mergeCell ref="AL58:AN58"/>
    <mergeCell ref="D59:H59"/>
    <mergeCell ref="J59:Q59"/>
    <mergeCell ref="R59:T59"/>
    <mergeCell ref="U59:W59"/>
    <mergeCell ref="AA59:AH59"/>
    <mergeCell ref="AI59:AK59"/>
    <mergeCell ref="AL59:AN59"/>
    <mergeCell ref="D60:H60"/>
    <mergeCell ref="J60:Q60"/>
    <mergeCell ref="R60:T60"/>
    <mergeCell ref="U60:W60"/>
    <mergeCell ref="AA60:AH60"/>
    <mergeCell ref="AI60:AK60"/>
    <mergeCell ref="AL60:AN60"/>
    <mergeCell ref="D61:H61"/>
    <mergeCell ref="J61:Q61"/>
    <mergeCell ref="R61:T61"/>
    <mergeCell ref="U61:W61"/>
    <mergeCell ref="AA61:AH61"/>
    <mergeCell ref="AI61:AK61"/>
    <mergeCell ref="AL61:AN61"/>
    <mergeCell ref="D62:H62"/>
    <mergeCell ref="J62:Q62"/>
    <mergeCell ref="R62:T62"/>
    <mergeCell ref="U62:W62"/>
    <mergeCell ref="AA62:AH62"/>
    <mergeCell ref="AI62:AK62"/>
    <mergeCell ref="AL62:AN62"/>
    <mergeCell ref="D63:H63"/>
    <mergeCell ref="J63:Q63"/>
    <mergeCell ref="R63:T63"/>
    <mergeCell ref="U63:W63"/>
    <mergeCell ref="AA63:AH63"/>
    <mergeCell ref="AI63:AK63"/>
    <mergeCell ref="AL63:AN63"/>
    <mergeCell ref="D64:H64"/>
    <mergeCell ref="J64:Q64"/>
    <mergeCell ref="R64:T64"/>
    <mergeCell ref="U64:W64"/>
    <mergeCell ref="AA64:AH64"/>
    <mergeCell ref="AI64:AK64"/>
    <mergeCell ref="AL64:AN64"/>
    <mergeCell ref="D65:H65"/>
    <mergeCell ref="J65:Q65"/>
    <mergeCell ref="R65:T65"/>
    <mergeCell ref="U65:W65"/>
    <mergeCell ref="AA65:AH65"/>
    <mergeCell ref="AI65:AK65"/>
    <mergeCell ref="AL65:AN65"/>
    <mergeCell ref="D66:H66"/>
  </mergeCells>
  <conditionalFormatting sqref="I3:W76 Z3:AN76">
    <cfRule type="expression" dxfId="13" priority="1">
      <formula>AND($I3=0,$I3&lt;&gt;"")</formula>
    </cfRule>
  </conditionalFormatting>
  <conditionalFormatting sqref="R3:R76 AI3:AI76">
    <cfRule type="containsText" dxfId="36" priority="2" operator="containsText" text="cp">
      <formula>NOT(ISERROR(SEARCH(("cp"),(R3))))</formula>
    </cfRule>
  </conditionalFormatting>
  <conditionalFormatting sqref="R3:R76 AI3:AI76">
    <cfRule type="containsText" dxfId="12" priority="3" operator="containsText" text="sp">
      <formula>NOT(ISERROR(SEARCH(("sp"),(R3))))</formula>
    </cfRule>
  </conditionalFormatting>
  <conditionalFormatting sqref="R3:R76 AI3:AI76">
    <cfRule type="containsText" dxfId="11" priority="4" operator="containsText" text="ep">
      <formula>NOT(ISERROR(SEARCH(("ep"),(R3))))</formula>
    </cfRule>
  </conditionalFormatting>
  <conditionalFormatting sqref="R3:R76 AI3:AI76">
    <cfRule type="containsText" dxfId="38" priority="5" operator="containsText" text="pp">
      <formula>NOT(ISERROR(SEARCH(("pp"),(R3))))</formula>
    </cfRule>
  </conditionalFormatting>
  <conditionalFormatting sqref="R3:R76 AI3:AI76">
    <cfRule type="cellIs" dxfId="36" priority="6" operator="between">
      <formula>0.01</formula>
      <formula>0.09</formula>
    </cfRule>
  </conditionalFormatting>
  <conditionalFormatting sqref="R3:R76 AI3:AI76">
    <cfRule type="cellIs" dxfId="12" priority="7" operator="between">
      <formula>0.1</formula>
      <formula>0.9</formula>
    </cfRule>
  </conditionalFormatting>
  <conditionalFormatting sqref="R3:R76 AI3:AI76">
    <cfRule type="containsText" dxfId="5" priority="8" operator="containsText" text="gp">
      <formula>NOT(ISERROR(SEARCH(("gp"),(R3))))</formula>
    </cfRule>
  </conditionalFormatting>
  <conditionalFormatting sqref="R3:R76 AI3:AI76">
    <cfRule type="containsText" dxfId="5" priority="9" operator="containsText" text="gp">
      <formula>NOT(ISERROR(SEARCH(("gp"),(R3))))</formula>
    </cfRule>
  </conditionalFormatting>
  <conditionalFormatting sqref="R3:R76 U3:U76 AI3:AI76 AL3:AL76">
    <cfRule type="cellIs" dxfId="13" priority="10" operator="equal">
      <formula>"-"</formula>
    </cfRule>
  </conditionalFormatting>
  <conditionalFormatting sqref="E19">
    <cfRule type="cellIs" dxfId="35" priority="11" operator="equal">
      <formula>0</formula>
    </cfRule>
  </conditionalFormatting>
  <conditionalFormatting sqref="D20">
    <cfRule type="cellIs" dxfId="35" priority="12" operator="equal">
      <formula>0</formula>
    </cfRule>
  </conditionalFormatting>
  <conditionalFormatting sqref="D22 D27 I28 Z28">
    <cfRule type="expression" dxfId="0" priority="13">
      <formula>#REF!="Red"</formula>
    </cfRule>
  </conditionalFormatting>
  <conditionalFormatting sqref="D22 D27 I28 Z28">
    <cfRule type="expression" dxfId="4" priority="14">
      <formula>#REF!="Orange"</formula>
    </cfRule>
  </conditionalFormatting>
  <conditionalFormatting sqref="D22 D27 I28 Z28">
    <cfRule type="expression" dxfId="29" priority="15">
      <formula>#REF!="Yellow"</formula>
    </cfRule>
  </conditionalFormatting>
  <conditionalFormatting sqref="D22 D27 I28 Z28">
    <cfRule type="expression" dxfId="30" priority="16">
      <formula>#REF!="Green"</formula>
    </cfRule>
  </conditionalFormatting>
  <conditionalFormatting sqref="D22 D27 I28 Z28">
    <cfRule type="expression" dxfId="31" priority="17">
      <formula>#REF!="Cyan"</formula>
    </cfRule>
  </conditionalFormatting>
  <conditionalFormatting sqref="D22 D27 I28 Z28">
    <cfRule type="expression" dxfId="32" priority="18">
      <formula>#REF!="Blue"</formula>
    </cfRule>
  </conditionalFormatting>
  <conditionalFormatting sqref="D22 D27 I28 Z28">
    <cfRule type="expression" dxfId="33" priority="19">
      <formula>#REF!="Purple"</formula>
    </cfRule>
  </conditionalFormatting>
  <conditionalFormatting sqref="D22 D27 I28 Z28">
    <cfRule type="expression" dxfId="34" priority="20">
      <formula>#REF!="Magenta"</formula>
    </cfRule>
  </conditionalFormatting>
  <conditionalFormatting sqref="D25">
    <cfRule type="expression" dxfId="0" priority="21">
      <formula>$D$25&gt;$E$24</formula>
    </cfRule>
  </conditionalFormatting>
  <conditionalFormatting sqref="D25">
    <cfRule type="cellIs" dxfId="35" priority="22" operator="equal">
      <formula>0</formula>
    </cfRule>
  </conditionalFormatting>
  <conditionalFormatting sqref="D25:G26">
    <cfRule type="expression" dxfId="40" priority="23">
      <formula>$D$25&lt;=(E$24*0.25)</formula>
    </cfRule>
  </conditionalFormatting>
  <conditionalFormatting sqref="D25:G26">
    <cfRule type="expression" dxfId="12" priority="24">
      <formula>$D$25&lt;=(E$24*0.5)</formula>
    </cfRule>
  </conditionalFormatting>
  <conditionalFormatting sqref="D25:G26">
    <cfRule type="expression" dxfId="41" priority="25">
      <formula>$D$25&lt;=(E$24*0.75)</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s>
  <sheetData>
    <row r="1" ht="15.75" customHeight="1">
      <c r="A1" s="470"/>
      <c r="B1" s="471" t="str">
        <f>IMAGE("http://i.imgur.com/gbsVPTj.png",4,794,20)</f>
        <v/>
      </c>
      <c r="C1" s="470"/>
      <c r="D1" s="470"/>
      <c r="E1" s="470"/>
      <c r="F1" s="470"/>
      <c r="G1" s="470"/>
      <c r="H1" s="470"/>
      <c r="I1" s="470"/>
      <c r="J1" s="470"/>
      <c r="K1" s="470"/>
      <c r="L1" s="470"/>
      <c r="M1" s="470"/>
      <c r="N1" s="470"/>
      <c r="O1" s="470"/>
      <c r="P1" s="470"/>
      <c r="Q1" s="470"/>
      <c r="R1" s="470"/>
      <c r="S1" s="470"/>
      <c r="T1" s="470"/>
      <c r="U1" s="470"/>
      <c r="V1" s="470"/>
      <c r="W1" s="470"/>
      <c r="X1" s="470"/>
      <c r="Y1" s="470"/>
      <c r="Z1" s="470"/>
      <c r="AA1" s="470"/>
      <c r="AB1" s="470"/>
      <c r="AC1" s="470"/>
      <c r="AD1" s="470"/>
      <c r="AE1" s="470"/>
      <c r="AF1" s="470"/>
      <c r="AG1" s="470"/>
      <c r="AH1" s="470"/>
      <c r="AI1" s="470"/>
      <c r="AJ1" s="470"/>
      <c r="AK1" s="470"/>
      <c r="AL1" s="470"/>
      <c r="AM1" s="470"/>
      <c r="AN1" s="470"/>
      <c r="AO1" s="471" t="str">
        <f>IMAGE("http://i.imgur.com/bjRc7Lz.png",4,794,20)</f>
        <v/>
      </c>
      <c r="AP1" s="470"/>
    </row>
    <row r="2" ht="15.75" customHeight="1">
      <c r="A2" s="470"/>
      <c r="C2" s="472" t="s">
        <v>316</v>
      </c>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P2" s="470"/>
    </row>
    <row r="3" ht="15.75" customHeight="1">
      <c r="A3" s="470"/>
      <c r="C3" s="473" t="s">
        <v>317</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P3" s="470"/>
    </row>
    <row r="4" ht="15.75" customHeight="1">
      <c r="A4" s="470"/>
      <c r="C4" s="474" t="s">
        <v>318</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P4" s="470"/>
    </row>
    <row r="5" ht="15.75" customHeight="1">
      <c r="A5" s="470"/>
      <c r="C5" s="475"/>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P5" s="470"/>
    </row>
    <row r="6" ht="15.75" customHeight="1">
      <c r="A6" s="470"/>
      <c r="C6" s="475" t="s">
        <v>319</v>
      </c>
      <c r="D6" s="171"/>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P6" s="470"/>
    </row>
    <row r="7" ht="15.75" customHeight="1">
      <c r="A7" s="470"/>
      <c r="C7" s="476" t="s">
        <v>320</v>
      </c>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P7" s="470"/>
    </row>
    <row r="8" ht="15.75" customHeight="1">
      <c r="A8" s="470"/>
      <c r="C8" s="473" t="s">
        <v>321</v>
      </c>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P8" s="470"/>
    </row>
    <row r="9" ht="15.75" customHeight="1">
      <c r="A9" s="470"/>
      <c r="C9" s="473" t="s">
        <v>322</v>
      </c>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P9" s="470"/>
    </row>
    <row r="10" ht="15.75" customHeight="1">
      <c r="A10" s="470"/>
      <c r="AP10" s="470"/>
    </row>
    <row r="11" ht="15.75" customHeight="1">
      <c r="A11" s="470"/>
      <c r="C11" s="477" t="s">
        <v>323</v>
      </c>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P11" s="470"/>
    </row>
    <row r="12" ht="15.75" customHeight="1">
      <c r="A12" s="470"/>
      <c r="C12" s="473" t="s">
        <v>324</v>
      </c>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P12" s="470"/>
    </row>
    <row r="13" ht="15.75" customHeight="1">
      <c r="A13" s="470"/>
      <c r="C13" s="473" t="s">
        <v>325</v>
      </c>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P13" s="470"/>
    </row>
    <row r="14" ht="15.75" customHeight="1">
      <c r="A14" s="470"/>
      <c r="C14" s="473" t="s">
        <v>326</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P14" s="470"/>
    </row>
    <row r="15" ht="15.75" customHeight="1">
      <c r="A15" s="470"/>
      <c r="AP15" s="470"/>
    </row>
    <row r="16" ht="15.75" customHeight="1">
      <c r="A16" s="470"/>
      <c r="C16" s="477" t="s">
        <v>327</v>
      </c>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P16" s="470"/>
    </row>
    <row r="17" ht="15.75" customHeight="1">
      <c r="A17" s="470"/>
      <c r="C17" s="473" t="s">
        <v>328</v>
      </c>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P17" s="470"/>
    </row>
    <row r="18" ht="15.75" customHeight="1">
      <c r="A18" s="470"/>
      <c r="C18" s="473"/>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P18" s="470"/>
    </row>
    <row r="19" ht="15.75" customHeight="1">
      <c r="A19" s="470"/>
      <c r="C19" s="478" t="s">
        <v>329</v>
      </c>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P19" s="470"/>
    </row>
    <row r="20" ht="15.75" customHeight="1">
      <c r="A20" s="470"/>
      <c r="C20" s="479" t="s">
        <v>330</v>
      </c>
      <c r="D20" s="171"/>
      <c r="E20" s="171"/>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71"/>
      <c r="AM20" s="171"/>
      <c r="AN20" s="171"/>
      <c r="AP20" s="470"/>
    </row>
    <row r="21" ht="15.75" customHeight="1">
      <c r="A21" s="470"/>
      <c r="C21" s="479" t="s">
        <v>331</v>
      </c>
      <c r="D21" s="171"/>
      <c r="E21" s="171"/>
      <c r="F21" s="171"/>
      <c r="G21" s="171"/>
      <c r="H21" s="171"/>
      <c r="I21" s="171"/>
      <c r="J21" s="171"/>
      <c r="K21" s="171"/>
      <c r="L21" s="171"/>
      <c r="M21" s="171"/>
      <c r="N21" s="171"/>
      <c r="O21" s="171"/>
      <c r="P21" s="171"/>
      <c r="Q21" s="171"/>
      <c r="R21" s="171"/>
      <c r="S21" s="171"/>
      <c r="T21" s="171"/>
      <c r="U21" s="171"/>
      <c r="V21" s="171"/>
      <c r="W21" s="171"/>
      <c r="X21" s="171"/>
      <c r="Y21" s="171"/>
      <c r="Z21" s="171"/>
      <c r="AA21" s="171"/>
      <c r="AB21" s="171"/>
      <c r="AC21" s="171"/>
      <c r="AD21" s="171"/>
      <c r="AE21" s="171"/>
      <c r="AF21" s="171"/>
      <c r="AG21" s="171"/>
      <c r="AH21" s="171"/>
      <c r="AI21" s="171"/>
      <c r="AJ21" s="171"/>
      <c r="AK21" s="171"/>
      <c r="AL21" s="171"/>
      <c r="AM21" s="171"/>
      <c r="AN21" s="171"/>
      <c r="AP21" s="470"/>
    </row>
    <row r="22" ht="15.75" customHeight="1">
      <c r="A22" s="470"/>
      <c r="C22" s="479" t="s">
        <v>332</v>
      </c>
      <c r="D22" s="171"/>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P22" s="470"/>
    </row>
    <row r="23" ht="15.75" customHeight="1">
      <c r="A23" s="470"/>
      <c r="C23" s="474" t="s">
        <v>333</v>
      </c>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P23" s="470"/>
    </row>
    <row r="24" ht="15.75" customHeight="1">
      <c r="A24" s="470"/>
      <c r="C24" s="473"/>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P24" s="470"/>
    </row>
    <row r="25" ht="15.75" customHeight="1">
      <c r="A25" s="470"/>
      <c r="C25" s="480" t="s">
        <v>334</v>
      </c>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P25" s="470"/>
    </row>
    <row r="26" ht="15.75" customHeight="1">
      <c r="A26" s="470"/>
      <c r="C26" s="479" t="s">
        <v>335</v>
      </c>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71"/>
      <c r="AM26" s="171"/>
      <c r="AN26" s="171"/>
      <c r="AP26" s="470"/>
    </row>
    <row r="27" ht="15.75" customHeight="1">
      <c r="A27" s="470"/>
      <c r="C27" s="479" t="s">
        <v>336</v>
      </c>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P27" s="470"/>
    </row>
    <row r="28" ht="15.75" customHeight="1">
      <c r="A28" s="470"/>
      <c r="C28" s="479" t="s">
        <v>337</v>
      </c>
      <c r="D28" s="171"/>
      <c r="E28" s="171"/>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P28" s="470"/>
    </row>
    <row r="29" ht="15.75" customHeight="1">
      <c r="A29" s="470"/>
      <c r="C29" s="475"/>
      <c r="D29" s="171"/>
      <c r="E29" s="171"/>
      <c r="F29" s="171"/>
      <c r="G29" s="171"/>
      <c r="H29" s="171"/>
      <c r="I29" s="171"/>
      <c r="J29" s="171"/>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171"/>
      <c r="AK29" s="171"/>
      <c r="AL29" s="171"/>
      <c r="AM29" s="171"/>
      <c r="AN29" s="171"/>
      <c r="AP29" s="470"/>
    </row>
    <row r="30" ht="15.75" customHeight="1">
      <c r="A30" s="470"/>
      <c r="C30" s="477" t="s">
        <v>338</v>
      </c>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P30" s="470"/>
    </row>
    <row r="31" ht="15.75" customHeight="1">
      <c r="A31" s="470"/>
      <c r="C31" s="473" t="s">
        <v>339</v>
      </c>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P31" s="470"/>
    </row>
    <row r="32" ht="15.75" customHeight="1">
      <c r="A32" s="470"/>
      <c r="C32" s="473" t="s">
        <v>340</v>
      </c>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P32" s="470"/>
    </row>
    <row r="33" ht="15.75" customHeight="1">
      <c r="A33" s="470"/>
      <c r="C33" s="473" t="s">
        <v>341</v>
      </c>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P33" s="470"/>
    </row>
    <row r="34" ht="15.75" customHeight="1">
      <c r="A34" s="470"/>
      <c r="B34" s="470" t="str">
        <f>IMAGE("http://i.imgur.com/gbsVPTj.png",4,794,20)</f>
        <v/>
      </c>
      <c r="C34" s="473"/>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P34" s="470"/>
    </row>
    <row r="35" ht="15.75" customHeight="1">
      <c r="A35" s="470"/>
      <c r="C35" s="481" t="s">
        <v>342</v>
      </c>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470" t="str">
        <f>IMAGE("http://i.imgur.com/bjRc7Lz.png",4,794,20)</f>
        <v/>
      </c>
      <c r="AP35" s="470"/>
    </row>
    <row r="36" ht="15.75" customHeight="1">
      <c r="A36" s="470"/>
      <c r="C36" s="482" t="s">
        <v>343</v>
      </c>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P36" s="470"/>
    </row>
    <row r="37" ht="15.75" customHeight="1">
      <c r="A37" s="470"/>
      <c r="C37" s="482" t="s">
        <v>344</v>
      </c>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P37" s="470"/>
    </row>
    <row r="38" ht="15.75" customHeight="1">
      <c r="A38" s="470"/>
      <c r="C38" s="482" t="s">
        <v>345</v>
      </c>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c r="AD38" s="171"/>
      <c r="AE38" s="171"/>
      <c r="AF38" s="171"/>
      <c r="AG38" s="171"/>
      <c r="AH38" s="171"/>
      <c r="AI38" s="171"/>
      <c r="AJ38" s="171"/>
      <c r="AK38" s="171"/>
      <c r="AL38" s="171"/>
      <c r="AM38" s="171"/>
      <c r="AN38" s="171"/>
      <c r="AP38" s="470"/>
    </row>
    <row r="39" ht="15.75" customHeight="1">
      <c r="A39" s="470"/>
      <c r="C39" s="482" t="s">
        <v>346</v>
      </c>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c r="AF39" s="171"/>
      <c r="AG39" s="171"/>
      <c r="AH39" s="171"/>
      <c r="AI39" s="171"/>
      <c r="AJ39" s="171"/>
      <c r="AK39" s="171"/>
      <c r="AL39" s="171"/>
      <c r="AM39" s="171"/>
      <c r="AN39" s="171"/>
      <c r="AP39" s="470"/>
    </row>
    <row r="40" ht="15.75" customHeight="1">
      <c r="A40" s="470"/>
      <c r="C40" s="477"/>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P40" s="470"/>
    </row>
    <row r="41" ht="15.75" customHeight="1">
      <c r="A41" s="470"/>
      <c r="C41" s="483" t="s">
        <v>347</v>
      </c>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P41" s="470"/>
    </row>
    <row r="42" ht="15.75" customHeight="1">
      <c r="A42" s="470"/>
      <c r="C42" s="482" t="s">
        <v>348</v>
      </c>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P42" s="470"/>
    </row>
    <row r="43" ht="15.75" customHeight="1">
      <c r="A43" s="470"/>
      <c r="C43" s="482" t="s">
        <v>349</v>
      </c>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c r="AE43" s="171"/>
      <c r="AF43" s="171"/>
      <c r="AG43" s="171"/>
      <c r="AH43" s="171"/>
      <c r="AI43" s="171"/>
      <c r="AJ43" s="171"/>
      <c r="AK43" s="171"/>
      <c r="AL43" s="171"/>
      <c r="AM43" s="171"/>
      <c r="AN43" s="171"/>
      <c r="AP43" s="470"/>
    </row>
    <row r="44" ht="15.75" customHeight="1">
      <c r="A44" s="470"/>
      <c r="C44" s="484"/>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c r="AL44" s="171"/>
      <c r="AM44" s="171"/>
      <c r="AN44" s="171"/>
      <c r="AP44" s="470"/>
    </row>
    <row r="45" ht="15.75" customHeight="1">
      <c r="A45" s="470"/>
      <c r="C45" s="477" t="s">
        <v>350</v>
      </c>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P45" s="470"/>
    </row>
    <row r="46" ht="15.75" customHeight="1">
      <c r="A46" s="470"/>
      <c r="C46" s="485" t="s">
        <v>351</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P46" s="470"/>
    </row>
    <row r="47" ht="15.75" customHeight="1">
      <c r="A47" s="470"/>
      <c r="C47" s="485" t="s">
        <v>352</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P47" s="470"/>
    </row>
    <row r="48" ht="15.75" customHeight="1">
      <c r="A48" s="470"/>
      <c r="C48" s="485"/>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P48" s="470"/>
    </row>
    <row r="49" ht="15.75" customHeight="1">
      <c r="A49" s="470"/>
      <c r="C49" s="473"/>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P49" s="470"/>
    </row>
    <row r="50" ht="15.75" customHeight="1">
      <c r="A50" s="470"/>
      <c r="C50" s="473"/>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P50" s="470"/>
    </row>
    <row r="51" ht="15.75" customHeight="1">
      <c r="A51" s="470"/>
      <c r="C51" s="477" t="s">
        <v>353</v>
      </c>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P51" s="470"/>
    </row>
    <row r="52" ht="15.75" customHeight="1">
      <c r="A52" s="470"/>
      <c r="C52" s="473" t="s">
        <v>354</v>
      </c>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P52" s="470"/>
    </row>
    <row r="53" ht="15.75" customHeight="1">
      <c r="A53" s="470"/>
      <c r="C53" s="473"/>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P53" s="470"/>
    </row>
    <row r="54" ht="15.75" customHeight="1">
      <c r="A54" s="470"/>
      <c r="C54" s="486" t="s">
        <v>355</v>
      </c>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P54" s="470"/>
    </row>
    <row r="55" ht="15.75" customHeight="1">
      <c r="A55" s="470"/>
      <c r="C55" s="485" t="s">
        <v>356</v>
      </c>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P55" s="470"/>
    </row>
    <row r="56" ht="15.75" customHeight="1">
      <c r="A56" s="470"/>
      <c r="C56" s="473"/>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P56" s="470"/>
    </row>
    <row r="57" ht="15.75" customHeight="1">
      <c r="A57" s="470"/>
      <c r="C57" s="487"/>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P57" s="470"/>
    </row>
    <row r="58" ht="15.75" customHeight="1">
      <c r="A58" s="470"/>
      <c r="C58" s="488" t="s">
        <v>357</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P58" s="470"/>
    </row>
    <row r="59" ht="15.75" customHeight="1">
      <c r="A59" s="470"/>
      <c r="C59" s="489"/>
      <c r="D59" s="489"/>
      <c r="E59" s="470"/>
      <c r="F59" s="470"/>
      <c r="G59" s="470"/>
      <c r="H59" s="490"/>
      <c r="I59" s="489"/>
      <c r="J59" s="470"/>
      <c r="K59" s="470"/>
      <c r="L59" s="470"/>
      <c r="M59" s="470"/>
      <c r="N59" s="470"/>
      <c r="O59" s="470"/>
      <c r="P59" s="470"/>
      <c r="Q59" s="470"/>
      <c r="R59" s="470"/>
      <c r="S59" s="470"/>
      <c r="T59" s="470"/>
      <c r="U59" s="470"/>
      <c r="V59" s="470"/>
      <c r="W59" s="470"/>
      <c r="X59" s="470"/>
      <c r="Y59" s="470"/>
      <c r="Z59" s="470"/>
      <c r="AA59" s="470"/>
      <c r="AB59" s="470"/>
      <c r="AC59" s="470"/>
      <c r="AD59" s="470"/>
      <c r="AE59" s="470"/>
      <c r="AF59" s="470"/>
      <c r="AG59" s="470"/>
      <c r="AH59" s="470"/>
      <c r="AI59" s="470"/>
      <c r="AJ59" s="470"/>
      <c r="AK59" s="470"/>
      <c r="AL59" s="470"/>
      <c r="AM59" s="470"/>
      <c r="AN59" s="470"/>
      <c r="AP59" s="470"/>
    </row>
    <row r="60" ht="15.75" customHeight="1">
      <c r="A60" s="470"/>
      <c r="B60" s="151" t="str">
        <f>IMAGE("http://i.imgur.com/nNYHkLk.png",2)</f>
        <v/>
      </c>
      <c r="C60" s="191" t="str">
        <f>IMAGE("https://i.imgur.com/IxRRFOd.png",4, 20, 251)</f>
        <v/>
      </c>
      <c r="O60" s="151" t="str">
        <f>IMAGE("https://i.imgur.com/RzcHHl9.png",2)</f>
        <v/>
      </c>
      <c r="P60" s="470" t="s">
        <v>358</v>
      </c>
      <c r="Q60" s="470"/>
      <c r="R60" s="470"/>
      <c r="S60" s="470"/>
      <c r="T60" s="470"/>
      <c r="U60" s="470"/>
      <c r="V60" s="470"/>
      <c r="W60" s="470"/>
      <c r="X60" s="470"/>
      <c r="Y60" s="470"/>
      <c r="Z60" s="470"/>
      <c r="AA60" s="470"/>
      <c r="AB60" s="470"/>
      <c r="AC60" s="470"/>
      <c r="AD60" s="470"/>
      <c r="AE60" s="470"/>
      <c r="AF60" s="470"/>
      <c r="AG60" s="470"/>
      <c r="AH60" s="470"/>
      <c r="AI60" s="470"/>
      <c r="AJ60" s="470"/>
      <c r="AK60" s="470"/>
      <c r="AL60" s="470"/>
      <c r="AM60" s="470"/>
      <c r="AN60" s="470"/>
      <c r="AO60" s="470"/>
      <c r="AP60" s="470"/>
    </row>
    <row r="61" ht="15.75" customHeight="1">
      <c r="A61" s="470"/>
      <c r="C61" s="491" t="s">
        <v>59</v>
      </c>
      <c r="D61" s="70"/>
      <c r="E61" s="492"/>
      <c r="F61" s="70"/>
      <c r="G61" s="70"/>
      <c r="H61" s="70"/>
      <c r="I61" s="70"/>
      <c r="J61" s="70"/>
      <c r="K61" s="70"/>
      <c r="L61" s="70"/>
      <c r="M61" s="493"/>
      <c r="N61" s="70"/>
      <c r="P61" s="470" t="s">
        <v>359</v>
      </c>
      <c r="Q61" s="470"/>
      <c r="R61" s="470"/>
      <c r="S61" s="470"/>
      <c r="T61" s="470"/>
      <c r="U61" s="470"/>
      <c r="V61" s="470"/>
      <c r="W61" s="470"/>
      <c r="X61" s="470"/>
      <c r="Y61" s="470"/>
      <c r="Z61" s="470"/>
      <c r="AA61" s="470"/>
      <c r="AB61" s="470"/>
      <c r="AC61" s="470"/>
      <c r="AD61" s="470"/>
      <c r="AE61" s="470"/>
      <c r="AF61" s="470"/>
      <c r="AG61" s="470"/>
      <c r="AH61" s="470"/>
      <c r="AI61" s="470"/>
      <c r="AJ61" s="470"/>
      <c r="AK61" s="470"/>
      <c r="AL61" s="470"/>
      <c r="AM61" s="470"/>
      <c r="AN61" s="470"/>
      <c r="AO61" s="470"/>
      <c r="AP61" s="470"/>
    </row>
    <row r="62" ht="15.75" customHeight="1">
      <c r="A62" s="470"/>
      <c r="C62" s="494" t="s">
        <v>18</v>
      </c>
      <c r="D62" s="495"/>
      <c r="F62" s="494" t="s">
        <v>12</v>
      </c>
      <c r="G62" s="495"/>
      <c r="I62" s="496" t="s">
        <v>306</v>
      </c>
      <c r="J62" s="497"/>
      <c r="K62" s="494" t="s">
        <v>360</v>
      </c>
      <c r="M62" s="498"/>
      <c r="N62" s="499"/>
      <c r="P62" s="470"/>
      <c r="Q62" s="470"/>
      <c r="R62" s="470"/>
      <c r="S62" s="470"/>
      <c r="T62" s="470"/>
      <c r="U62" s="470"/>
      <c r="V62" s="470"/>
      <c r="W62" s="470"/>
      <c r="X62" s="470"/>
      <c r="Y62" s="470"/>
      <c r="Z62" s="470"/>
      <c r="AA62" s="470"/>
      <c r="AB62" s="470"/>
      <c r="AC62" s="470"/>
      <c r="AD62" s="470"/>
      <c r="AE62" s="470"/>
      <c r="AF62" s="470"/>
      <c r="AG62" s="470"/>
      <c r="AH62" s="470"/>
      <c r="AI62" s="470"/>
      <c r="AJ62" s="470"/>
      <c r="AK62" s="470"/>
      <c r="AL62" s="470"/>
      <c r="AM62" s="470"/>
      <c r="AN62" s="470"/>
      <c r="AO62" s="470"/>
      <c r="AP62" s="470"/>
    </row>
    <row r="63" ht="15.75" customHeight="1">
      <c r="A63" s="470"/>
      <c r="C63" s="500" t="s">
        <v>15</v>
      </c>
      <c r="D63" s="501"/>
      <c r="E63" s="502" t="s">
        <v>23</v>
      </c>
      <c r="F63" s="503"/>
      <c r="G63" s="504" t="s">
        <v>34</v>
      </c>
      <c r="H63" s="505"/>
      <c r="I63" s="504" t="s">
        <v>45</v>
      </c>
      <c r="J63" s="505"/>
      <c r="K63" s="502" t="s">
        <v>62</v>
      </c>
      <c r="L63" s="503"/>
      <c r="M63" s="500" t="s">
        <v>73</v>
      </c>
      <c r="N63" s="501"/>
      <c r="P63" s="470"/>
      <c r="Q63" s="470"/>
      <c r="R63" s="470"/>
      <c r="S63" s="470"/>
      <c r="T63" s="470"/>
      <c r="U63" s="470"/>
      <c r="V63" s="470"/>
      <c r="W63" s="470"/>
      <c r="X63" s="470"/>
      <c r="Y63" s="470"/>
      <c r="Z63" s="470"/>
      <c r="AA63" s="470"/>
      <c r="AB63" s="470"/>
      <c r="AC63" s="470"/>
      <c r="AD63" s="470"/>
      <c r="AE63" s="470"/>
      <c r="AF63" s="470"/>
      <c r="AG63" s="470"/>
      <c r="AH63" s="470"/>
      <c r="AI63" s="470"/>
      <c r="AJ63" s="470"/>
      <c r="AK63" s="470"/>
      <c r="AL63" s="470"/>
      <c r="AM63" s="470"/>
      <c r="AN63" s="470"/>
      <c r="AO63" s="470"/>
      <c r="AP63" s="470"/>
    </row>
    <row r="64" ht="15.75" customHeight="1">
      <c r="A64" s="470"/>
      <c r="C64" s="506"/>
      <c r="D64" s="507" t="str">
        <f>if(C64="","(   )",INT((C64-10)/2))</f>
        <v>(   )</v>
      </c>
      <c r="E64" s="508"/>
      <c r="F64" s="509" t="str">
        <f>if(E64="","(   )",INT((E64-10)/2))</f>
        <v>(   )</v>
      </c>
      <c r="G64" s="510"/>
      <c r="H64" s="511" t="str">
        <f>if(G64="","(   )",INT((G64-10)/2))</f>
        <v>(   )</v>
      </c>
      <c r="I64" s="510"/>
      <c r="J64" s="511" t="str">
        <f>if(I64="","(   )",INT((I64-10)/2))</f>
        <v>(   )</v>
      </c>
      <c r="K64" s="508"/>
      <c r="L64" s="509" t="str">
        <f>if(K64="","(   )",INT((K64-10)/2))</f>
        <v>(   )</v>
      </c>
      <c r="M64" s="506"/>
      <c r="N64" s="507" t="str">
        <f>if(M64="","(   )",INT((M64-10)/2))</f>
        <v>(   )</v>
      </c>
      <c r="P64" s="512" t="s">
        <v>361</v>
      </c>
      <c r="Q64" s="470"/>
      <c r="R64" s="470"/>
      <c r="S64" s="470"/>
      <c r="T64" s="470"/>
      <c r="U64" s="470"/>
      <c r="V64" s="470"/>
      <c r="W64" s="470"/>
      <c r="X64" s="470"/>
      <c r="Y64" s="470"/>
      <c r="Z64" s="470"/>
      <c r="AA64" s="470"/>
      <c r="AB64" s="470"/>
      <c r="AC64" s="470"/>
      <c r="AD64" s="470"/>
      <c r="AE64" s="470"/>
      <c r="AF64" s="470"/>
      <c r="AG64" s="470"/>
      <c r="AH64" s="470"/>
      <c r="AI64" s="470"/>
      <c r="AJ64" s="470"/>
      <c r="AK64" s="470"/>
      <c r="AL64" s="470"/>
      <c r="AM64" s="470"/>
      <c r="AN64" s="470"/>
      <c r="AO64" s="470"/>
      <c r="AP64" s="470"/>
    </row>
    <row r="65" ht="15.75" customHeight="1">
      <c r="A65" s="470"/>
      <c r="C65" s="195"/>
      <c r="D65" s="171"/>
      <c r="E65" s="171"/>
      <c r="F65" s="171"/>
      <c r="G65" s="171"/>
      <c r="H65" s="171"/>
      <c r="I65" s="171"/>
      <c r="J65" s="171"/>
      <c r="K65" s="171"/>
      <c r="L65" s="171"/>
      <c r="M65" s="171"/>
      <c r="N65" s="171"/>
      <c r="P65" s="512" t="s">
        <v>362</v>
      </c>
      <c r="Q65" s="470"/>
      <c r="R65" s="470"/>
      <c r="S65" s="470"/>
      <c r="T65" s="470"/>
      <c r="U65" s="470"/>
      <c r="V65" s="470"/>
      <c r="W65" s="470"/>
      <c r="X65" s="470"/>
      <c r="Y65" s="470"/>
      <c r="Z65" s="470"/>
      <c r="AA65" s="470"/>
      <c r="AB65" s="470"/>
      <c r="AC65" s="470"/>
      <c r="AD65" s="470"/>
      <c r="AE65" s="470"/>
      <c r="AF65" s="470"/>
      <c r="AG65" s="470"/>
      <c r="AH65" s="470"/>
      <c r="AI65" s="470"/>
      <c r="AJ65" s="470"/>
      <c r="AK65" s="470"/>
      <c r="AL65" s="470"/>
      <c r="AM65" s="470"/>
      <c r="AN65" s="470"/>
      <c r="AO65" s="470"/>
      <c r="AP65" s="470"/>
    </row>
    <row r="66" ht="15.75" customHeight="1">
      <c r="A66" s="470"/>
      <c r="C66" s="195"/>
      <c r="D66" s="171"/>
      <c r="E66" s="171"/>
      <c r="F66" s="171"/>
      <c r="G66" s="171"/>
      <c r="H66" s="171"/>
      <c r="I66" s="171"/>
      <c r="J66" s="171"/>
      <c r="K66" s="171"/>
      <c r="L66" s="171"/>
      <c r="M66" s="171"/>
      <c r="N66" s="171"/>
      <c r="P66" s="512" t="s">
        <v>363</v>
      </c>
      <c r="Q66" s="470"/>
      <c r="R66" s="470"/>
      <c r="S66" s="470"/>
      <c r="T66" s="470"/>
      <c r="U66" s="470"/>
      <c r="V66" s="470"/>
      <c r="W66" s="470"/>
      <c r="X66" s="470"/>
      <c r="Y66" s="470"/>
      <c r="Z66" s="470"/>
      <c r="AA66" s="470"/>
      <c r="AB66" s="470"/>
      <c r="AC66" s="470"/>
      <c r="AD66" s="470"/>
      <c r="AE66" s="470"/>
      <c r="AF66" s="470"/>
      <c r="AG66" s="470"/>
      <c r="AH66" s="470"/>
      <c r="AI66" s="470"/>
      <c r="AJ66" s="470"/>
      <c r="AK66" s="470"/>
      <c r="AL66" s="470"/>
      <c r="AM66" s="470"/>
      <c r="AN66" s="470"/>
      <c r="AO66" s="470"/>
      <c r="AP66" s="470"/>
    </row>
    <row r="67" ht="15.75" customHeight="1">
      <c r="A67" s="470"/>
      <c r="C67" s="513"/>
      <c r="P67" s="512" t="s">
        <v>364</v>
      </c>
      <c r="Q67" s="470"/>
      <c r="R67" s="470"/>
      <c r="S67" s="470"/>
      <c r="T67" s="470"/>
      <c r="U67" s="470"/>
      <c r="V67" s="470"/>
      <c r="W67" s="470"/>
      <c r="X67" s="470"/>
      <c r="Y67" s="470"/>
      <c r="Z67" s="470"/>
      <c r="AA67" s="470"/>
      <c r="AB67" s="470"/>
      <c r="AC67" s="470"/>
      <c r="AD67" s="470"/>
      <c r="AE67" s="470"/>
      <c r="AF67" s="470"/>
      <c r="AG67" s="470"/>
      <c r="AH67" s="470"/>
      <c r="AI67" s="470"/>
      <c r="AJ67" s="470"/>
      <c r="AK67" s="470"/>
      <c r="AL67" s="470"/>
      <c r="AM67" s="470"/>
      <c r="AN67" s="470"/>
      <c r="AO67" s="470"/>
      <c r="AP67" s="470"/>
    </row>
    <row r="68" ht="15.75" customHeight="1">
      <c r="A68" s="470"/>
      <c r="C68" s="514" t="s">
        <v>365</v>
      </c>
      <c r="D68" s="190"/>
      <c r="E68" s="190"/>
      <c r="F68" s="190"/>
      <c r="G68" s="190"/>
      <c r="H68" s="190"/>
      <c r="I68" s="190"/>
      <c r="J68" s="190"/>
      <c r="K68" s="190"/>
      <c r="L68" s="190"/>
      <c r="M68" s="190"/>
      <c r="N68" s="190"/>
      <c r="P68" s="512" t="s">
        <v>366</v>
      </c>
      <c r="Q68" s="470"/>
      <c r="R68" s="470"/>
      <c r="S68" s="470"/>
      <c r="T68" s="470"/>
      <c r="U68" s="470"/>
      <c r="V68" s="470"/>
      <c r="W68" s="470"/>
      <c r="X68" s="470"/>
      <c r="Y68" s="470"/>
      <c r="Z68" s="470"/>
      <c r="AA68" s="470"/>
      <c r="AB68" s="470"/>
      <c r="AC68" s="470"/>
      <c r="AD68" s="470"/>
      <c r="AE68" s="470"/>
      <c r="AF68" s="470"/>
      <c r="AG68" s="470"/>
      <c r="AH68" s="470"/>
      <c r="AI68" s="470"/>
      <c r="AJ68" s="470"/>
      <c r="AK68" s="470"/>
      <c r="AL68" s="470"/>
      <c r="AM68" s="470"/>
      <c r="AN68" s="470"/>
      <c r="AO68" s="470"/>
      <c r="AP68" s="470"/>
    </row>
    <row r="69" ht="15.75" customHeight="1">
      <c r="A69" s="470"/>
      <c r="C69" s="515" t="str">
        <f>IMAGE("http://i.imgur.com/7WHiYi1.png",2)</f>
        <v/>
      </c>
      <c r="D69" s="25"/>
      <c r="E69" s="25"/>
      <c r="F69" s="25"/>
      <c r="G69" s="25"/>
      <c r="H69" s="25"/>
      <c r="I69" s="25"/>
      <c r="J69" s="25"/>
      <c r="K69" s="25"/>
      <c r="L69" s="25"/>
      <c r="M69" s="25"/>
      <c r="N69" s="25"/>
      <c r="P69" s="470"/>
      <c r="Q69" s="470"/>
      <c r="R69" s="470"/>
      <c r="S69" s="470"/>
      <c r="T69" s="470"/>
      <c r="U69" s="470"/>
      <c r="V69" s="470"/>
      <c r="W69" s="470"/>
      <c r="X69" s="470"/>
      <c r="Y69" s="470"/>
      <c r="Z69" s="470"/>
      <c r="AA69" s="470"/>
      <c r="AB69" s="470"/>
      <c r="AC69" s="470"/>
      <c r="AD69" s="470"/>
      <c r="AE69" s="470"/>
      <c r="AF69" s="470"/>
      <c r="AG69" s="470"/>
      <c r="AH69" s="470"/>
      <c r="AI69" s="470"/>
      <c r="AJ69" s="470"/>
      <c r="AK69" s="470"/>
      <c r="AL69" s="470"/>
      <c r="AM69" s="470"/>
      <c r="AN69" s="470"/>
      <c r="AO69" s="470"/>
      <c r="AP69" s="470"/>
    </row>
  </sheetData>
  <mergeCells count="82">
    <mergeCell ref="C7:AN7"/>
    <mergeCell ref="C8:AN8"/>
    <mergeCell ref="C9:AN9"/>
    <mergeCell ref="C10:AN10"/>
    <mergeCell ref="C11:AN11"/>
    <mergeCell ref="C12:AN12"/>
    <mergeCell ref="C13:AN13"/>
    <mergeCell ref="C14:AN14"/>
    <mergeCell ref="C15:AN15"/>
    <mergeCell ref="C16:AN16"/>
    <mergeCell ref="C17:AN17"/>
    <mergeCell ref="C18:AN18"/>
    <mergeCell ref="C19:AN19"/>
    <mergeCell ref="C20:AN20"/>
    <mergeCell ref="C31:AN31"/>
    <mergeCell ref="C32:AN32"/>
    <mergeCell ref="AO1:AO34"/>
    <mergeCell ref="C2:AN2"/>
    <mergeCell ref="C3:AN3"/>
    <mergeCell ref="C4:AN4"/>
    <mergeCell ref="C5:AN5"/>
    <mergeCell ref="C6:AN6"/>
    <mergeCell ref="C33:AN33"/>
    <mergeCell ref="C56:AN56"/>
    <mergeCell ref="C57:AN57"/>
    <mergeCell ref="C34:AN34"/>
    <mergeCell ref="C35:AN35"/>
    <mergeCell ref="AO35:AO59"/>
    <mergeCell ref="C36:AN36"/>
    <mergeCell ref="C37:AN37"/>
    <mergeCell ref="C38:AN38"/>
    <mergeCell ref="C39:AN39"/>
    <mergeCell ref="C42:AN42"/>
    <mergeCell ref="C43:AN43"/>
    <mergeCell ref="C44:AN44"/>
    <mergeCell ref="C45:AN45"/>
    <mergeCell ref="C46:AN46"/>
    <mergeCell ref="C47:AN47"/>
    <mergeCell ref="C48:AN48"/>
    <mergeCell ref="C49:AN49"/>
    <mergeCell ref="C50:AN50"/>
    <mergeCell ref="C51:AN51"/>
    <mergeCell ref="C52:AN52"/>
    <mergeCell ref="C53:AN53"/>
    <mergeCell ref="C54:AN54"/>
    <mergeCell ref="C55:AN55"/>
    <mergeCell ref="G62:H62"/>
    <mergeCell ref="K62:L62"/>
    <mergeCell ref="M62:N62"/>
    <mergeCell ref="C63:D63"/>
    <mergeCell ref="E63:F63"/>
    <mergeCell ref="G63:H63"/>
    <mergeCell ref="I63:J63"/>
    <mergeCell ref="K63:L63"/>
    <mergeCell ref="M63:N63"/>
    <mergeCell ref="C65:N65"/>
    <mergeCell ref="C66:N66"/>
    <mergeCell ref="C67:N67"/>
    <mergeCell ref="C68:N68"/>
    <mergeCell ref="C40:AN40"/>
    <mergeCell ref="C41:AN41"/>
    <mergeCell ref="C58:AN58"/>
    <mergeCell ref="C60:N60"/>
    <mergeCell ref="O60:O69"/>
    <mergeCell ref="E61:L61"/>
    <mergeCell ref="M61:N61"/>
    <mergeCell ref="C69:N69"/>
    <mergeCell ref="C21:AN21"/>
    <mergeCell ref="C22:AN22"/>
    <mergeCell ref="C23:AN23"/>
    <mergeCell ref="C24:AN24"/>
    <mergeCell ref="C25:AN25"/>
    <mergeCell ref="C26:AN26"/>
    <mergeCell ref="C27:AN27"/>
    <mergeCell ref="C28:AN28"/>
    <mergeCell ref="C29:AN29"/>
    <mergeCell ref="C30:AN30"/>
    <mergeCell ref="B1:B33"/>
    <mergeCell ref="B34:B59"/>
    <mergeCell ref="B60:B69"/>
    <mergeCell ref="C61:D61"/>
    <mergeCell ref="D62:E62"/>
  </mergeCells>
  <conditionalFormatting sqref="C68">
    <cfRule type="expression" dxfId="0" priority="1">
      <formula>#REF!="Red"</formula>
    </cfRule>
  </conditionalFormatting>
  <conditionalFormatting sqref="C68">
    <cfRule type="expression" dxfId="4" priority="2">
      <formula>#REF!="Orange"</formula>
    </cfRule>
  </conditionalFormatting>
  <conditionalFormatting sqref="C68">
    <cfRule type="expression" dxfId="29" priority="3">
      <formula>#REF!="Yellow"</formula>
    </cfRule>
  </conditionalFormatting>
  <conditionalFormatting sqref="C68">
    <cfRule type="expression" dxfId="30" priority="4">
      <formula>#REF!="Green"</formula>
    </cfRule>
  </conditionalFormatting>
  <conditionalFormatting sqref="C68">
    <cfRule type="expression" dxfId="31" priority="5">
      <formula>#REF!="Cyan"</formula>
    </cfRule>
  </conditionalFormatting>
  <conditionalFormatting sqref="C68">
    <cfRule type="expression" dxfId="32" priority="6">
      <formula>#REF!="Blue"</formula>
    </cfRule>
  </conditionalFormatting>
  <conditionalFormatting sqref="C68">
    <cfRule type="expression" dxfId="33" priority="7">
      <formula>#REF!="Purple"</formula>
    </cfRule>
  </conditionalFormatting>
  <conditionalFormatting sqref="C68">
    <cfRule type="expression" dxfId="34" priority="8">
      <formula>#REF!="Magenta"</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16"/>
      <c r="B1" s="517"/>
      <c r="C1" s="517"/>
      <c r="D1" s="517"/>
      <c r="E1" s="517"/>
      <c r="F1" s="517"/>
      <c r="G1" s="517"/>
      <c r="H1" s="518"/>
      <c r="I1" s="518"/>
      <c r="J1" s="518"/>
      <c r="K1" s="518"/>
      <c r="L1" s="517"/>
      <c r="M1" s="517"/>
      <c r="N1" s="517"/>
      <c r="O1" s="519" t="str">
        <f>IMAGE("http://i.imgur.com/4gaCjL0.png",2)</f>
        <v/>
      </c>
      <c r="P1" s="520" t="str">
        <f>IMAGE("https://i.imgur.com/IxRRFOd.png",2)</f>
        <v/>
      </c>
      <c r="AB1" s="521" t="str">
        <f>IMAGE("http://i.imgur.com/GYlWKEy.png",2)</f>
        <v/>
      </c>
      <c r="AC1" s="518"/>
      <c r="AD1" s="518"/>
      <c r="AE1" s="517"/>
      <c r="AF1" s="517"/>
      <c r="AG1" s="517"/>
      <c r="AH1" s="517"/>
      <c r="AI1" s="518"/>
      <c r="AJ1" s="517"/>
      <c r="AK1" s="517"/>
      <c r="AL1" s="517"/>
      <c r="AM1" s="517"/>
      <c r="AN1" s="522"/>
      <c r="AO1" s="522"/>
      <c r="AP1" s="523" t="str">
        <f>if(MonkLevel&gt;5,"magical ","")</f>
        <v/>
      </c>
    </row>
    <row r="2" ht="15.75" customHeight="1">
      <c r="A2" s="516"/>
      <c r="B2" s="524" t="str">
        <f>IMAGE("http://i.imgur.com/txQSaWP.png",4,20,400)</f>
        <v/>
      </c>
      <c r="P2" s="525" t="s">
        <v>367</v>
      </c>
      <c r="Q2" s="25"/>
      <c r="R2" s="25"/>
      <c r="S2" s="25"/>
      <c r="T2" s="25"/>
      <c r="U2" s="25"/>
      <c r="V2" s="25"/>
      <c r="W2" s="25"/>
      <c r="X2" s="25"/>
      <c r="Y2" s="25"/>
      <c r="Z2" s="25"/>
      <c r="AA2" s="25"/>
      <c r="AC2" s="526" t="str">
        <f>IMAGE("http://i.imgur.com/txQSaWP.png",4,20,400)</f>
        <v/>
      </c>
      <c r="AP2" s="527"/>
    </row>
    <row r="3" ht="15.75" customHeight="1">
      <c r="A3" s="516"/>
      <c r="B3" s="528" t="s">
        <v>368</v>
      </c>
      <c r="P3" s="31"/>
      <c r="Q3" s="31"/>
      <c r="R3" s="31"/>
      <c r="S3" s="31"/>
      <c r="T3" s="31"/>
      <c r="U3" s="31"/>
      <c r="V3" s="31"/>
      <c r="W3" s="31"/>
      <c r="X3" s="31"/>
      <c r="Y3" s="31"/>
      <c r="Z3" s="31"/>
      <c r="AA3" s="31"/>
      <c r="AC3" s="529" t="s">
        <v>369</v>
      </c>
      <c r="AO3" s="11"/>
      <c r="AP3" s="516"/>
    </row>
    <row r="4" ht="15.75" customHeight="1">
      <c r="A4" s="516"/>
      <c r="B4" s="27"/>
      <c r="P4" s="522" t="str">
        <f>IMAGE("http://i.imgur.com/7WHiYi1.png",2)</f>
        <v/>
      </c>
      <c r="AO4" s="11"/>
      <c r="AP4" s="516"/>
    </row>
    <row r="5" ht="15.75" customHeight="1">
      <c r="A5" s="516"/>
      <c r="B5" s="530" t="s">
        <v>370</v>
      </c>
      <c r="C5" s="531"/>
      <c r="D5" s="531"/>
      <c r="E5" s="531"/>
      <c r="F5" s="531"/>
      <c r="G5" s="532" t="s">
        <v>371</v>
      </c>
      <c r="H5" s="531"/>
      <c r="I5" s="532" t="s">
        <v>372</v>
      </c>
      <c r="J5" s="531"/>
      <c r="K5" s="531"/>
      <c r="L5" s="531"/>
      <c r="M5" s="532" t="s">
        <v>373</v>
      </c>
      <c r="N5" s="531"/>
      <c r="O5" s="531"/>
      <c r="P5" s="532" t="s">
        <v>374</v>
      </c>
      <c r="Q5" s="531"/>
      <c r="R5" s="531"/>
      <c r="S5" s="531"/>
      <c r="T5" s="532" t="s">
        <v>375</v>
      </c>
      <c r="U5" s="531"/>
      <c r="V5" s="532" t="s">
        <v>376</v>
      </c>
      <c r="W5" s="531"/>
      <c r="X5" s="531"/>
      <c r="Y5" s="532" t="s">
        <v>377</v>
      </c>
      <c r="Z5" s="531"/>
      <c r="AA5" s="532" t="s">
        <v>378</v>
      </c>
      <c r="AB5" s="531"/>
      <c r="AC5" s="531"/>
      <c r="AD5" s="532" t="s">
        <v>379</v>
      </c>
      <c r="AE5" s="531"/>
      <c r="AF5" s="532" t="s">
        <v>380</v>
      </c>
      <c r="AG5" s="531"/>
      <c r="AH5" s="531"/>
      <c r="AI5" s="531"/>
      <c r="AJ5" s="531"/>
      <c r="AK5" s="531"/>
      <c r="AL5" s="531"/>
      <c r="AM5" s="531"/>
      <c r="AN5" s="532" t="s">
        <v>381</v>
      </c>
      <c r="AO5" s="533"/>
    </row>
    <row r="6" ht="15.75" customHeight="1">
      <c r="A6" s="516"/>
      <c r="B6" s="534"/>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c r="AM6" s="535"/>
      <c r="AN6" s="535"/>
      <c r="AO6" s="536"/>
    </row>
    <row r="7" ht="15.75" customHeight="1">
      <c r="A7" s="516"/>
      <c r="B7" s="537" t="s">
        <v>382</v>
      </c>
      <c r="G7" s="538" t="str">
        <f>"1"&amp;if(or(unarmedFighting,isnumber(find("brawler",v2.1!$AQ$60)),MonkLevel&lt;&gt;0),"d"&amp;max(unarmedFighting*6,4+floor((MonkLevel+1)/6,1)*2),"")</f>
        <v>1</v>
      </c>
      <c r="I7" s="538" t="str">
        <f>monkMagic&amp;"bludgeoning"</f>
        <v>bludgeoning</v>
      </c>
      <c r="M7" s="538" t="s">
        <v>383</v>
      </c>
      <c r="P7" s="538" t="s">
        <v>384</v>
      </c>
      <c r="T7" s="539">
        <v>1.0</v>
      </c>
      <c r="V7" s="538" t="s">
        <v>32</v>
      </c>
      <c r="Y7" s="538" t="s">
        <v>32</v>
      </c>
      <c r="AA7" s="538" t="s">
        <v>32</v>
      </c>
      <c r="AD7" s="538" t="s">
        <v>32</v>
      </c>
      <c r="AF7" s="538" t="s">
        <v>32</v>
      </c>
      <c r="AN7" s="539">
        <v>1.0</v>
      </c>
      <c r="AO7" s="540"/>
    </row>
    <row r="8" ht="15.75" customHeight="1">
      <c r="A8" s="516"/>
      <c r="B8" s="541" t="s">
        <v>385</v>
      </c>
      <c r="G8" s="542" t="str">
        <f>"1"&amp;if(or(unarmedFighting,isnumber(find("brawler",v2.1!$AQ$60)),MonkLevel&lt;&gt;0),"d"&amp;max(unarmedFighting*8,4+floor((MonkLevel+1)/6,1)*2),"")</f>
        <v>1</v>
      </c>
      <c r="I8" s="542" t="str">
        <f>monkMagic&amp;"bludgeoning"</f>
        <v>bludgeoning</v>
      </c>
      <c r="M8" s="542" t="s">
        <v>383</v>
      </c>
      <c r="P8" s="542" t="s">
        <v>384</v>
      </c>
      <c r="T8" s="543">
        <v>1.0</v>
      </c>
      <c r="V8" s="542" t="s">
        <v>32</v>
      </c>
      <c r="Y8" s="542" t="s">
        <v>32</v>
      </c>
      <c r="AA8" s="542" t="s">
        <v>32</v>
      </c>
      <c r="AD8" s="542" t="s">
        <v>32</v>
      </c>
      <c r="AF8" s="542" t="s">
        <v>32</v>
      </c>
      <c r="AN8" s="543">
        <v>1.0</v>
      </c>
      <c r="AO8" s="544"/>
    </row>
    <row r="9" ht="15.75" customHeight="1">
      <c r="A9" s="516"/>
      <c r="B9" s="537" t="str">
        <f>IFERROR(__xludf.DUMMYFUNCTION("if(and(v2.1!$AX$5&lt;&gt;""-"",v2.1!$AX$5&lt;&gt;""""),regexreplace(v2.1!$AX$5,"" [0-9]d[0-9]+[A-Za-z ]+"",""""),""Natural Attack"")"),"Natural Attack")</f>
        <v>Natural Attack</v>
      </c>
      <c r="G9" s="538">
        <f>IFERROR(__xludf.DUMMYFUNCTION("if(v2.1!$AX$5&lt;&gt;""-"",""1""&amp;if(or(isnumber(find(""brawler"",v2.1!$AQ$60)),isnumber(find(B9,v2.1!$AX$5)),MonkLevel&lt;&gt;0),""d""&amp;max(if(and(isnumber(find(B9,v2.1!$AX$5)),regexmatch(v2.1!$AX$5,""d[0-9]+"")),int(substitute(regexextract(v2.1!$AX$5,""d[0-9]+""),""d"&amp;""","""")),0),4+floor((MonkLevel+1)/6)*2),""""),0)"),0.0)</f>
        <v>0</v>
      </c>
      <c r="I9" s="538" t="str">
        <f>IFERROR(__xludf.DUMMYFUNCTION("if(and(v2.1!$AX$5&lt;&gt;""-"",v2.1!$AX$5&lt;&gt;""""),monkMagic&amp;mid(regexreplace(v2.1!$AX$5,""[A-Za-z ]+[0-9]d[0-9]+ "",""""),1,if(isnumber(find("" "",regexreplace(v2.1!$AX$5,""[A-Za-z ]+[0-9]d[0-9]+ "",""""))),find("" "",regexreplace(v2.1!$AX$5,""[A-Za-z ]+[0-9]d[0"&amp;"-9]+ "","""")),len(regexreplace(v2.1!$AX$5,""[A-Za-z ]+[0-9]d[0-9]+ "","""")))),""-"")"),"-")</f>
        <v>-</v>
      </c>
      <c r="M9" s="538" t="s">
        <v>386</v>
      </c>
      <c r="P9" s="538" t="s">
        <v>384</v>
      </c>
      <c r="T9" s="539">
        <v>1.0</v>
      </c>
      <c r="V9" s="538" t="s">
        <v>32</v>
      </c>
      <c r="Y9" s="538" t="s">
        <v>32</v>
      </c>
      <c r="AA9" s="538" t="s">
        <v>32</v>
      </c>
      <c r="AD9" s="538" t="s">
        <v>32</v>
      </c>
      <c r="AF9" s="538" t="str">
        <f>IFERROR(__xludf.DUMMYFUNCTION("if(regexreplace(v2.1!$AX$5,B9&amp;"" ""&amp;G9&amp;"" ""&amp;I9,"""")="""",""-"",proper(regexreplace(v2.1!$AX$5,B9&amp;"" ""&amp;G9&amp;"" ""&amp;I9,"""")))"),"-")</f>
        <v>-</v>
      </c>
      <c r="AN9" s="539">
        <v>1.0</v>
      </c>
      <c r="AO9" s="540"/>
    </row>
    <row r="10" ht="15.75" customHeight="1">
      <c r="A10" s="516"/>
      <c r="B10" s="541" t="s">
        <v>387</v>
      </c>
      <c r="G10" s="542" t="s">
        <v>388</v>
      </c>
      <c r="I10" s="542" t="s">
        <v>274</v>
      </c>
      <c r="M10" s="542" t="s">
        <v>389</v>
      </c>
      <c r="P10" s="542" t="s">
        <v>390</v>
      </c>
      <c r="T10" s="543">
        <v>0.0</v>
      </c>
      <c r="V10" s="542" t="s">
        <v>32</v>
      </c>
      <c r="Y10" s="542" t="s">
        <v>32</v>
      </c>
      <c r="AA10" s="542" t="s">
        <v>32</v>
      </c>
      <c r="AD10" s="542" t="s">
        <v>32</v>
      </c>
      <c r="AF10" s="542" t="s">
        <v>32</v>
      </c>
      <c r="AN10" s="543">
        <v>1.0</v>
      </c>
      <c r="AO10" s="544"/>
    </row>
    <row r="11" ht="15.75" customHeight="1">
      <c r="A11" s="516"/>
      <c r="B11" s="537" t="s">
        <v>391</v>
      </c>
      <c r="G11" s="538" t="str">
        <f>"1d"&amp;4+floor((MonkLevel+1)/6,1)*2</f>
        <v>1d4</v>
      </c>
      <c r="I11" s="538" t="s">
        <v>274</v>
      </c>
      <c r="M11" s="538" t="s">
        <v>392</v>
      </c>
      <c r="P11" s="538" t="s">
        <v>384</v>
      </c>
      <c r="T11" s="539">
        <v>1.0</v>
      </c>
      <c r="V11" s="538" t="s">
        <v>32</v>
      </c>
      <c r="Y11" s="538" t="s">
        <v>32</v>
      </c>
      <c r="AA11" s="538" t="s">
        <v>32</v>
      </c>
      <c r="AD11" s="538" t="s">
        <v>32</v>
      </c>
      <c r="AF11" s="538" t="s">
        <v>393</v>
      </c>
      <c r="AN11" s="539">
        <v>1.0</v>
      </c>
      <c r="AO11" s="540"/>
    </row>
    <row r="12" ht="15.75" customHeight="1">
      <c r="A12" s="516"/>
      <c r="B12" s="541" t="s">
        <v>394</v>
      </c>
      <c r="G12" s="542" t="str">
        <f>"1d"&amp;4+floor((MonkLevel+1)/6,1)*2</f>
        <v>1d4</v>
      </c>
      <c r="I12" s="542" t="s">
        <v>274</v>
      </c>
      <c r="M12" s="542" t="s">
        <v>392</v>
      </c>
      <c r="P12" s="542" t="s">
        <v>384</v>
      </c>
      <c r="T12" s="543">
        <v>1.0</v>
      </c>
      <c r="V12" s="542" t="s">
        <v>32</v>
      </c>
      <c r="Y12" s="542" t="s">
        <v>32</v>
      </c>
      <c r="AA12" s="542" t="s">
        <v>32</v>
      </c>
      <c r="AD12" s="542" t="s">
        <v>32</v>
      </c>
      <c r="AF12" s="542" t="s">
        <v>393</v>
      </c>
      <c r="AN12" s="543">
        <f>if(twoWeaponFighting,1,0)</f>
        <v>0</v>
      </c>
      <c r="AO12" s="544"/>
    </row>
    <row r="13" ht="15.75" customHeight="1">
      <c r="A13" s="516"/>
      <c r="B13" s="537" t="s">
        <v>65</v>
      </c>
      <c r="G13" s="538" t="str">
        <f>"1d"&amp;4+floor((MonkLevel+1)/6,1)*2</f>
        <v>1d4</v>
      </c>
      <c r="I13" s="538" t="s">
        <v>275</v>
      </c>
      <c r="M13" s="538" t="s">
        <v>392</v>
      </c>
      <c r="P13" s="538" t="s">
        <v>390</v>
      </c>
      <c r="T13" s="539">
        <v>1.0</v>
      </c>
      <c r="V13" s="538" t="s">
        <v>32</v>
      </c>
      <c r="Y13" s="538" t="s">
        <v>32</v>
      </c>
      <c r="AA13" s="538" t="s">
        <v>32</v>
      </c>
      <c r="AD13" s="538" t="s">
        <v>32</v>
      </c>
      <c r="AF13" s="538" t="s">
        <v>395</v>
      </c>
      <c r="AN13" s="539">
        <v>1.0</v>
      </c>
      <c r="AO13" s="540"/>
    </row>
    <row r="14" ht="15.75" customHeight="1">
      <c r="A14" s="516"/>
      <c r="B14" s="541" t="s">
        <v>396</v>
      </c>
      <c r="G14" s="542" t="str">
        <f>"1d"&amp;4+floor((MonkLevel+1)/6,1)*2</f>
        <v>1d4</v>
      </c>
      <c r="I14" s="542" t="s">
        <v>275</v>
      </c>
      <c r="M14" s="542" t="s">
        <v>392</v>
      </c>
      <c r="P14" s="542" t="s">
        <v>390</v>
      </c>
      <c r="T14" s="543">
        <v>1.0</v>
      </c>
      <c r="V14" s="542" t="s">
        <v>32</v>
      </c>
      <c r="Y14" s="542" t="s">
        <v>32</v>
      </c>
      <c r="AA14" s="542" t="s">
        <v>32</v>
      </c>
      <c r="AD14" s="542" t="s">
        <v>32</v>
      </c>
      <c r="AF14" s="542" t="s">
        <v>395</v>
      </c>
      <c r="AN14" s="543">
        <f>if(twoWeaponFighting,1,0)</f>
        <v>0</v>
      </c>
      <c r="AO14" s="544"/>
    </row>
    <row r="15" ht="15.75" customHeight="1">
      <c r="A15" s="516"/>
      <c r="B15" s="537" t="s">
        <v>397</v>
      </c>
      <c r="G15" s="538" t="s">
        <v>398</v>
      </c>
      <c r="I15" s="538" t="s">
        <v>274</v>
      </c>
      <c r="M15" s="538" t="s">
        <v>392</v>
      </c>
      <c r="P15" s="538" t="s">
        <v>384</v>
      </c>
      <c r="T15" s="539">
        <v>0.0</v>
      </c>
      <c r="V15" s="538" t="s">
        <v>32</v>
      </c>
      <c r="Y15" s="538" t="s">
        <v>32</v>
      </c>
      <c r="AA15" s="538" t="s">
        <v>32</v>
      </c>
      <c r="AD15" s="538" t="s">
        <v>32</v>
      </c>
      <c r="AF15" s="538" t="s">
        <v>399</v>
      </c>
      <c r="AN15" s="539">
        <v>1.0</v>
      </c>
      <c r="AO15" s="540"/>
    </row>
    <row r="16" ht="15.75" customHeight="1">
      <c r="A16" s="516"/>
      <c r="B16" s="541" t="s">
        <v>400</v>
      </c>
      <c r="G16" s="542" t="str">
        <f>"1d"&amp;max(6,4+floor((MonkLevel+1)/6,1)*2)</f>
        <v>1d6</v>
      </c>
      <c r="I16" s="542" t="s">
        <v>280</v>
      </c>
      <c r="M16" s="542" t="s">
        <v>392</v>
      </c>
      <c r="P16" s="542" t="s">
        <v>390</v>
      </c>
      <c r="T16" s="543">
        <v>1.0</v>
      </c>
      <c r="V16" s="542" t="s">
        <v>32</v>
      </c>
      <c r="Y16" s="542" t="s">
        <v>32</v>
      </c>
      <c r="AA16" s="542" t="s">
        <v>32</v>
      </c>
      <c r="AD16" s="542" t="s">
        <v>32</v>
      </c>
      <c r="AF16" s="542" t="s">
        <v>401</v>
      </c>
      <c r="AN16" s="543">
        <v>1.0</v>
      </c>
      <c r="AO16" s="544"/>
    </row>
    <row r="17" ht="15.75" customHeight="1">
      <c r="A17" s="516"/>
      <c r="B17" s="537" t="s">
        <v>402</v>
      </c>
      <c r="G17" s="538" t="str">
        <f>"1d"&amp;max(6,4+floor((MonkLevel+1)/6,1)*2)</f>
        <v>1d6</v>
      </c>
      <c r="I17" s="538" t="s">
        <v>280</v>
      </c>
      <c r="M17" s="538" t="s">
        <v>392</v>
      </c>
      <c r="P17" s="538" t="s">
        <v>390</v>
      </c>
      <c r="T17" s="539">
        <v>1.0</v>
      </c>
      <c r="V17" s="538" t="s">
        <v>32</v>
      </c>
      <c r="Y17" s="538" t="s">
        <v>32</v>
      </c>
      <c r="AA17" s="538" t="s">
        <v>32</v>
      </c>
      <c r="AD17" s="538" t="s">
        <v>32</v>
      </c>
      <c r="AF17" s="538" t="s">
        <v>401</v>
      </c>
      <c r="AN17" s="539">
        <f>if(twoWeaponFighting,1,0)</f>
        <v>0</v>
      </c>
      <c r="AO17" s="540"/>
    </row>
    <row r="18" ht="15.75" customHeight="1">
      <c r="A18" s="516"/>
      <c r="B18" s="541" t="s">
        <v>403</v>
      </c>
      <c r="G18" s="542" t="str">
        <f>"1d"&amp;max(6,4+floor((MonkLevel+1)/6,1)*2)</f>
        <v>1d6</v>
      </c>
      <c r="I18" s="542" t="s">
        <v>275</v>
      </c>
      <c r="M18" s="542" t="s">
        <v>392</v>
      </c>
      <c r="P18" s="542" t="s">
        <v>390</v>
      </c>
      <c r="T18" s="543">
        <v>1.0</v>
      </c>
      <c r="V18" s="542" t="s">
        <v>32</v>
      </c>
      <c r="Y18" s="542" t="s">
        <v>32</v>
      </c>
      <c r="AA18" s="542" t="s">
        <v>32</v>
      </c>
      <c r="AD18" s="542" t="s">
        <v>32</v>
      </c>
      <c r="AF18" s="542" t="s">
        <v>404</v>
      </c>
      <c r="AN18" s="543">
        <v>1.0</v>
      </c>
      <c r="AO18" s="544"/>
    </row>
    <row r="19" ht="15.75" customHeight="1">
      <c r="A19" s="516"/>
      <c r="B19" s="537" t="s">
        <v>405</v>
      </c>
      <c r="G19" s="538" t="str">
        <f>"1d"&amp;4+floor((MonkLevel+1)/6,1)*2</f>
        <v>1d4</v>
      </c>
      <c r="I19" s="538" t="s">
        <v>274</v>
      </c>
      <c r="M19" s="538" t="s">
        <v>392</v>
      </c>
      <c r="P19" s="538" t="s">
        <v>390</v>
      </c>
      <c r="T19" s="539">
        <v>1.0</v>
      </c>
      <c r="V19" s="538" t="s">
        <v>32</v>
      </c>
      <c r="Y19" s="538" t="s">
        <v>32</v>
      </c>
      <c r="AA19" s="538" t="s">
        <v>32</v>
      </c>
      <c r="AD19" s="538" t="s">
        <v>32</v>
      </c>
      <c r="AF19" s="538" t="s">
        <v>401</v>
      </c>
      <c r="AN19" s="539">
        <v>1.0</v>
      </c>
      <c r="AO19" s="540"/>
    </row>
    <row r="20" ht="15.75" customHeight="1">
      <c r="A20" s="516"/>
      <c r="B20" s="541" t="s">
        <v>406</v>
      </c>
      <c r="G20" s="542" t="str">
        <f>"1d"&amp;4+floor((MonkLevel+1)/6,1)*2</f>
        <v>1d4</v>
      </c>
      <c r="I20" s="542" t="s">
        <v>274</v>
      </c>
      <c r="M20" s="542" t="s">
        <v>392</v>
      </c>
      <c r="P20" s="542" t="s">
        <v>390</v>
      </c>
      <c r="T20" s="543">
        <v>1.0</v>
      </c>
      <c r="V20" s="542" t="s">
        <v>32</v>
      </c>
      <c r="Y20" s="542" t="s">
        <v>32</v>
      </c>
      <c r="AA20" s="542" t="s">
        <v>32</v>
      </c>
      <c r="AD20" s="542" t="s">
        <v>32</v>
      </c>
      <c r="AF20" s="542" t="s">
        <v>401</v>
      </c>
      <c r="AN20" s="543">
        <f>if(twoWeaponFighting,1,0)</f>
        <v>0</v>
      </c>
      <c r="AO20" s="544"/>
    </row>
    <row r="21" ht="15.75" customHeight="1">
      <c r="A21" s="516"/>
      <c r="B21" s="537" t="s">
        <v>407</v>
      </c>
      <c r="G21" s="538" t="str">
        <f>"1d"&amp;max(6,4+floor((MonkLevel+1)/6,1)*2)</f>
        <v>1d6</v>
      </c>
      <c r="I21" s="538" t="s">
        <v>274</v>
      </c>
      <c r="M21" s="538" t="s">
        <v>392</v>
      </c>
      <c r="P21" s="538" t="s">
        <v>384</v>
      </c>
      <c r="T21" s="539">
        <v>1.0</v>
      </c>
      <c r="V21" s="538" t="s">
        <v>32</v>
      </c>
      <c r="Y21" s="538" t="s">
        <v>32</v>
      </c>
      <c r="AA21" s="538" t="s">
        <v>32</v>
      </c>
      <c r="AD21" s="538" t="s">
        <v>32</v>
      </c>
      <c r="AF21" s="538" t="s">
        <v>32</v>
      </c>
      <c r="AN21" s="539">
        <v>1.0</v>
      </c>
      <c r="AO21" s="540"/>
    </row>
    <row r="22" ht="15.75" customHeight="1">
      <c r="A22" s="516"/>
      <c r="B22" s="541" t="s">
        <v>408</v>
      </c>
      <c r="G22" s="542" t="str">
        <f>"1d"&amp;max(6,4+floor((MonkLevel+1)/6,1)*2)</f>
        <v>1d6</v>
      </c>
      <c r="I22" s="542" t="s">
        <v>274</v>
      </c>
      <c r="M22" s="542" t="s">
        <v>392</v>
      </c>
      <c r="P22" s="542" t="s">
        <v>384</v>
      </c>
      <c r="T22" s="543">
        <v>1.0</v>
      </c>
      <c r="V22" s="542" t="s">
        <v>32</v>
      </c>
      <c r="Y22" s="542" t="s">
        <v>32</v>
      </c>
      <c r="AA22" s="542" t="s">
        <v>32</v>
      </c>
      <c r="AD22" s="542" t="s">
        <v>32</v>
      </c>
      <c r="AF22" s="542" t="s">
        <v>32</v>
      </c>
      <c r="AN22" s="543">
        <f>if(twoWeaponFighting,1,0)</f>
        <v>0</v>
      </c>
      <c r="AO22" s="544"/>
    </row>
    <row r="23" ht="15.75" customHeight="1">
      <c r="A23" s="516"/>
      <c r="B23" s="537" t="s">
        <v>409</v>
      </c>
      <c r="G23" s="538" t="str">
        <f>"1d"&amp;max(6,4+floor((MonkLevel+1)/6,1)*2)</f>
        <v>1d6</v>
      </c>
      <c r="I23" s="538" t="s">
        <v>274</v>
      </c>
      <c r="M23" s="538" t="s">
        <v>392</v>
      </c>
      <c r="P23" s="538" t="s">
        <v>384</v>
      </c>
      <c r="T23" s="539">
        <v>1.0</v>
      </c>
      <c r="V23" s="538" t="s">
        <v>32</v>
      </c>
      <c r="Y23" s="538" t="s">
        <v>32</v>
      </c>
      <c r="AA23" s="538" t="s">
        <v>32</v>
      </c>
      <c r="AD23" s="538" t="s">
        <v>32</v>
      </c>
      <c r="AF23" s="538" t="s">
        <v>410</v>
      </c>
      <c r="AN23" s="539">
        <v>1.0</v>
      </c>
      <c r="AO23" s="540"/>
    </row>
    <row r="24" ht="15.75" customHeight="1">
      <c r="A24" s="516"/>
      <c r="B24" s="541" t="s">
        <v>411</v>
      </c>
      <c r="G24" s="542" t="str">
        <f>"1d"&amp;max(8,4+floor((MonkLevel+1)/6,1)*2)</f>
        <v>1d8</v>
      </c>
      <c r="I24" s="542" t="s">
        <v>274</v>
      </c>
      <c r="M24" s="542" t="s">
        <v>392</v>
      </c>
      <c r="P24" s="542" t="s">
        <v>384</v>
      </c>
      <c r="T24" s="543">
        <v>1.0</v>
      </c>
      <c r="V24" s="542" t="s">
        <v>32</v>
      </c>
      <c r="Y24" s="542" t="s">
        <v>32</v>
      </c>
      <c r="AA24" s="542" t="s">
        <v>32</v>
      </c>
      <c r="AD24" s="542" t="s">
        <v>32</v>
      </c>
      <c r="AF24" s="542" t="s">
        <v>410</v>
      </c>
      <c r="AN24" s="543">
        <v>1.0</v>
      </c>
      <c r="AO24" s="544"/>
    </row>
    <row r="25" ht="15.75" customHeight="1">
      <c r="A25" s="516"/>
      <c r="B25" s="537" t="s">
        <v>412</v>
      </c>
      <c r="G25" s="538" t="s">
        <v>388</v>
      </c>
      <c r="I25" s="538" t="s">
        <v>274</v>
      </c>
      <c r="M25" s="538" t="s">
        <v>392</v>
      </c>
      <c r="P25" s="538" t="s">
        <v>384</v>
      </c>
      <c r="T25" s="539">
        <v>1.0</v>
      </c>
      <c r="V25" s="538" t="s">
        <v>32</v>
      </c>
      <c r="Y25" s="538" t="s">
        <v>32</v>
      </c>
      <c r="AA25" s="538" t="s">
        <v>32</v>
      </c>
      <c r="AD25" s="538" t="s">
        <v>32</v>
      </c>
      <c r="AF25" s="538" t="s">
        <v>410</v>
      </c>
      <c r="AN25" s="539">
        <v>1.0</v>
      </c>
      <c r="AO25" s="540"/>
    </row>
    <row r="26" ht="15.75" customHeight="1">
      <c r="A26" s="516"/>
      <c r="B26" s="541" t="s">
        <v>413</v>
      </c>
      <c r="G26" s="542" t="str">
        <f>"1d"&amp;4+floor((MonkLevel+1)/6,1)*2</f>
        <v>1d4</v>
      </c>
      <c r="I26" s="542" t="s">
        <v>280</v>
      </c>
      <c r="M26" s="542" t="s">
        <v>392</v>
      </c>
      <c r="P26" s="542" t="s">
        <v>384</v>
      </c>
      <c r="T26" s="543">
        <v>1.0</v>
      </c>
      <c r="V26" s="542" t="s">
        <v>32</v>
      </c>
      <c r="Y26" s="542" t="s">
        <v>32</v>
      </c>
      <c r="AA26" s="542" t="s">
        <v>32</v>
      </c>
      <c r="AD26" s="542" t="s">
        <v>32</v>
      </c>
      <c r="AF26" s="542" t="s">
        <v>393</v>
      </c>
      <c r="AN26" s="543">
        <v>1.0</v>
      </c>
      <c r="AO26" s="544"/>
    </row>
    <row r="27" ht="15.75" customHeight="1">
      <c r="A27" s="516"/>
      <c r="B27" s="537" t="s">
        <v>414</v>
      </c>
      <c r="G27" s="538" t="str">
        <f>"1d"&amp;4+floor((MonkLevel+1)/6,1)*2</f>
        <v>1d4</v>
      </c>
      <c r="I27" s="538" t="s">
        <v>280</v>
      </c>
      <c r="M27" s="538" t="s">
        <v>392</v>
      </c>
      <c r="P27" s="538" t="s">
        <v>384</v>
      </c>
      <c r="T27" s="539">
        <v>1.0</v>
      </c>
      <c r="V27" s="538" t="s">
        <v>32</v>
      </c>
      <c r="Y27" s="538" t="s">
        <v>32</v>
      </c>
      <c r="AA27" s="538" t="s">
        <v>32</v>
      </c>
      <c r="AD27" s="538" t="s">
        <v>32</v>
      </c>
      <c r="AF27" s="538" t="s">
        <v>393</v>
      </c>
      <c r="AN27" s="539">
        <f>if(twoWeaponFighting,1,0)</f>
        <v>0</v>
      </c>
      <c r="AO27" s="540"/>
    </row>
    <row r="28" ht="15.75" customHeight="1">
      <c r="A28" s="516"/>
      <c r="B28" s="541" t="s">
        <v>415</v>
      </c>
      <c r="G28" s="542" t="str">
        <f>"1d"&amp;max(6,4+floor((MonkLevel+1)/6,1)*2)</f>
        <v>1d6</v>
      </c>
      <c r="I28" s="542" t="s">
        <v>275</v>
      </c>
      <c r="M28" s="542" t="s">
        <v>392</v>
      </c>
      <c r="P28" s="542" t="s">
        <v>390</v>
      </c>
      <c r="T28" s="543">
        <v>1.0</v>
      </c>
      <c r="V28" s="542" t="s">
        <v>32</v>
      </c>
      <c r="Y28" s="542" t="s">
        <v>32</v>
      </c>
      <c r="AA28" s="542" t="s">
        <v>32</v>
      </c>
      <c r="AD28" s="542" t="s">
        <v>32</v>
      </c>
      <c r="AF28" s="542" t="s">
        <v>416</v>
      </c>
      <c r="AN28" s="543">
        <v>1.0</v>
      </c>
      <c r="AO28" s="544"/>
    </row>
    <row r="29" ht="15.75" customHeight="1">
      <c r="A29" s="516"/>
      <c r="B29" s="537" t="s">
        <v>417</v>
      </c>
      <c r="G29" s="538" t="s">
        <v>388</v>
      </c>
      <c r="I29" s="538" t="s">
        <v>274</v>
      </c>
      <c r="M29" s="538" t="s">
        <v>392</v>
      </c>
      <c r="P29" s="538" t="s">
        <v>384</v>
      </c>
      <c r="T29" s="539">
        <v>1.0</v>
      </c>
      <c r="V29" s="538" t="s">
        <v>32</v>
      </c>
      <c r="Y29" s="538" t="s">
        <v>32</v>
      </c>
      <c r="AA29" s="538" t="s">
        <v>32</v>
      </c>
      <c r="AD29" s="538" t="s">
        <v>32</v>
      </c>
      <c r="AF29" s="538" t="s">
        <v>416</v>
      </c>
      <c r="AN29" s="539">
        <v>1.0</v>
      </c>
      <c r="AO29" s="540"/>
    </row>
    <row r="30" ht="15.75" customHeight="1">
      <c r="A30" s="516"/>
      <c r="B30" s="541" t="s">
        <v>418</v>
      </c>
      <c r="G30" s="542" t="str">
        <f>"1d"&amp;max(8,4+floor((MonkLevel+1)/6,1)*2)</f>
        <v>1d8</v>
      </c>
      <c r="I30" s="542" t="s">
        <v>275</v>
      </c>
      <c r="M30" s="542" t="s">
        <v>392</v>
      </c>
      <c r="P30" s="542" t="s">
        <v>384</v>
      </c>
      <c r="T30" s="543">
        <v>1.0</v>
      </c>
      <c r="V30" s="542" t="s">
        <v>32</v>
      </c>
      <c r="Y30" s="542" t="s">
        <v>32</v>
      </c>
      <c r="AA30" s="542" t="s">
        <v>32</v>
      </c>
      <c r="AD30" s="542" t="s">
        <v>32</v>
      </c>
      <c r="AF30" s="542" t="s">
        <v>416</v>
      </c>
      <c r="AN30" s="543">
        <v>1.0</v>
      </c>
      <c r="AO30" s="544"/>
    </row>
    <row r="31" ht="15.75" customHeight="1">
      <c r="A31" s="516"/>
      <c r="B31" s="537" t="s">
        <v>419</v>
      </c>
      <c r="G31" s="538" t="s">
        <v>398</v>
      </c>
      <c r="I31" s="538" t="s">
        <v>275</v>
      </c>
      <c r="M31" s="538" t="s">
        <v>392</v>
      </c>
      <c r="P31" s="538" t="s">
        <v>420</v>
      </c>
      <c r="T31" s="539">
        <v>0.0</v>
      </c>
      <c r="V31" s="538" t="s">
        <v>32</v>
      </c>
      <c r="Y31" s="538" t="s">
        <v>32</v>
      </c>
      <c r="AA31" s="538" t="s">
        <v>32</v>
      </c>
      <c r="AD31" s="538" t="s">
        <v>32</v>
      </c>
      <c r="AF31" s="538" t="s">
        <v>421</v>
      </c>
      <c r="AN31" s="539">
        <v>1.0</v>
      </c>
      <c r="AO31" s="540"/>
    </row>
    <row r="32" ht="15.75" customHeight="1">
      <c r="A32" s="516"/>
      <c r="B32" s="541" t="s">
        <v>422</v>
      </c>
      <c r="G32" s="542" t="s">
        <v>388</v>
      </c>
      <c r="I32" s="542" t="s">
        <v>275</v>
      </c>
      <c r="M32" s="542" t="s">
        <v>392</v>
      </c>
      <c r="P32" s="542" t="s">
        <v>420</v>
      </c>
      <c r="T32" s="543">
        <v>0.0</v>
      </c>
      <c r="V32" s="542" t="s">
        <v>32</v>
      </c>
      <c r="Y32" s="542" t="s">
        <v>32</v>
      </c>
      <c r="AA32" s="542" t="s">
        <v>32</v>
      </c>
      <c r="AD32" s="542" t="s">
        <v>32</v>
      </c>
      <c r="AF32" s="542" t="s">
        <v>423</v>
      </c>
      <c r="AN32" s="543">
        <v>1.0</v>
      </c>
      <c r="AO32" s="544"/>
    </row>
    <row r="33" ht="15.75" customHeight="1">
      <c r="A33" s="516"/>
      <c r="B33" s="537" t="s">
        <v>424</v>
      </c>
      <c r="G33" s="538" t="s">
        <v>425</v>
      </c>
      <c r="I33" s="538" t="s">
        <v>275</v>
      </c>
      <c r="M33" s="538" t="s">
        <v>392</v>
      </c>
      <c r="P33" s="538" t="s">
        <v>420</v>
      </c>
      <c r="T33" s="539">
        <v>0.0</v>
      </c>
      <c r="V33" s="538" t="s">
        <v>32</v>
      </c>
      <c r="Y33" s="538" t="s">
        <v>32</v>
      </c>
      <c r="AA33" s="538" t="s">
        <v>32</v>
      </c>
      <c r="AD33" s="538" t="s">
        <v>32</v>
      </c>
      <c r="AF33" s="538" t="s">
        <v>426</v>
      </c>
      <c r="AN33" s="539">
        <v>1.0</v>
      </c>
      <c r="AO33" s="540"/>
    </row>
    <row r="34" ht="15.75" customHeight="1">
      <c r="A34" s="516"/>
      <c r="B34" s="541" t="s">
        <v>427</v>
      </c>
      <c r="G34" s="542" t="s">
        <v>388</v>
      </c>
      <c r="I34" s="542" t="s">
        <v>274</v>
      </c>
      <c r="M34" s="542" t="s">
        <v>392</v>
      </c>
      <c r="P34" s="542" t="s">
        <v>420</v>
      </c>
      <c r="T34" s="543">
        <v>0.0</v>
      </c>
      <c r="V34" s="542" t="s">
        <v>32</v>
      </c>
      <c r="Y34" s="542" t="s">
        <v>32</v>
      </c>
      <c r="AA34" s="542" t="s">
        <v>32</v>
      </c>
      <c r="AD34" s="542" t="s">
        <v>32</v>
      </c>
      <c r="AF34" s="542" t="s">
        <v>428</v>
      </c>
      <c r="AN34" s="543">
        <v>1.0</v>
      </c>
      <c r="AO34" s="544"/>
    </row>
    <row r="35" ht="15.75" customHeight="1">
      <c r="A35" s="516"/>
      <c r="B35" s="537" t="s">
        <v>429</v>
      </c>
      <c r="G35" s="538" t="s">
        <v>398</v>
      </c>
      <c r="I35" s="538" t="s">
        <v>280</v>
      </c>
      <c r="M35" s="538" t="s">
        <v>430</v>
      </c>
      <c r="P35" s="538" t="s">
        <v>384</v>
      </c>
      <c r="T35" s="539">
        <v>0.0</v>
      </c>
      <c r="V35" s="538" t="s">
        <v>32</v>
      </c>
      <c r="Y35" s="538" t="s">
        <v>32</v>
      </c>
      <c r="AA35" s="538" t="s">
        <v>32</v>
      </c>
      <c r="AD35" s="538" t="s">
        <v>32</v>
      </c>
      <c r="AF35" s="538" t="s">
        <v>431</v>
      </c>
      <c r="AN35" s="539">
        <v>1.0</v>
      </c>
      <c r="AO35" s="540"/>
    </row>
    <row r="36" ht="15.75" customHeight="1">
      <c r="A36" s="516"/>
      <c r="B36" s="541" t="s">
        <v>432</v>
      </c>
      <c r="G36" s="542" t="s">
        <v>433</v>
      </c>
      <c r="I36" s="542" t="s">
        <v>280</v>
      </c>
      <c r="M36" s="542" t="s">
        <v>430</v>
      </c>
      <c r="P36" s="542" t="s">
        <v>384</v>
      </c>
      <c r="T36" s="543">
        <v>0.0</v>
      </c>
      <c r="V36" s="542" t="s">
        <v>32</v>
      </c>
      <c r="Y36" s="542" t="s">
        <v>32</v>
      </c>
      <c r="AA36" s="542" t="s">
        <v>32</v>
      </c>
      <c r="AD36" s="542" t="s">
        <v>32</v>
      </c>
      <c r="AF36" s="542" t="s">
        <v>431</v>
      </c>
      <c r="AN36" s="543">
        <v>1.0</v>
      </c>
      <c r="AO36" s="544"/>
    </row>
    <row r="37" ht="15.75" customHeight="1">
      <c r="A37" s="516"/>
      <c r="B37" s="537" t="s">
        <v>434</v>
      </c>
      <c r="G37" s="538" t="s">
        <v>398</v>
      </c>
      <c r="I37" s="538" t="s">
        <v>280</v>
      </c>
      <c r="M37" s="538" t="s">
        <v>430</v>
      </c>
      <c r="P37" s="538" t="s">
        <v>384</v>
      </c>
      <c r="T37" s="539">
        <v>0.0</v>
      </c>
      <c r="V37" s="538" t="s">
        <v>32</v>
      </c>
      <c r="Y37" s="538" t="s">
        <v>32</v>
      </c>
      <c r="AA37" s="538" t="s">
        <v>32</v>
      </c>
      <c r="AD37" s="538" t="s">
        <v>32</v>
      </c>
      <c r="AF37" s="538" t="s">
        <v>431</v>
      </c>
      <c r="AN37" s="539">
        <f>if(twoWeaponFighting,1,0)</f>
        <v>0</v>
      </c>
      <c r="AO37" s="540"/>
    </row>
    <row r="38" ht="15.75" customHeight="1">
      <c r="A38" s="516"/>
      <c r="B38" s="541" t="s">
        <v>435</v>
      </c>
      <c r="G38" s="542" t="s">
        <v>398</v>
      </c>
      <c r="I38" s="542" t="s">
        <v>274</v>
      </c>
      <c r="M38" s="542" t="s">
        <v>430</v>
      </c>
      <c r="P38" s="542" t="s">
        <v>384</v>
      </c>
      <c r="T38" s="543">
        <v>0.0</v>
      </c>
      <c r="V38" s="542" t="s">
        <v>32</v>
      </c>
      <c r="Y38" s="542" t="s">
        <v>32</v>
      </c>
      <c r="AA38" s="542" t="s">
        <v>32</v>
      </c>
      <c r="AD38" s="542" t="s">
        <v>32</v>
      </c>
      <c r="AF38" s="542" t="s">
        <v>32</v>
      </c>
      <c r="AN38" s="543">
        <v>1.0</v>
      </c>
      <c r="AO38" s="544"/>
    </row>
    <row r="39" ht="15.75" customHeight="1">
      <c r="A39" s="516"/>
      <c r="B39" s="537" t="s">
        <v>436</v>
      </c>
      <c r="G39" s="538" t="s">
        <v>398</v>
      </c>
      <c r="I39" s="538" t="s">
        <v>274</v>
      </c>
      <c r="M39" s="538" t="s">
        <v>430</v>
      </c>
      <c r="P39" s="538" t="s">
        <v>384</v>
      </c>
      <c r="T39" s="539">
        <v>0.0</v>
      </c>
      <c r="V39" s="538" t="s">
        <v>32</v>
      </c>
      <c r="Y39" s="538" t="s">
        <v>32</v>
      </c>
      <c r="AA39" s="538" t="s">
        <v>32</v>
      </c>
      <c r="AD39" s="538" t="s">
        <v>32</v>
      </c>
      <c r="AF39" s="538" t="s">
        <v>32</v>
      </c>
      <c r="AN39" s="539">
        <f>if(twoWeaponFighting,1,0)</f>
        <v>0</v>
      </c>
      <c r="AO39" s="540"/>
    </row>
    <row r="40" ht="15.75" customHeight="1">
      <c r="A40" s="516"/>
      <c r="B40" s="541" t="s">
        <v>437</v>
      </c>
      <c r="G40" s="542" t="s">
        <v>433</v>
      </c>
      <c r="I40" s="542" t="s">
        <v>280</v>
      </c>
      <c r="M40" s="542" t="s">
        <v>430</v>
      </c>
      <c r="P40" s="542" t="s">
        <v>384</v>
      </c>
      <c r="T40" s="543">
        <v>0.0</v>
      </c>
      <c r="V40" s="542" t="s">
        <v>32</v>
      </c>
      <c r="Y40" s="542" t="s">
        <v>32</v>
      </c>
      <c r="AA40" s="542" t="s">
        <v>32</v>
      </c>
      <c r="AD40" s="542" t="s">
        <v>32</v>
      </c>
      <c r="AF40" s="542" t="s">
        <v>438</v>
      </c>
      <c r="AN40" s="543">
        <v>1.0</v>
      </c>
      <c r="AO40" s="544"/>
    </row>
    <row r="41" ht="15.75" customHeight="1">
      <c r="A41" s="516"/>
      <c r="B41" s="537" t="s">
        <v>439</v>
      </c>
      <c r="G41" s="538" t="s">
        <v>388</v>
      </c>
      <c r="I41" s="538" t="s">
        <v>274</v>
      </c>
      <c r="M41" s="538" t="s">
        <v>430</v>
      </c>
      <c r="P41" s="538" t="s">
        <v>384</v>
      </c>
      <c r="T41" s="539">
        <v>0.0</v>
      </c>
      <c r="V41" s="538" t="s">
        <v>32</v>
      </c>
      <c r="Y41" s="538" t="s">
        <v>32</v>
      </c>
      <c r="AA41" s="538" t="s">
        <v>32</v>
      </c>
      <c r="AD41" s="538" t="s">
        <v>32</v>
      </c>
      <c r="AF41" s="538" t="s">
        <v>438</v>
      </c>
      <c r="AN41" s="539">
        <v>1.0</v>
      </c>
      <c r="AO41" s="540"/>
    </row>
    <row r="42" ht="15.75" customHeight="1">
      <c r="A42" s="516"/>
      <c r="B42" s="541" t="s">
        <v>440</v>
      </c>
      <c r="G42" s="542" t="s">
        <v>441</v>
      </c>
      <c r="I42" s="542" t="s">
        <v>280</v>
      </c>
      <c r="M42" s="542" t="s">
        <v>430</v>
      </c>
      <c r="P42" s="542" t="s">
        <v>384</v>
      </c>
      <c r="T42" s="543">
        <v>0.0</v>
      </c>
      <c r="V42" s="542" t="s">
        <v>32</v>
      </c>
      <c r="Y42" s="542" t="s">
        <v>32</v>
      </c>
      <c r="AA42" s="542" t="s">
        <v>32</v>
      </c>
      <c r="AD42" s="542" t="s">
        <v>32</v>
      </c>
      <c r="AF42" s="542" t="s">
        <v>442</v>
      </c>
      <c r="AN42" s="543">
        <v>1.0</v>
      </c>
      <c r="AO42" s="544"/>
    </row>
    <row r="43" ht="15.75" customHeight="1">
      <c r="A43" s="516"/>
      <c r="B43" s="537" t="s">
        <v>443</v>
      </c>
      <c r="G43" s="538" t="s">
        <v>444</v>
      </c>
      <c r="I43" s="538" t="s">
        <v>280</v>
      </c>
      <c r="M43" s="538" t="s">
        <v>430</v>
      </c>
      <c r="P43" s="538" t="s">
        <v>384</v>
      </c>
      <c r="T43" s="539">
        <v>0.0</v>
      </c>
      <c r="V43" s="538" t="s">
        <v>32</v>
      </c>
      <c r="Y43" s="538" t="s">
        <v>32</v>
      </c>
      <c r="AA43" s="538" t="s">
        <v>32</v>
      </c>
      <c r="AD43" s="538" t="s">
        <v>32</v>
      </c>
      <c r="AF43" s="538" t="s">
        <v>442</v>
      </c>
      <c r="AN43" s="539">
        <v>1.0</v>
      </c>
      <c r="AO43" s="540"/>
    </row>
    <row r="44" ht="15.75" customHeight="1">
      <c r="A44" s="516"/>
      <c r="B44" s="541" t="s">
        <v>445</v>
      </c>
      <c r="G44" s="542" t="s">
        <v>433</v>
      </c>
      <c r="I44" s="542" t="s">
        <v>280</v>
      </c>
      <c r="M44" s="542" t="s">
        <v>430</v>
      </c>
      <c r="P44" s="542" t="s">
        <v>384</v>
      </c>
      <c r="T44" s="543">
        <v>0.0</v>
      </c>
      <c r="V44" s="542" t="s">
        <v>32</v>
      </c>
      <c r="Y44" s="542" t="s">
        <v>32</v>
      </c>
      <c r="AA44" s="542" t="s">
        <v>32</v>
      </c>
      <c r="AD44" s="542" t="s">
        <v>32</v>
      </c>
      <c r="AF44" s="542" t="s">
        <v>438</v>
      </c>
      <c r="AN44" s="543">
        <v>1.0</v>
      </c>
      <c r="AO44" s="544"/>
    </row>
    <row r="45" ht="15.75" customHeight="1">
      <c r="A45" s="516"/>
      <c r="B45" s="537" t="s">
        <v>446</v>
      </c>
      <c r="G45" s="538" t="s">
        <v>388</v>
      </c>
      <c r="I45" s="538" t="s">
        <v>274</v>
      </c>
      <c r="M45" s="538" t="s">
        <v>430</v>
      </c>
      <c r="P45" s="538" t="s">
        <v>384</v>
      </c>
      <c r="T45" s="539">
        <v>0.0</v>
      </c>
      <c r="V45" s="538" t="s">
        <v>32</v>
      </c>
      <c r="Y45" s="538" t="s">
        <v>32</v>
      </c>
      <c r="AA45" s="538" t="s">
        <v>32</v>
      </c>
      <c r="AD45" s="538" t="s">
        <v>32</v>
      </c>
      <c r="AF45" s="538" t="s">
        <v>438</v>
      </c>
      <c r="AN45" s="539">
        <v>1.0</v>
      </c>
      <c r="AO45" s="540"/>
    </row>
    <row r="46" ht="15.75" customHeight="1">
      <c r="A46" s="516"/>
      <c r="B46" s="541" t="s">
        <v>447</v>
      </c>
      <c r="G46" s="542" t="s">
        <v>441</v>
      </c>
      <c r="I46" s="542" t="s">
        <v>275</v>
      </c>
      <c r="M46" s="542" t="s">
        <v>430</v>
      </c>
      <c r="P46" s="542" t="s">
        <v>384</v>
      </c>
      <c r="T46" s="543">
        <v>0.0</v>
      </c>
      <c r="V46" s="542" t="s">
        <v>32</v>
      </c>
      <c r="Y46" s="542" t="s">
        <v>32</v>
      </c>
      <c r="AA46" s="542" t="s">
        <v>32</v>
      </c>
      <c r="AD46" s="542" t="s">
        <v>32</v>
      </c>
      <c r="AF46" s="542" t="s">
        <v>448</v>
      </c>
      <c r="AN46" s="543">
        <v>1.0</v>
      </c>
      <c r="AO46" s="544"/>
    </row>
    <row r="47" ht="15.75" customHeight="1">
      <c r="A47" s="516"/>
      <c r="B47" s="537" t="s">
        <v>449</v>
      </c>
      <c r="G47" s="538" t="s">
        <v>398</v>
      </c>
      <c r="I47" s="538" t="s">
        <v>280</v>
      </c>
      <c r="M47" s="538" t="s">
        <v>430</v>
      </c>
      <c r="P47" s="538" t="s">
        <v>384</v>
      </c>
      <c r="T47" s="539">
        <v>0.0</v>
      </c>
      <c r="V47" s="538" t="s">
        <v>32</v>
      </c>
      <c r="Y47" s="538" t="s">
        <v>32</v>
      </c>
      <c r="AA47" s="538" t="s">
        <v>32</v>
      </c>
      <c r="AD47" s="538" t="s">
        <v>32</v>
      </c>
      <c r="AF47" s="538" t="s">
        <v>431</v>
      </c>
      <c r="AN47" s="539">
        <v>1.0</v>
      </c>
      <c r="AO47" s="540"/>
    </row>
    <row r="48" ht="15.75" customHeight="1">
      <c r="A48" s="516"/>
      <c r="B48" s="541" t="s">
        <v>450</v>
      </c>
      <c r="G48" s="542" t="s">
        <v>433</v>
      </c>
      <c r="I48" s="542" t="s">
        <v>280</v>
      </c>
      <c r="M48" s="542" t="s">
        <v>430</v>
      </c>
      <c r="P48" s="542" t="s">
        <v>384</v>
      </c>
      <c r="T48" s="543">
        <v>0.0</v>
      </c>
      <c r="V48" s="542" t="s">
        <v>32</v>
      </c>
      <c r="Y48" s="542" t="s">
        <v>32</v>
      </c>
      <c r="AA48" s="542" t="s">
        <v>32</v>
      </c>
      <c r="AD48" s="542" t="s">
        <v>32</v>
      </c>
      <c r="AF48" s="542" t="s">
        <v>431</v>
      </c>
      <c r="AN48" s="543">
        <v>1.0</v>
      </c>
      <c r="AO48" s="544"/>
    </row>
    <row r="49" ht="15.75" customHeight="1">
      <c r="A49" s="516"/>
      <c r="B49" s="537" t="s">
        <v>451</v>
      </c>
      <c r="G49" s="538" t="s">
        <v>398</v>
      </c>
      <c r="I49" s="538" t="s">
        <v>280</v>
      </c>
      <c r="M49" s="538" t="s">
        <v>430</v>
      </c>
      <c r="P49" s="538" t="s">
        <v>384</v>
      </c>
      <c r="T49" s="539">
        <v>0.0</v>
      </c>
      <c r="V49" s="538" t="s">
        <v>32</v>
      </c>
      <c r="Y49" s="538" t="s">
        <v>32</v>
      </c>
      <c r="AA49" s="538" t="s">
        <v>32</v>
      </c>
      <c r="AD49" s="538" t="s">
        <v>32</v>
      </c>
      <c r="AF49" s="538" t="s">
        <v>431</v>
      </c>
      <c r="AN49" s="539">
        <f>if(twoWeaponFighting,1,0)</f>
        <v>0</v>
      </c>
      <c r="AO49" s="540"/>
    </row>
    <row r="50" ht="15.75" customHeight="1">
      <c r="A50" s="516"/>
      <c r="B50" s="541" t="s">
        <v>452</v>
      </c>
      <c r="G50" s="542" t="s">
        <v>444</v>
      </c>
      <c r="I50" s="542" t="s">
        <v>274</v>
      </c>
      <c r="M50" s="542" t="s">
        <v>430</v>
      </c>
      <c r="P50" s="542" t="s">
        <v>384</v>
      </c>
      <c r="T50" s="543">
        <v>0.0</v>
      </c>
      <c r="V50" s="542" t="s">
        <v>32</v>
      </c>
      <c r="Y50" s="542" t="s">
        <v>32</v>
      </c>
      <c r="AA50" s="542" t="s">
        <v>32</v>
      </c>
      <c r="AD50" s="542" t="s">
        <v>32</v>
      </c>
      <c r="AF50" s="542" t="s">
        <v>442</v>
      </c>
      <c r="AN50" s="543">
        <v>1.0</v>
      </c>
      <c r="AO50" s="544"/>
    </row>
    <row r="51" ht="15.75" customHeight="1">
      <c r="A51" s="516"/>
      <c r="B51" s="537" t="s">
        <v>453</v>
      </c>
      <c r="G51" s="538" t="s">
        <v>398</v>
      </c>
      <c r="I51" s="538" t="s">
        <v>275</v>
      </c>
      <c r="M51" s="538" t="s">
        <v>430</v>
      </c>
      <c r="P51" s="538" t="s">
        <v>384</v>
      </c>
      <c r="T51" s="539">
        <v>0.0</v>
      </c>
      <c r="V51" s="538" t="s">
        <v>32</v>
      </c>
      <c r="Y51" s="538" t="s">
        <v>32</v>
      </c>
      <c r="AA51" s="538" t="s">
        <v>32</v>
      </c>
      <c r="AD51" s="538" t="s">
        <v>32</v>
      </c>
      <c r="AF51" s="538" t="s">
        <v>32</v>
      </c>
      <c r="AN51" s="539">
        <v>1.0</v>
      </c>
      <c r="AO51" s="540"/>
    </row>
    <row r="52" ht="15.75" customHeight="1">
      <c r="A52" s="516"/>
      <c r="B52" s="541" t="s">
        <v>454</v>
      </c>
      <c r="G52" s="542" t="s">
        <v>398</v>
      </c>
      <c r="I52" s="542" t="s">
        <v>275</v>
      </c>
      <c r="M52" s="542" t="s">
        <v>430</v>
      </c>
      <c r="P52" s="542" t="s">
        <v>384</v>
      </c>
      <c r="T52" s="543">
        <v>0.0</v>
      </c>
      <c r="V52" s="542" t="s">
        <v>32</v>
      </c>
      <c r="Y52" s="542" t="s">
        <v>32</v>
      </c>
      <c r="AA52" s="542" t="s">
        <v>32</v>
      </c>
      <c r="AD52" s="542" t="s">
        <v>32</v>
      </c>
      <c r="AF52" s="542" t="s">
        <v>32</v>
      </c>
      <c r="AN52" s="543">
        <f>if(twoWeaponFighting,1,0)</f>
        <v>0</v>
      </c>
      <c r="AO52" s="544"/>
    </row>
    <row r="53" ht="15.75" customHeight="1">
      <c r="A53" s="516"/>
      <c r="B53" s="537" t="s">
        <v>455</v>
      </c>
      <c r="G53" s="538" t="s">
        <v>433</v>
      </c>
      <c r="I53" s="538" t="s">
        <v>275</v>
      </c>
      <c r="M53" s="538" t="s">
        <v>430</v>
      </c>
      <c r="P53" s="538" t="s">
        <v>384</v>
      </c>
      <c r="T53" s="539">
        <v>0.0</v>
      </c>
      <c r="V53" s="538" t="s">
        <v>32</v>
      </c>
      <c r="Y53" s="538" t="s">
        <v>32</v>
      </c>
      <c r="AA53" s="538" t="s">
        <v>32</v>
      </c>
      <c r="AD53" s="538" t="s">
        <v>32</v>
      </c>
      <c r="AF53" s="538" t="s">
        <v>438</v>
      </c>
      <c r="AN53" s="539">
        <v>1.0</v>
      </c>
      <c r="AO53" s="540"/>
    </row>
    <row r="54" ht="15.75" customHeight="1">
      <c r="A54" s="516"/>
      <c r="B54" s="541" t="s">
        <v>456</v>
      </c>
      <c r="G54" s="542" t="s">
        <v>388</v>
      </c>
      <c r="I54" s="542" t="s">
        <v>274</v>
      </c>
      <c r="M54" s="542" t="s">
        <v>430</v>
      </c>
      <c r="P54" s="542" t="s">
        <v>384</v>
      </c>
      <c r="T54" s="543">
        <v>0.0</v>
      </c>
      <c r="V54" s="542" t="s">
        <v>32</v>
      </c>
      <c r="Y54" s="542" t="s">
        <v>32</v>
      </c>
      <c r="AA54" s="542" t="s">
        <v>32</v>
      </c>
      <c r="AD54" s="542" t="s">
        <v>32</v>
      </c>
      <c r="AF54" s="542" t="s">
        <v>438</v>
      </c>
      <c r="AN54" s="543">
        <v>1.0</v>
      </c>
      <c r="AO54" s="544"/>
    </row>
    <row r="55" ht="15.75" customHeight="1">
      <c r="A55" s="516"/>
      <c r="B55" s="537" t="s">
        <v>457</v>
      </c>
      <c r="G55" s="538" t="s">
        <v>398</v>
      </c>
      <c r="I55" s="538" t="s">
        <v>275</v>
      </c>
      <c r="M55" s="538" t="s">
        <v>430</v>
      </c>
      <c r="P55" s="538" t="s">
        <v>384</v>
      </c>
      <c r="T55" s="539">
        <v>0.0</v>
      </c>
      <c r="V55" s="538" t="s">
        <v>32</v>
      </c>
      <c r="Y55" s="538" t="s">
        <v>32</v>
      </c>
      <c r="AA55" s="538" t="s">
        <v>32</v>
      </c>
      <c r="AD55" s="538" t="s">
        <v>32</v>
      </c>
      <c r="AF55" s="538" t="s">
        <v>458</v>
      </c>
      <c r="AN55" s="539">
        <v>1.0</v>
      </c>
      <c r="AO55" s="540"/>
    </row>
    <row r="56" ht="15.75" customHeight="1">
      <c r="A56" s="516"/>
      <c r="B56" s="541" t="s">
        <v>459</v>
      </c>
      <c r="G56" s="542" t="s">
        <v>398</v>
      </c>
      <c r="I56" s="542" t="s">
        <v>275</v>
      </c>
      <c r="M56" s="542" t="s">
        <v>430</v>
      </c>
      <c r="P56" s="542" t="s">
        <v>384</v>
      </c>
      <c r="T56" s="543">
        <v>0.0</v>
      </c>
      <c r="V56" s="542" t="s">
        <v>32</v>
      </c>
      <c r="Y56" s="542" t="s">
        <v>32</v>
      </c>
      <c r="AA56" s="542" t="s">
        <v>32</v>
      </c>
      <c r="AD56" s="542" t="s">
        <v>32</v>
      </c>
      <c r="AF56" s="542" t="s">
        <v>458</v>
      </c>
      <c r="AN56" s="543">
        <f>if(twoWeaponFighting,1,0)</f>
        <v>0</v>
      </c>
      <c r="AO56" s="544"/>
    </row>
    <row r="57" ht="15.75" customHeight="1">
      <c r="A57" s="516"/>
      <c r="B57" s="537" t="s">
        <v>460</v>
      </c>
      <c r="G57" s="538" t="s">
        <v>425</v>
      </c>
      <c r="I57" s="538" t="s">
        <v>280</v>
      </c>
      <c r="M57" s="538" t="s">
        <v>430</v>
      </c>
      <c r="P57" s="538" t="s">
        <v>384</v>
      </c>
      <c r="T57" s="539">
        <v>0.0</v>
      </c>
      <c r="V57" s="538" t="s">
        <v>32</v>
      </c>
      <c r="Y57" s="538" t="s">
        <v>32</v>
      </c>
      <c r="AA57" s="538" t="s">
        <v>32</v>
      </c>
      <c r="AD57" s="538" t="s">
        <v>32</v>
      </c>
      <c r="AF57" s="538" t="s">
        <v>461</v>
      </c>
      <c r="AN57" s="539">
        <v>1.0</v>
      </c>
      <c r="AO57" s="540"/>
    </row>
    <row r="58" ht="15.75" customHeight="1">
      <c r="A58" s="516"/>
      <c r="B58" s="541" t="s">
        <v>462</v>
      </c>
      <c r="G58" s="542" t="s">
        <v>425</v>
      </c>
      <c r="I58" s="542" t="s">
        <v>280</v>
      </c>
      <c r="M58" s="542" t="s">
        <v>430</v>
      </c>
      <c r="P58" s="542" t="s">
        <v>384</v>
      </c>
      <c r="T58" s="543">
        <v>0.0</v>
      </c>
      <c r="V58" s="542" t="s">
        <v>32</v>
      </c>
      <c r="Y58" s="542" t="s">
        <v>32</v>
      </c>
      <c r="AA58" s="542" t="s">
        <v>32</v>
      </c>
      <c r="AD58" s="542" t="s">
        <v>32</v>
      </c>
      <c r="AF58" s="542" t="s">
        <v>461</v>
      </c>
      <c r="AN58" s="543">
        <f>if(twoWeaponFighting,1,0)</f>
        <v>0</v>
      </c>
      <c r="AO58" s="544"/>
    </row>
    <row r="59" ht="15.75" customHeight="1">
      <c r="A59" s="516"/>
      <c r="B59" s="537" t="s">
        <v>463</v>
      </c>
      <c r="G59" s="538" t="str">
        <f>"1d"&amp;max(6,4+floor((MonkLevel+1)/6,1)*2)</f>
        <v>1d6</v>
      </c>
      <c r="I59" s="538" t="s">
        <v>275</v>
      </c>
      <c r="M59" s="538" t="s">
        <v>430</v>
      </c>
      <c r="P59" s="538" t="s">
        <v>384</v>
      </c>
      <c r="T59" s="539">
        <v>1.0</v>
      </c>
      <c r="V59" s="538" t="s">
        <v>32</v>
      </c>
      <c r="Y59" s="538" t="s">
        <v>32</v>
      </c>
      <c r="AA59" s="538" t="s">
        <v>32</v>
      </c>
      <c r="AD59" s="538" t="s">
        <v>32</v>
      </c>
      <c r="AF59" s="538" t="s">
        <v>461</v>
      </c>
      <c r="AN59" s="539">
        <v>1.0</v>
      </c>
      <c r="AO59" s="540"/>
    </row>
    <row r="60" ht="15.75" customHeight="1">
      <c r="A60" s="516"/>
      <c r="B60" s="541" t="s">
        <v>464</v>
      </c>
      <c r="G60" s="542" t="str">
        <f>"1d"&amp;max(6,4+floor((MonkLevel+1)/6,1)*2)</f>
        <v>1d6</v>
      </c>
      <c r="I60" s="542" t="s">
        <v>275</v>
      </c>
      <c r="M60" s="542" t="s">
        <v>430</v>
      </c>
      <c r="P60" s="542" t="s">
        <v>384</v>
      </c>
      <c r="T60" s="543">
        <v>1.0</v>
      </c>
      <c r="V60" s="542" t="s">
        <v>32</v>
      </c>
      <c r="Y60" s="542" t="s">
        <v>32</v>
      </c>
      <c r="AA60" s="542" t="s">
        <v>32</v>
      </c>
      <c r="AD60" s="542" t="s">
        <v>32</v>
      </c>
      <c r="AF60" s="542" t="s">
        <v>461</v>
      </c>
      <c r="AN60" s="543">
        <f>if(twoWeaponFighting,1,0)</f>
        <v>0</v>
      </c>
      <c r="AO60" s="544"/>
    </row>
    <row r="61" ht="15.75" customHeight="1">
      <c r="A61" s="516"/>
      <c r="B61" s="537" t="s">
        <v>465</v>
      </c>
      <c r="G61" s="538" t="s">
        <v>425</v>
      </c>
      <c r="I61" s="538" t="s">
        <v>275</v>
      </c>
      <c r="M61" s="538" t="s">
        <v>430</v>
      </c>
      <c r="P61" s="538" t="s">
        <v>390</v>
      </c>
      <c r="T61" s="539">
        <v>0.0</v>
      </c>
      <c r="V61" s="538" t="s">
        <v>32</v>
      </c>
      <c r="Y61" s="538" t="s">
        <v>32</v>
      </c>
      <c r="AA61" s="538" t="s">
        <v>32</v>
      </c>
      <c r="AD61" s="538" t="s">
        <v>32</v>
      </c>
      <c r="AF61" s="538" t="s">
        <v>416</v>
      </c>
      <c r="AN61" s="539">
        <v>1.0</v>
      </c>
      <c r="AO61" s="540"/>
    </row>
    <row r="62" ht="15.75" customHeight="1">
      <c r="A62" s="516"/>
      <c r="B62" s="541" t="s">
        <v>466</v>
      </c>
      <c r="G62" s="542" t="s">
        <v>398</v>
      </c>
      <c r="I62" s="542" t="s">
        <v>275</v>
      </c>
      <c r="M62" s="542" t="s">
        <v>430</v>
      </c>
      <c r="P62" s="542" t="s">
        <v>384</v>
      </c>
      <c r="T62" s="543">
        <v>0.0</v>
      </c>
      <c r="V62" s="542" t="s">
        <v>32</v>
      </c>
      <c r="Y62" s="542" t="s">
        <v>32</v>
      </c>
      <c r="AA62" s="542" t="s">
        <v>32</v>
      </c>
      <c r="AD62" s="542" t="s">
        <v>32</v>
      </c>
      <c r="AF62" s="542" t="s">
        <v>416</v>
      </c>
      <c r="AN62" s="543">
        <v>1.0</v>
      </c>
      <c r="AO62" s="544"/>
    </row>
    <row r="63" ht="15.75" customHeight="1">
      <c r="A63" s="516"/>
      <c r="B63" s="537" t="s">
        <v>467</v>
      </c>
      <c r="G63" s="538" t="s">
        <v>398</v>
      </c>
      <c r="I63" s="538" t="s">
        <v>275</v>
      </c>
      <c r="M63" s="538" t="s">
        <v>430</v>
      </c>
      <c r="P63" s="538" t="s">
        <v>384</v>
      </c>
      <c r="T63" s="539">
        <v>0.0</v>
      </c>
      <c r="V63" s="538" t="s">
        <v>32</v>
      </c>
      <c r="Y63" s="538" t="s">
        <v>32</v>
      </c>
      <c r="AA63" s="538" t="s">
        <v>32</v>
      </c>
      <c r="AD63" s="538" t="s">
        <v>32</v>
      </c>
      <c r="AF63" s="538" t="s">
        <v>32</v>
      </c>
      <c r="AN63" s="539">
        <v>1.0</v>
      </c>
      <c r="AO63" s="540"/>
    </row>
    <row r="64" ht="15.75" customHeight="1">
      <c r="A64" s="516"/>
      <c r="B64" s="541" t="s">
        <v>468</v>
      </c>
      <c r="G64" s="542" t="s">
        <v>398</v>
      </c>
      <c r="I64" s="542" t="s">
        <v>275</v>
      </c>
      <c r="M64" s="542" t="s">
        <v>430</v>
      </c>
      <c r="P64" s="542" t="s">
        <v>384</v>
      </c>
      <c r="T64" s="543">
        <v>0.0</v>
      </c>
      <c r="V64" s="542" t="s">
        <v>32</v>
      </c>
      <c r="Y64" s="542" t="s">
        <v>32</v>
      </c>
      <c r="AA64" s="542" t="s">
        <v>32</v>
      </c>
      <c r="AD64" s="542" t="s">
        <v>32</v>
      </c>
      <c r="AF64" s="542" t="s">
        <v>32</v>
      </c>
      <c r="AN64" s="543">
        <f>if(twoWeaponFighting,1,0)</f>
        <v>0</v>
      </c>
      <c r="AO64" s="544"/>
    </row>
    <row r="65" ht="15.75" customHeight="1">
      <c r="A65" s="516"/>
      <c r="B65" s="537" t="s">
        <v>469</v>
      </c>
      <c r="G65" s="538" t="s">
        <v>398</v>
      </c>
      <c r="I65" s="538" t="s">
        <v>274</v>
      </c>
      <c r="M65" s="538" t="s">
        <v>430</v>
      </c>
      <c r="P65" s="538" t="s">
        <v>384</v>
      </c>
      <c r="T65" s="539">
        <v>0.0</v>
      </c>
      <c r="V65" s="538" t="s">
        <v>32</v>
      </c>
      <c r="Y65" s="538" t="s">
        <v>32</v>
      </c>
      <c r="AA65" s="538" t="s">
        <v>32</v>
      </c>
      <c r="AD65" s="538" t="s">
        <v>32</v>
      </c>
      <c r="AF65" s="538" t="s">
        <v>431</v>
      </c>
      <c r="AN65" s="539">
        <v>1.0</v>
      </c>
      <c r="AO65" s="540"/>
    </row>
    <row r="66" ht="15.75" customHeight="1">
      <c r="A66" s="516"/>
      <c r="B66" s="541" t="s">
        <v>470</v>
      </c>
      <c r="G66" s="542" t="s">
        <v>433</v>
      </c>
      <c r="I66" s="542" t="s">
        <v>274</v>
      </c>
      <c r="M66" s="542" t="s">
        <v>430</v>
      </c>
      <c r="P66" s="542" t="s">
        <v>384</v>
      </c>
      <c r="T66" s="543">
        <v>0.0</v>
      </c>
      <c r="V66" s="542" t="s">
        <v>32</v>
      </c>
      <c r="Y66" s="542" t="s">
        <v>32</v>
      </c>
      <c r="AA66" s="542" t="s">
        <v>32</v>
      </c>
      <c r="AD66" s="542" t="s">
        <v>32</v>
      </c>
      <c r="AF66" s="542" t="s">
        <v>431</v>
      </c>
      <c r="AN66" s="543">
        <v>1.0</v>
      </c>
      <c r="AO66" s="544"/>
    </row>
    <row r="67" ht="15.75" customHeight="1">
      <c r="A67" s="516"/>
      <c r="B67" s="537" t="s">
        <v>471</v>
      </c>
      <c r="G67" s="538" t="s">
        <v>398</v>
      </c>
      <c r="I67" s="538" t="s">
        <v>274</v>
      </c>
      <c r="M67" s="538" t="s">
        <v>430</v>
      </c>
      <c r="P67" s="538" t="s">
        <v>384</v>
      </c>
      <c r="T67" s="539">
        <v>0.0</v>
      </c>
      <c r="V67" s="538" t="s">
        <v>32</v>
      </c>
      <c r="Y67" s="538" t="s">
        <v>32</v>
      </c>
      <c r="AA67" s="538" t="s">
        <v>32</v>
      </c>
      <c r="AD67" s="538" t="s">
        <v>32</v>
      </c>
      <c r="AF67" s="538" t="s">
        <v>431</v>
      </c>
      <c r="AN67" s="539">
        <f>if(twoWeaponFighting,1,0)</f>
        <v>0</v>
      </c>
      <c r="AO67" s="540"/>
    </row>
    <row r="68" ht="15.75" customHeight="1">
      <c r="A68" s="516"/>
      <c r="B68" s="541" t="s">
        <v>472</v>
      </c>
      <c r="G68" s="542" t="s">
        <v>388</v>
      </c>
      <c r="I68" s="542" t="s">
        <v>280</v>
      </c>
      <c r="M68" s="542" t="s">
        <v>430</v>
      </c>
      <c r="P68" s="542" t="s">
        <v>384</v>
      </c>
      <c r="T68" s="543">
        <v>0.0</v>
      </c>
      <c r="V68" s="542" t="s">
        <v>32</v>
      </c>
      <c r="Y68" s="542" t="s">
        <v>32</v>
      </c>
      <c r="AA68" s="542" t="s">
        <v>32</v>
      </c>
      <c r="AD68" s="542" t="s">
        <v>32</v>
      </c>
      <c r="AF68" s="542" t="s">
        <v>473</v>
      </c>
      <c r="AN68" s="543">
        <v>1.0</v>
      </c>
      <c r="AO68" s="544"/>
    </row>
    <row r="69" ht="15.75" customHeight="1">
      <c r="A69" s="516"/>
      <c r="B69" s="537" t="s">
        <v>474</v>
      </c>
      <c r="G69" s="538">
        <v>1.0</v>
      </c>
      <c r="I69" s="538" t="s">
        <v>275</v>
      </c>
      <c r="M69" s="538" t="s">
        <v>430</v>
      </c>
      <c r="P69" s="538" t="s">
        <v>420</v>
      </c>
      <c r="T69" s="539">
        <v>0.0</v>
      </c>
      <c r="V69" s="538" t="s">
        <v>32</v>
      </c>
      <c r="Y69" s="538" t="s">
        <v>32</v>
      </c>
      <c r="AA69" s="538" t="s">
        <v>32</v>
      </c>
      <c r="AD69" s="538" t="s">
        <v>32</v>
      </c>
      <c r="AF69" s="538" t="s">
        <v>475</v>
      </c>
      <c r="AN69" s="539">
        <v>1.0</v>
      </c>
      <c r="AO69" s="540"/>
    </row>
    <row r="70" ht="15.75" customHeight="1">
      <c r="A70" s="516"/>
      <c r="B70" s="541" t="s">
        <v>476</v>
      </c>
      <c r="G70" s="542" t="s">
        <v>425</v>
      </c>
      <c r="I70" s="542" t="s">
        <v>275</v>
      </c>
      <c r="M70" s="542" t="s">
        <v>430</v>
      </c>
      <c r="P70" s="542" t="s">
        <v>420</v>
      </c>
      <c r="T70" s="543">
        <v>0.0</v>
      </c>
      <c r="V70" s="542" t="s">
        <v>32</v>
      </c>
      <c r="Y70" s="542" t="s">
        <v>32</v>
      </c>
      <c r="AA70" s="542" t="s">
        <v>32</v>
      </c>
      <c r="AD70" s="542" t="s">
        <v>32</v>
      </c>
      <c r="AF70" s="542" t="s">
        <v>477</v>
      </c>
      <c r="AN70" s="543">
        <v>1.0</v>
      </c>
      <c r="AO70" s="544"/>
    </row>
    <row r="71" ht="15.75" customHeight="1">
      <c r="A71" s="516"/>
      <c r="B71" s="537" t="s">
        <v>478</v>
      </c>
      <c r="G71" s="538" t="s">
        <v>433</v>
      </c>
      <c r="I71" s="538" t="s">
        <v>275</v>
      </c>
      <c r="M71" s="538" t="s">
        <v>430</v>
      </c>
      <c r="P71" s="538" t="s">
        <v>420</v>
      </c>
      <c r="T71" s="539">
        <v>0.0</v>
      </c>
      <c r="V71" s="538" t="s">
        <v>32</v>
      </c>
      <c r="Y71" s="538" t="s">
        <v>32</v>
      </c>
      <c r="AA71" s="538" t="s">
        <v>32</v>
      </c>
      <c r="AD71" s="538" t="s">
        <v>32</v>
      </c>
      <c r="AF71" s="538" t="s">
        <v>479</v>
      </c>
      <c r="AN71" s="539">
        <v>1.0</v>
      </c>
      <c r="AO71" s="540"/>
    </row>
    <row r="72" ht="15.75" customHeight="1">
      <c r="A72" s="516"/>
      <c r="B72" s="541" t="s">
        <v>480</v>
      </c>
      <c r="G72" s="542" t="s">
        <v>398</v>
      </c>
      <c r="I72" s="542" t="s">
        <v>275</v>
      </c>
      <c r="M72" s="542" t="s">
        <v>430</v>
      </c>
      <c r="P72" s="542" t="s">
        <v>420</v>
      </c>
      <c r="T72" s="543">
        <v>0.0</v>
      </c>
      <c r="V72" s="542" t="s">
        <v>32</v>
      </c>
      <c r="Y72" s="542" t="s">
        <v>32</v>
      </c>
      <c r="AA72" s="542" t="s">
        <v>32</v>
      </c>
      <c r="AD72" s="542" t="s">
        <v>32</v>
      </c>
      <c r="AF72" s="542" t="s">
        <v>481</v>
      </c>
      <c r="AN72" s="543">
        <v>1.0</v>
      </c>
      <c r="AO72" s="544"/>
    </row>
    <row r="73" ht="15.75" customHeight="1">
      <c r="A73" s="516"/>
      <c r="B73" s="537" t="s">
        <v>482</v>
      </c>
      <c r="G73" s="538">
        <v>0.0</v>
      </c>
      <c r="I73" s="538" t="s">
        <v>32</v>
      </c>
      <c r="M73" s="538" t="s">
        <v>430</v>
      </c>
      <c r="P73" s="538" t="s">
        <v>420</v>
      </c>
      <c r="T73" s="539">
        <v>0.0</v>
      </c>
      <c r="V73" s="538" t="s">
        <v>32</v>
      </c>
      <c r="Y73" s="538" t="s">
        <v>32</v>
      </c>
      <c r="AA73" s="538" t="s">
        <v>32</v>
      </c>
      <c r="AD73" s="538" t="s">
        <v>32</v>
      </c>
      <c r="AF73" s="538" t="s">
        <v>483</v>
      </c>
      <c r="AN73" s="539">
        <v>0.0</v>
      </c>
      <c r="AO73" s="540"/>
    </row>
    <row r="74" ht="15.75" customHeight="1">
      <c r="A74" s="516"/>
      <c r="B74" s="541" t="s">
        <v>484</v>
      </c>
      <c r="G74" s="542" t="s">
        <v>433</v>
      </c>
      <c r="I74" s="542" t="s">
        <v>284</v>
      </c>
      <c r="M74" s="542" t="s">
        <v>485</v>
      </c>
      <c r="P74" s="542" t="s">
        <v>420</v>
      </c>
      <c r="T74" s="543">
        <v>0.0</v>
      </c>
      <c r="V74" s="542" t="s">
        <v>32</v>
      </c>
      <c r="Y74" s="542" t="s">
        <v>32</v>
      </c>
      <c r="AA74" s="542" t="s">
        <v>32</v>
      </c>
      <c r="AD74" s="542" t="str">
        <f>if(castingAbility="","cha",left(lower(castingAbility),3))</f>
        <v>int</v>
      </c>
      <c r="AF74" s="542" t="str">
        <f>"Make a ranged spell attack against the target. On a hit, the target takes 1d10 force damage."&amp;if(level&gt;4,"
The spell creates "&amp;floor((v2.1!$AL$6+7)/6,1)&amp;" beams. You can direct the beams at the same target or at different ones. Make a separate attack roll for each beam.","")</f>
        <v>Make a ranged spell attack against the target. On a hit, the target takes 1d10 force damage.
The spell creates 2 beams. You can direct the beams at the same target or at different ones. Make a separate attack roll for each beam.</v>
      </c>
      <c r="AN74" s="543">
        <f>if(isnumber(find("agonizing blast",invocations)),1,0)</f>
        <v>0</v>
      </c>
      <c r="AO74" s="544"/>
    </row>
    <row r="75" ht="15.75" customHeight="1">
      <c r="A75" s="516"/>
      <c r="B75" s="537" t="s">
        <v>486</v>
      </c>
      <c r="G75" s="538" t="str">
        <f>"1d"&amp;4+floor((MonkLevel+1)/6,1)*2</f>
        <v>1d4</v>
      </c>
      <c r="I75" s="545" t="s">
        <v>487</v>
      </c>
      <c r="M75" s="538" t="s">
        <v>392</v>
      </c>
      <c r="P75" s="538" t="s">
        <v>390</v>
      </c>
      <c r="T75" s="539">
        <v>1.0</v>
      </c>
      <c r="V75" s="538">
        <v>1.0</v>
      </c>
      <c r="Y75" s="538" t="s">
        <v>32</v>
      </c>
      <c r="AA75" s="538" t="s">
        <v>32</v>
      </c>
      <c r="AD75" s="538" t="s">
        <v>32</v>
      </c>
      <c r="AF75" s="538" t="s">
        <v>395</v>
      </c>
      <c r="AN75" s="539">
        <v>1.0</v>
      </c>
      <c r="AO75" s="540"/>
    </row>
    <row r="76" ht="15.75" customHeight="1">
      <c r="A76" s="516"/>
      <c r="B76" s="541" t="s">
        <v>488</v>
      </c>
      <c r="G76" s="542" t="str">
        <f>"1d"&amp;4+floor((MonkLevel+1)/6,1)*2</f>
        <v>1d4</v>
      </c>
      <c r="I76" s="546" t="s">
        <v>487</v>
      </c>
      <c r="M76" s="542" t="s">
        <v>392</v>
      </c>
      <c r="P76" s="542" t="s">
        <v>390</v>
      </c>
      <c r="T76" s="543">
        <v>1.0</v>
      </c>
      <c r="V76" s="542">
        <v>1.0</v>
      </c>
      <c r="Y76" s="542" t="s">
        <v>32</v>
      </c>
      <c r="AA76" s="542" t="s">
        <v>32</v>
      </c>
      <c r="AD76" s="542" t="s">
        <v>32</v>
      </c>
      <c r="AF76" s="542" t="s">
        <v>395</v>
      </c>
      <c r="AN76" s="543">
        <f>if(twoWeaponFighting,1,0)</f>
        <v>0</v>
      </c>
      <c r="AO76" s="544"/>
    </row>
    <row r="77" ht="15.75" customHeight="1">
      <c r="A77" s="516"/>
      <c r="B77" s="537" t="s">
        <v>489</v>
      </c>
      <c r="G77" s="538" t="s">
        <v>398</v>
      </c>
      <c r="I77" s="545" t="s">
        <v>490</v>
      </c>
      <c r="M77" s="538" t="s">
        <v>430</v>
      </c>
      <c r="P77" s="538" t="s">
        <v>384</v>
      </c>
      <c r="T77" s="539">
        <v>0.0</v>
      </c>
      <c r="V77" s="538" t="s">
        <v>32</v>
      </c>
      <c r="Y77" s="538" t="s">
        <v>444</v>
      </c>
      <c r="AA77" s="538" t="s">
        <v>283</v>
      </c>
      <c r="AD77" s="538" t="s">
        <v>32</v>
      </c>
      <c r="AF77" s="538" t="s">
        <v>491</v>
      </c>
      <c r="AN77" s="539">
        <v>1.0</v>
      </c>
      <c r="AO77" s="540"/>
    </row>
    <row r="78" ht="15.75" customHeight="1">
      <c r="A78" s="516"/>
      <c r="B78" s="541" t="s">
        <v>492</v>
      </c>
      <c r="G78" s="542" t="s">
        <v>433</v>
      </c>
      <c r="I78" s="546" t="s">
        <v>490</v>
      </c>
      <c r="M78" s="542" t="s">
        <v>430</v>
      </c>
      <c r="P78" s="542" t="s">
        <v>384</v>
      </c>
      <c r="T78" s="543">
        <v>0.0</v>
      </c>
      <c r="V78" s="542" t="s">
        <v>32</v>
      </c>
      <c r="Y78" s="542" t="s">
        <v>444</v>
      </c>
      <c r="AA78" s="542" t="s">
        <v>283</v>
      </c>
      <c r="AD78" s="542" t="s">
        <v>32</v>
      </c>
      <c r="AF78" s="542" t="s">
        <v>491</v>
      </c>
      <c r="AN78" s="543">
        <v>1.0</v>
      </c>
      <c r="AO78" s="544"/>
    </row>
    <row r="79" ht="15.75" customHeight="1">
      <c r="A79" s="516"/>
      <c r="B79" s="537" t="s">
        <v>493</v>
      </c>
      <c r="G79" s="538" t="str">
        <f>floor((v2.1!$AL$6+7)/6,1)&amp;"d10"</f>
        <v>2d10</v>
      </c>
      <c r="I79" s="538" t="s">
        <v>283</v>
      </c>
      <c r="M79" s="538" t="s">
        <v>485</v>
      </c>
      <c r="P79" s="538" t="s">
        <v>420</v>
      </c>
      <c r="T79" s="539">
        <v>0.0</v>
      </c>
      <c r="V79" s="538" t="s">
        <v>32</v>
      </c>
      <c r="Y79" s="538" t="s">
        <v>32</v>
      </c>
      <c r="AA79" s="538" t="s">
        <v>32</v>
      </c>
      <c r="AD79" s="538" t="str">
        <f>if(castingAbility="-","int",left(lower(castingAbility),3))</f>
        <v>int</v>
      </c>
      <c r="AF79" s="538" t="str">
        <f>"On a hit, the target takes "&amp;floor((v2.1!$AL$6+7)/6,1)&amp;"d10 fire damage. A flammable object hit by this spell ignites if it isn't being worn or carried."</f>
        <v>On a hit, the target takes 2d10 fire damage. A flammable object hit by this spell ignites if it isn't being worn or carried.</v>
      </c>
      <c r="AN79" s="539">
        <v>0.0</v>
      </c>
      <c r="AO79" s="540"/>
    </row>
    <row r="80" ht="15.75" customHeight="1">
      <c r="A80" s="516"/>
      <c r="B80" s="541" t="s">
        <v>494</v>
      </c>
      <c r="G80" s="542" t="s">
        <v>398</v>
      </c>
      <c r="I80" s="546" t="s">
        <v>487</v>
      </c>
      <c r="M80" s="542" t="s">
        <v>430</v>
      </c>
      <c r="P80" s="542" t="s">
        <v>384</v>
      </c>
      <c r="T80" s="543">
        <v>0.0</v>
      </c>
      <c r="V80" s="542">
        <v>1.0</v>
      </c>
      <c r="Y80" s="542" t="s">
        <v>32</v>
      </c>
      <c r="AA80" s="542" t="s">
        <v>32</v>
      </c>
      <c r="AD80" s="542" t="s">
        <v>32</v>
      </c>
      <c r="AF80" s="542" t="s">
        <v>495</v>
      </c>
      <c r="AN80" s="543">
        <v>1.0</v>
      </c>
      <c r="AO80" s="544"/>
    </row>
    <row r="81" ht="15.75" customHeight="1">
      <c r="A81" s="516"/>
      <c r="B81" s="537" t="s">
        <v>496</v>
      </c>
      <c r="G81" s="538" t="s">
        <v>444</v>
      </c>
      <c r="I81" s="545" t="s">
        <v>497</v>
      </c>
      <c r="M81" s="538" t="s">
        <v>430</v>
      </c>
      <c r="P81" s="538" t="s">
        <v>384</v>
      </c>
      <c r="T81" s="539">
        <v>0.0</v>
      </c>
      <c r="V81" s="538">
        <v>1.0</v>
      </c>
      <c r="Y81" s="538" t="s">
        <v>32</v>
      </c>
      <c r="AA81" s="538" t="s">
        <v>32</v>
      </c>
      <c r="AD81" s="538" t="s">
        <v>32</v>
      </c>
      <c r="AF81" s="538" t="s">
        <v>498</v>
      </c>
      <c r="AN81" s="539">
        <v>1.0</v>
      </c>
      <c r="AO81" s="540"/>
    </row>
    <row r="82" ht="15.75" customHeight="1">
      <c r="A82" s="516"/>
      <c r="B82" s="541" t="s">
        <v>499</v>
      </c>
      <c r="G82" s="542" t="s">
        <v>398</v>
      </c>
      <c r="I82" s="546" t="s">
        <v>487</v>
      </c>
      <c r="M82" s="542" t="s">
        <v>430</v>
      </c>
      <c r="P82" s="542" t="s">
        <v>420</v>
      </c>
      <c r="T82" s="543">
        <v>0.0</v>
      </c>
      <c r="V82" s="542">
        <v>1.0</v>
      </c>
      <c r="Y82" s="542" t="s">
        <v>32</v>
      </c>
      <c r="AA82" s="542" t="s">
        <v>32</v>
      </c>
      <c r="AD82" s="542" t="s">
        <v>32</v>
      </c>
      <c r="AF82" s="542" t="s">
        <v>481</v>
      </c>
      <c r="AN82" s="543">
        <v>1.0</v>
      </c>
      <c r="AO82" s="544"/>
    </row>
    <row r="83" ht="15.75" customHeight="1">
      <c r="A83" s="516"/>
      <c r="B83" s="547" t="s">
        <v>500</v>
      </c>
      <c r="G83" s="545" t="s">
        <v>398</v>
      </c>
      <c r="I83" s="545" t="s">
        <v>501</v>
      </c>
      <c r="M83" s="545" t="s">
        <v>430</v>
      </c>
      <c r="P83" s="545" t="s">
        <v>384</v>
      </c>
      <c r="T83" s="539">
        <v>0.0</v>
      </c>
      <c r="V83" s="545" t="s">
        <v>32</v>
      </c>
      <c r="Y83" s="545" t="s">
        <v>32</v>
      </c>
      <c r="AA83" s="545" t="s">
        <v>32</v>
      </c>
      <c r="AD83" s="545" t="s">
        <v>32</v>
      </c>
      <c r="AF83" s="545" t="s">
        <v>458</v>
      </c>
      <c r="AN83" s="548">
        <v>1.0</v>
      </c>
      <c r="AO83" s="540"/>
    </row>
    <row r="84" ht="15.75" customHeight="1">
      <c r="A84" s="516"/>
      <c r="B84" s="549"/>
      <c r="G84" s="542"/>
      <c r="I84" s="542"/>
      <c r="M84" s="542"/>
      <c r="P84" s="542"/>
      <c r="T84" s="543">
        <v>0.0</v>
      </c>
      <c r="V84" s="542"/>
      <c r="Y84" s="542"/>
      <c r="AA84" s="542"/>
      <c r="AD84" s="542"/>
      <c r="AF84" s="542"/>
      <c r="AN84" s="543">
        <v>0.0</v>
      </c>
      <c r="AO84" s="544"/>
    </row>
    <row r="85" ht="15.75" customHeight="1">
      <c r="A85" s="516"/>
      <c r="B85" s="537"/>
      <c r="G85" s="538"/>
      <c r="I85" s="538"/>
      <c r="M85" s="538"/>
      <c r="P85" s="538"/>
      <c r="T85" s="539">
        <v>0.0</v>
      </c>
      <c r="V85" s="538"/>
      <c r="Y85" s="538"/>
      <c r="AA85" s="538"/>
      <c r="AD85" s="538"/>
      <c r="AF85" s="538"/>
      <c r="AN85" s="539">
        <v>0.0</v>
      </c>
      <c r="AO85" s="540"/>
    </row>
    <row r="86" ht="15.75" customHeight="1">
      <c r="A86" s="516"/>
      <c r="B86" s="541"/>
      <c r="G86" s="542"/>
      <c r="I86" s="542"/>
      <c r="M86" s="542"/>
      <c r="P86" s="542"/>
      <c r="T86" s="543">
        <v>0.0</v>
      </c>
      <c r="V86" s="542"/>
      <c r="Y86" s="542"/>
      <c r="AA86" s="542"/>
      <c r="AD86" s="542"/>
      <c r="AF86" s="542"/>
      <c r="AN86" s="543">
        <v>0.0</v>
      </c>
      <c r="AO86" s="544"/>
    </row>
    <row r="87" ht="15.75" customHeight="1">
      <c r="A87" s="516"/>
      <c r="B87" s="537"/>
      <c r="G87" s="538"/>
      <c r="I87" s="538"/>
      <c r="M87" s="538"/>
      <c r="P87" s="538"/>
      <c r="T87" s="539">
        <v>0.0</v>
      </c>
      <c r="V87" s="538"/>
      <c r="Y87" s="538"/>
      <c r="AA87" s="538"/>
      <c r="AD87" s="538"/>
      <c r="AF87" s="538"/>
      <c r="AN87" s="539">
        <v>0.0</v>
      </c>
      <c r="AO87" s="540"/>
    </row>
    <row r="88" ht="15.75" customHeight="1">
      <c r="A88" s="516"/>
      <c r="B88" s="541"/>
      <c r="G88" s="542"/>
      <c r="I88" s="542"/>
      <c r="M88" s="542"/>
      <c r="P88" s="542"/>
      <c r="T88" s="543">
        <v>0.0</v>
      </c>
      <c r="V88" s="542"/>
      <c r="Y88" s="542"/>
      <c r="AA88" s="542"/>
      <c r="AD88" s="542"/>
      <c r="AF88" s="542"/>
      <c r="AN88" s="543">
        <v>0.0</v>
      </c>
      <c r="AO88" s="544"/>
    </row>
    <row r="89" ht="15.75" customHeight="1">
      <c r="A89" s="516"/>
      <c r="B89" s="537"/>
      <c r="G89" s="538"/>
      <c r="I89" s="538"/>
      <c r="M89" s="538"/>
      <c r="P89" s="538"/>
      <c r="T89" s="539">
        <v>0.0</v>
      </c>
      <c r="V89" s="538"/>
      <c r="Y89" s="538"/>
      <c r="AA89" s="538"/>
      <c r="AD89" s="538"/>
      <c r="AF89" s="538"/>
      <c r="AN89" s="539">
        <v>0.0</v>
      </c>
      <c r="AO89" s="540"/>
    </row>
    <row r="90" ht="15.75" customHeight="1">
      <c r="A90" s="516"/>
      <c r="B90" s="541"/>
      <c r="G90" s="542"/>
      <c r="I90" s="542"/>
      <c r="M90" s="542"/>
      <c r="P90" s="542"/>
      <c r="T90" s="543">
        <v>0.0</v>
      </c>
      <c r="V90" s="542"/>
      <c r="Y90" s="542"/>
      <c r="AA90" s="542"/>
      <c r="AD90" s="542"/>
      <c r="AF90" s="542"/>
      <c r="AN90" s="543">
        <v>0.0</v>
      </c>
      <c r="AO90" s="544"/>
    </row>
    <row r="91" ht="15.75" customHeight="1">
      <c r="A91" s="516"/>
      <c r="B91" s="537"/>
      <c r="G91" s="538"/>
      <c r="I91" s="538"/>
      <c r="M91" s="538"/>
      <c r="P91" s="538"/>
      <c r="T91" s="539">
        <v>0.0</v>
      </c>
      <c r="V91" s="538"/>
      <c r="Y91" s="538"/>
      <c r="AA91" s="538"/>
      <c r="AD91" s="538"/>
      <c r="AF91" s="538"/>
      <c r="AN91" s="539">
        <v>0.0</v>
      </c>
      <c r="AO91" s="540"/>
    </row>
    <row r="92" ht="15.75" customHeight="1">
      <c r="A92" s="516"/>
      <c r="B92" s="541"/>
      <c r="G92" s="542"/>
      <c r="I92" s="542"/>
      <c r="M92" s="542"/>
      <c r="P92" s="542"/>
      <c r="T92" s="543">
        <v>0.0</v>
      </c>
      <c r="V92" s="542"/>
      <c r="Y92" s="542"/>
      <c r="AA92" s="542"/>
      <c r="AD92" s="542"/>
      <c r="AF92" s="542"/>
      <c r="AN92" s="543">
        <v>0.0</v>
      </c>
      <c r="AO92" s="544"/>
    </row>
    <row r="93" ht="15.75" customHeight="1">
      <c r="A93" s="516"/>
      <c r="B93" s="537"/>
      <c r="G93" s="538"/>
      <c r="I93" s="538"/>
      <c r="M93" s="538"/>
      <c r="P93" s="538"/>
      <c r="T93" s="539">
        <v>0.0</v>
      </c>
      <c r="V93" s="538"/>
      <c r="Y93" s="538"/>
      <c r="AA93" s="538"/>
      <c r="AD93" s="538"/>
      <c r="AF93" s="538"/>
      <c r="AN93" s="539">
        <v>0.0</v>
      </c>
      <c r="AO93" s="540"/>
    </row>
    <row r="94" ht="15.75" customHeight="1">
      <c r="A94" s="516"/>
      <c r="B94" s="541"/>
      <c r="G94" s="542"/>
      <c r="I94" s="542"/>
      <c r="M94" s="542"/>
      <c r="P94" s="542"/>
      <c r="T94" s="543">
        <v>0.0</v>
      </c>
      <c r="V94" s="542"/>
      <c r="Y94" s="542"/>
      <c r="AA94" s="542"/>
      <c r="AD94" s="542"/>
      <c r="AF94" s="542"/>
      <c r="AN94" s="543">
        <v>0.0</v>
      </c>
      <c r="AO94" s="544"/>
    </row>
    <row r="95" ht="15.75" customHeight="1">
      <c r="A95" s="516"/>
      <c r="B95" s="537"/>
      <c r="G95" s="538"/>
      <c r="I95" s="538"/>
      <c r="M95" s="538"/>
      <c r="P95" s="538"/>
      <c r="T95" s="539">
        <v>0.0</v>
      </c>
      <c r="V95" s="538"/>
      <c r="Y95" s="538"/>
      <c r="AA95" s="538"/>
      <c r="AD95" s="538"/>
      <c r="AF95" s="538"/>
      <c r="AN95" s="539">
        <v>0.0</v>
      </c>
      <c r="AO95" s="540"/>
    </row>
    <row r="96" ht="15.75" customHeight="1">
      <c r="A96" s="516"/>
      <c r="B96" s="541"/>
      <c r="G96" s="542"/>
      <c r="I96" s="542"/>
      <c r="M96" s="542"/>
      <c r="P96" s="542"/>
      <c r="T96" s="543">
        <v>0.0</v>
      </c>
      <c r="V96" s="542"/>
      <c r="Y96" s="542"/>
      <c r="AA96" s="542"/>
      <c r="AD96" s="542"/>
      <c r="AF96" s="542"/>
      <c r="AN96" s="543">
        <v>0.0</v>
      </c>
      <c r="AO96" s="544"/>
    </row>
    <row r="97" ht="15.75" customHeight="1">
      <c r="A97" s="516"/>
      <c r="B97" s="537"/>
      <c r="G97" s="538"/>
      <c r="I97" s="538"/>
      <c r="M97" s="538"/>
      <c r="P97" s="538"/>
      <c r="T97" s="539">
        <v>0.0</v>
      </c>
      <c r="V97" s="538"/>
      <c r="Y97" s="538"/>
      <c r="AA97" s="538"/>
      <c r="AD97" s="538"/>
      <c r="AF97" s="538"/>
      <c r="AN97" s="539">
        <v>0.0</v>
      </c>
      <c r="AO97" s="540"/>
    </row>
    <row r="98" ht="15.75" customHeight="1">
      <c r="A98" s="516"/>
      <c r="B98" s="541"/>
      <c r="G98" s="542"/>
      <c r="I98" s="542"/>
      <c r="M98" s="542"/>
      <c r="P98" s="542"/>
      <c r="T98" s="543">
        <v>0.0</v>
      </c>
      <c r="V98" s="542"/>
      <c r="Y98" s="542"/>
      <c r="AA98" s="542"/>
      <c r="AD98" s="542"/>
      <c r="AF98" s="542"/>
      <c r="AN98" s="543">
        <v>0.0</v>
      </c>
      <c r="AO98" s="544"/>
    </row>
    <row r="99" ht="15.75" customHeight="1">
      <c r="A99" s="516"/>
      <c r="B99" s="537"/>
      <c r="G99" s="538"/>
      <c r="I99" s="538"/>
      <c r="M99" s="538"/>
      <c r="P99" s="538"/>
      <c r="T99" s="539">
        <v>0.0</v>
      </c>
      <c r="V99" s="538"/>
      <c r="Y99" s="538"/>
      <c r="AA99" s="538"/>
      <c r="AD99" s="538"/>
      <c r="AF99" s="538"/>
      <c r="AN99" s="539">
        <v>0.0</v>
      </c>
      <c r="AO99" s="540"/>
    </row>
    <row r="100" ht="15.75" customHeight="1">
      <c r="A100" s="516"/>
      <c r="B100" s="541"/>
      <c r="G100" s="542"/>
      <c r="I100" s="542"/>
      <c r="M100" s="542"/>
      <c r="P100" s="542"/>
      <c r="T100" s="543">
        <v>0.0</v>
      </c>
      <c r="V100" s="542"/>
      <c r="Y100" s="542"/>
      <c r="AA100" s="542"/>
      <c r="AD100" s="542"/>
      <c r="AF100" s="542"/>
      <c r="AN100" s="543">
        <v>0.0</v>
      </c>
      <c r="AO100" s="544"/>
    </row>
    <row r="101" ht="15.75" customHeight="1">
      <c r="A101" s="516"/>
      <c r="B101" s="537"/>
      <c r="G101" s="538"/>
      <c r="I101" s="538"/>
      <c r="M101" s="538"/>
      <c r="P101" s="538"/>
      <c r="T101" s="539">
        <v>0.0</v>
      </c>
      <c r="V101" s="538"/>
      <c r="Y101" s="538"/>
      <c r="AA101" s="538"/>
      <c r="AD101" s="538"/>
      <c r="AF101" s="538"/>
      <c r="AN101" s="539">
        <v>0.0</v>
      </c>
      <c r="AO101" s="540"/>
    </row>
    <row r="102" ht="15.75" customHeight="1">
      <c r="A102" s="516"/>
      <c r="B102" s="541"/>
      <c r="G102" s="542"/>
      <c r="I102" s="542"/>
      <c r="M102" s="542"/>
      <c r="P102" s="542"/>
      <c r="T102" s="543">
        <v>0.0</v>
      </c>
      <c r="V102" s="542"/>
      <c r="Y102" s="542"/>
      <c r="AA102" s="542"/>
      <c r="AD102" s="542"/>
      <c r="AF102" s="542"/>
      <c r="AN102" s="543">
        <v>0.0</v>
      </c>
      <c r="AO102" s="544"/>
    </row>
    <row r="103" ht="15.75" customHeight="1">
      <c r="A103" s="516"/>
      <c r="B103" s="537"/>
      <c r="G103" s="538"/>
      <c r="I103" s="538"/>
      <c r="M103" s="538"/>
      <c r="P103" s="538"/>
      <c r="T103" s="539">
        <v>0.0</v>
      </c>
      <c r="V103" s="538"/>
      <c r="Y103" s="538"/>
      <c r="AA103" s="538"/>
      <c r="AD103" s="538"/>
      <c r="AF103" s="538"/>
      <c r="AN103" s="539">
        <v>0.0</v>
      </c>
      <c r="AO103" s="540"/>
    </row>
    <row r="104" ht="15.75" customHeight="1">
      <c r="A104" s="516"/>
      <c r="B104" s="541"/>
      <c r="G104" s="542"/>
      <c r="I104" s="542"/>
      <c r="M104" s="542"/>
      <c r="P104" s="542"/>
      <c r="T104" s="543">
        <v>0.0</v>
      </c>
      <c r="V104" s="542"/>
      <c r="Y104" s="542"/>
      <c r="AA104" s="542"/>
      <c r="AD104" s="542"/>
      <c r="AF104" s="542"/>
      <c r="AN104" s="543">
        <v>0.0</v>
      </c>
      <c r="AO104" s="544"/>
    </row>
    <row r="105" ht="15.75" customHeight="1">
      <c r="A105" s="516"/>
      <c r="B105" s="537"/>
      <c r="G105" s="538"/>
      <c r="I105" s="538"/>
      <c r="M105" s="538"/>
      <c r="P105" s="538"/>
      <c r="T105" s="539">
        <v>0.0</v>
      </c>
      <c r="V105" s="538"/>
      <c r="Y105" s="538"/>
      <c r="AA105" s="538"/>
      <c r="AD105" s="538"/>
      <c r="AF105" s="538"/>
      <c r="AN105" s="539">
        <v>0.0</v>
      </c>
      <c r="AO105" s="540"/>
    </row>
    <row r="106" ht="15.75" customHeight="1">
      <c r="A106" s="516"/>
      <c r="B106" s="541"/>
      <c r="G106" s="542"/>
      <c r="I106" s="542"/>
      <c r="M106" s="542"/>
      <c r="P106" s="542"/>
      <c r="T106" s="543">
        <v>0.0</v>
      </c>
      <c r="V106" s="542"/>
      <c r="Y106" s="542"/>
      <c r="AA106" s="542"/>
      <c r="AD106" s="542"/>
      <c r="AF106" s="542"/>
      <c r="AN106" s="543">
        <v>0.0</v>
      </c>
      <c r="AO106" s="544"/>
    </row>
    <row r="107" ht="15.75" customHeight="1">
      <c r="A107" s="516"/>
      <c r="B107" s="537"/>
      <c r="G107" s="538"/>
      <c r="I107" s="538"/>
      <c r="M107" s="538"/>
      <c r="P107" s="538"/>
      <c r="T107" s="539">
        <v>0.0</v>
      </c>
      <c r="V107" s="538"/>
      <c r="Y107" s="538"/>
      <c r="AA107" s="538"/>
      <c r="AD107" s="538"/>
      <c r="AF107" s="538"/>
      <c r="AN107" s="539">
        <v>0.0</v>
      </c>
      <c r="AO107" s="540"/>
    </row>
    <row r="108" ht="15.75" customHeight="1">
      <c r="A108" s="516"/>
      <c r="B108" s="541"/>
      <c r="G108" s="542"/>
      <c r="I108" s="542"/>
      <c r="M108" s="542"/>
      <c r="P108" s="542"/>
      <c r="T108" s="543">
        <v>0.0</v>
      </c>
      <c r="V108" s="542"/>
      <c r="Y108" s="542"/>
      <c r="AA108" s="542"/>
      <c r="AD108" s="542"/>
      <c r="AF108" s="542"/>
      <c r="AN108" s="543">
        <v>0.0</v>
      </c>
      <c r="AO108" s="544"/>
    </row>
    <row r="109" ht="15.75" customHeight="1">
      <c r="A109" s="516"/>
      <c r="B109" s="537"/>
      <c r="G109" s="538"/>
      <c r="I109" s="538"/>
      <c r="M109" s="538"/>
      <c r="P109" s="538"/>
      <c r="T109" s="539">
        <v>0.0</v>
      </c>
      <c r="V109" s="538"/>
      <c r="Y109" s="538"/>
      <c r="AA109" s="538"/>
      <c r="AD109" s="538"/>
      <c r="AF109" s="538"/>
      <c r="AN109" s="539">
        <v>0.0</v>
      </c>
      <c r="AO109" s="540"/>
    </row>
    <row r="110" ht="15.75" customHeight="1">
      <c r="A110" s="516"/>
      <c r="B110" s="541"/>
      <c r="G110" s="542"/>
      <c r="I110" s="542"/>
      <c r="M110" s="542"/>
      <c r="P110" s="542"/>
      <c r="T110" s="543">
        <v>0.0</v>
      </c>
      <c r="V110" s="542"/>
      <c r="Y110" s="542"/>
      <c r="AA110" s="542"/>
      <c r="AD110" s="542"/>
      <c r="AF110" s="542"/>
      <c r="AN110" s="543">
        <v>0.0</v>
      </c>
      <c r="AO110" s="544"/>
    </row>
    <row r="111" ht="15.75" customHeight="1">
      <c r="A111" s="516"/>
      <c r="B111" s="537"/>
      <c r="G111" s="538"/>
      <c r="I111" s="538"/>
      <c r="M111" s="538"/>
      <c r="P111" s="538"/>
      <c r="T111" s="539">
        <v>0.0</v>
      </c>
      <c r="V111" s="538"/>
      <c r="Y111" s="538"/>
      <c r="AA111" s="538"/>
      <c r="AD111" s="538"/>
      <c r="AF111" s="538"/>
      <c r="AN111" s="539">
        <v>0.0</v>
      </c>
      <c r="AO111" s="540"/>
    </row>
    <row r="112" ht="15.75" customHeight="1">
      <c r="A112" s="516"/>
      <c r="B112" s="541"/>
      <c r="G112" s="542"/>
      <c r="I112" s="542"/>
      <c r="M112" s="542"/>
      <c r="P112" s="542"/>
      <c r="T112" s="543">
        <v>0.0</v>
      </c>
      <c r="V112" s="542"/>
      <c r="Y112" s="542"/>
      <c r="AA112" s="542"/>
      <c r="AD112" s="542"/>
      <c r="AF112" s="542"/>
      <c r="AN112" s="543">
        <v>0.0</v>
      </c>
      <c r="AO112" s="544"/>
    </row>
    <row r="113" ht="15.75" customHeight="1">
      <c r="A113" s="516"/>
      <c r="B113" s="537"/>
      <c r="G113" s="538"/>
      <c r="I113" s="538"/>
      <c r="M113" s="538"/>
      <c r="P113" s="538"/>
      <c r="T113" s="539">
        <v>0.0</v>
      </c>
      <c r="V113" s="538"/>
      <c r="Y113" s="538"/>
      <c r="AA113" s="538"/>
      <c r="AD113" s="538"/>
      <c r="AF113" s="538"/>
      <c r="AN113" s="539">
        <v>0.0</v>
      </c>
      <c r="AO113" s="540"/>
    </row>
    <row r="114" ht="15.75" customHeight="1">
      <c r="A114" s="516"/>
      <c r="B114" s="541"/>
      <c r="G114" s="542"/>
      <c r="I114" s="542"/>
      <c r="M114" s="542"/>
      <c r="P114" s="542"/>
      <c r="T114" s="543">
        <v>0.0</v>
      </c>
      <c r="V114" s="542"/>
      <c r="Y114" s="542"/>
      <c r="AA114" s="542"/>
      <c r="AD114" s="542"/>
      <c r="AF114" s="542"/>
      <c r="AN114" s="543">
        <v>0.0</v>
      </c>
      <c r="AO114" s="544"/>
    </row>
    <row r="115" ht="15.75" customHeight="1">
      <c r="A115" s="516"/>
      <c r="B115" s="537"/>
      <c r="G115" s="538"/>
      <c r="I115" s="538"/>
      <c r="M115" s="538"/>
      <c r="P115" s="538"/>
      <c r="T115" s="539">
        <v>0.0</v>
      </c>
      <c r="V115" s="538"/>
      <c r="Y115" s="538"/>
      <c r="AA115" s="538"/>
      <c r="AD115" s="538"/>
      <c r="AF115" s="538"/>
      <c r="AN115" s="539">
        <v>0.0</v>
      </c>
      <c r="AO115" s="540"/>
    </row>
    <row r="116" ht="15.75" customHeight="1">
      <c r="A116" s="516"/>
      <c r="B116" s="541"/>
      <c r="G116" s="542"/>
      <c r="I116" s="542"/>
      <c r="M116" s="542"/>
      <c r="P116" s="542"/>
      <c r="T116" s="543">
        <v>0.0</v>
      </c>
      <c r="V116" s="542"/>
      <c r="Y116" s="542"/>
      <c r="AA116" s="542"/>
      <c r="AD116" s="542"/>
      <c r="AF116" s="542"/>
      <c r="AN116" s="543">
        <v>0.0</v>
      </c>
      <c r="AO116" s="544"/>
    </row>
    <row r="117" ht="15.75" customHeight="1">
      <c r="A117" s="516"/>
      <c r="B117" s="537"/>
      <c r="G117" s="538"/>
      <c r="I117" s="538"/>
      <c r="M117" s="538"/>
      <c r="P117" s="538"/>
      <c r="T117" s="539">
        <v>0.0</v>
      </c>
      <c r="V117" s="538"/>
      <c r="Y117" s="538"/>
      <c r="AA117" s="538"/>
      <c r="AD117" s="538"/>
      <c r="AF117" s="538"/>
      <c r="AN117" s="539">
        <v>0.0</v>
      </c>
      <c r="AO117" s="540"/>
    </row>
    <row r="118" ht="15.75" customHeight="1">
      <c r="A118" s="516"/>
      <c r="B118" s="541"/>
      <c r="G118" s="542"/>
      <c r="I118" s="542"/>
      <c r="M118" s="542"/>
      <c r="P118" s="542"/>
      <c r="T118" s="543">
        <v>0.0</v>
      </c>
      <c r="V118" s="542"/>
      <c r="Y118" s="542"/>
      <c r="AA118" s="542"/>
      <c r="AD118" s="542"/>
      <c r="AF118" s="542"/>
      <c r="AN118" s="543">
        <v>0.0</v>
      </c>
      <c r="AO118" s="544"/>
    </row>
    <row r="119" ht="15.75" customHeight="1">
      <c r="A119" s="516"/>
      <c r="B119" s="537"/>
      <c r="G119" s="538"/>
      <c r="I119" s="538"/>
      <c r="M119" s="538"/>
      <c r="P119" s="538"/>
      <c r="T119" s="539">
        <v>0.0</v>
      </c>
      <c r="V119" s="538"/>
      <c r="Y119" s="538"/>
      <c r="AA119" s="538"/>
      <c r="AD119" s="538"/>
      <c r="AF119" s="538"/>
      <c r="AN119" s="539">
        <v>0.0</v>
      </c>
      <c r="AO119" s="540"/>
    </row>
    <row r="120" ht="15.75" customHeight="1">
      <c r="A120" s="516"/>
      <c r="B120" s="541"/>
      <c r="G120" s="542"/>
      <c r="I120" s="542"/>
      <c r="M120" s="542"/>
      <c r="P120" s="542"/>
      <c r="T120" s="543">
        <v>0.0</v>
      </c>
      <c r="V120" s="542"/>
      <c r="Y120" s="542"/>
      <c r="AA120" s="542"/>
      <c r="AD120" s="542"/>
      <c r="AF120" s="542"/>
      <c r="AN120" s="543">
        <v>0.0</v>
      </c>
      <c r="AO120" s="544"/>
    </row>
    <row r="121" ht="15.75" customHeight="1">
      <c r="A121" s="516"/>
      <c r="B121" s="537"/>
      <c r="G121" s="538"/>
      <c r="I121" s="538"/>
      <c r="M121" s="538"/>
      <c r="P121" s="538"/>
      <c r="T121" s="539">
        <v>0.0</v>
      </c>
      <c r="V121" s="538"/>
      <c r="Y121" s="538"/>
      <c r="AA121" s="538"/>
      <c r="AD121" s="538"/>
      <c r="AF121" s="538"/>
      <c r="AN121" s="539">
        <v>0.0</v>
      </c>
      <c r="AO121" s="540"/>
    </row>
    <row r="122" ht="15.75" customHeight="1">
      <c r="A122" s="516"/>
      <c r="B122" s="541"/>
      <c r="G122" s="542"/>
      <c r="I122" s="542"/>
      <c r="M122" s="542"/>
      <c r="P122" s="542"/>
      <c r="T122" s="543">
        <v>0.0</v>
      </c>
      <c r="V122" s="542"/>
      <c r="Y122" s="542"/>
      <c r="AA122" s="542"/>
      <c r="AD122" s="542"/>
      <c r="AF122" s="542"/>
      <c r="AN122" s="543">
        <v>0.0</v>
      </c>
      <c r="AO122" s="544"/>
    </row>
    <row r="123" ht="15.75" customHeight="1">
      <c r="A123" s="516"/>
      <c r="B123" s="537"/>
      <c r="G123" s="538"/>
      <c r="I123" s="538"/>
      <c r="M123" s="538"/>
      <c r="P123" s="538"/>
      <c r="T123" s="539">
        <v>0.0</v>
      </c>
      <c r="V123" s="538"/>
      <c r="Y123" s="538"/>
      <c r="AA123" s="538"/>
      <c r="AD123" s="538"/>
      <c r="AF123" s="538"/>
      <c r="AN123" s="539">
        <v>0.0</v>
      </c>
      <c r="AO123" s="540"/>
    </row>
    <row r="124" ht="15.75" customHeight="1">
      <c r="A124" s="516"/>
      <c r="B124" s="541"/>
      <c r="G124" s="542"/>
      <c r="I124" s="542"/>
      <c r="M124" s="542"/>
      <c r="P124" s="542"/>
      <c r="T124" s="543">
        <v>0.0</v>
      </c>
      <c r="V124" s="542"/>
      <c r="Y124" s="542"/>
      <c r="AA124" s="542"/>
      <c r="AD124" s="542"/>
      <c r="AF124" s="542"/>
      <c r="AN124" s="543">
        <v>0.0</v>
      </c>
      <c r="AO124" s="544"/>
    </row>
    <row r="125" ht="15.75" customHeight="1">
      <c r="A125" s="516"/>
      <c r="B125" s="537"/>
      <c r="G125" s="538"/>
      <c r="I125" s="538"/>
      <c r="M125" s="538"/>
      <c r="P125" s="538"/>
      <c r="T125" s="539">
        <v>0.0</v>
      </c>
      <c r="V125" s="538"/>
      <c r="Y125" s="538"/>
      <c r="AA125" s="538"/>
      <c r="AD125" s="538"/>
      <c r="AF125" s="538"/>
      <c r="AN125" s="539">
        <v>0.0</v>
      </c>
      <c r="AO125" s="540"/>
    </row>
    <row r="126" ht="15.75" customHeight="1">
      <c r="A126" s="516"/>
      <c r="B126" s="541"/>
      <c r="G126" s="542"/>
      <c r="I126" s="542"/>
      <c r="M126" s="542"/>
      <c r="P126" s="542"/>
      <c r="T126" s="543">
        <v>0.0</v>
      </c>
      <c r="V126" s="542"/>
      <c r="Y126" s="542"/>
      <c r="AA126" s="542"/>
      <c r="AD126" s="542"/>
      <c r="AF126" s="542"/>
      <c r="AN126" s="543">
        <v>0.0</v>
      </c>
      <c r="AO126" s="544"/>
    </row>
    <row r="127" ht="15.75" customHeight="1">
      <c r="A127" s="516"/>
      <c r="B127" s="537"/>
      <c r="G127" s="538"/>
      <c r="I127" s="538"/>
      <c r="M127" s="538"/>
      <c r="P127" s="538"/>
      <c r="T127" s="539">
        <v>0.0</v>
      </c>
      <c r="V127" s="538"/>
      <c r="Y127" s="538"/>
      <c r="AA127" s="538"/>
      <c r="AD127" s="538"/>
      <c r="AF127" s="538"/>
      <c r="AN127" s="539">
        <v>0.0</v>
      </c>
      <c r="AO127" s="540"/>
    </row>
    <row r="128" ht="15.75" customHeight="1">
      <c r="A128" s="516"/>
      <c r="B128" s="541"/>
      <c r="G128" s="542"/>
      <c r="I128" s="542"/>
      <c r="M128" s="542"/>
      <c r="P128" s="542"/>
      <c r="T128" s="543">
        <v>0.0</v>
      </c>
      <c r="V128" s="542"/>
      <c r="Y128" s="542"/>
      <c r="AA128" s="542"/>
      <c r="AD128" s="542"/>
      <c r="AF128" s="542"/>
      <c r="AN128" s="543">
        <v>0.0</v>
      </c>
      <c r="AO128" s="544"/>
    </row>
    <row r="129" ht="15.75" customHeight="1">
      <c r="A129" s="516"/>
      <c r="B129" s="537"/>
      <c r="G129" s="538"/>
      <c r="I129" s="538"/>
      <c r="M129" s="538"/>
      <c r="P129" s="538"/>
      <c r="T129" s="539">
        <v>0.0</v>
      </c>
      <c r="V129" s="538"/>
      <c r="Y129" s="538"/>
      <c r="AA129" s="538"/>
      <c r="AD129" s="538"/>
      <c r="AF129" s="538"/>
      <c r="AN129" s="539">
        <v>0.0</v>
      </c>
      <c r="AO129" s="540"/>
    </row>
    <row r="130" ht="15.75" customHeight="1">
      <c r="A130" s="516"/>
      <c r="B130" s="541"/>
      <c r="G130" s="542"/>
      <c r="I130" s="542"/>
      <c r="M130" s="542"/>
      <c r="P130" s="542"/>
      <c r="T130" s="543">
        <v>0.0</v>
      </c>
      <c r="V130" s="542"/>
      <c r="Y130" s="542"/>
      <c r="AA130" s="542"/>
      <c r="AD130" s="542"/>
      <c r="AF130" s="542"/>
      <c r="AN130" s="543">
        <v>0.0</v>
      </c>
      <c r="AO130" s="544"/>
    </row>
    <row r="131" ht="15.75" customHeight="1">
      <c r="A131" s="516"/>
      <c r="B131" s="537"/>
      <c r="G131" s="538"/>
      <c r="I131" s="538"/>
      <c r="M131" s="538"/>
      <c r="P131" s="538"/>
      <c r="T131" s="539">
        <v>0.0</v>
      </c>
      <c r="V131" s="538"/>
      <c r="Y131" s="538"/>
      <c r="AA131" s="538"/>
      <c r="AD131" s="538"/>
      <c r="AF131" s="538"/>
      <c r="AN131" s="539">
        <v>0.0</v>
      </c>
      <c r="AO131" s="540"/>
    </row>
    <row r="132" ht="15.75" customHeight="1">
      <c r="A132" s="516"/>
      <c r="B132" s="541"/>
      <c r="G132" s="542"/>
      <c r="I132" s="542"/>
      <c r="M132" s="542"/>
      <c r="P132" s="542"/>
      <c r="T132" s="543">
        <v>0.0</v>
      </c>
      <c r="V132" s="542"/>
      <c r="Y132" s="542"/>
      <c r="AA132" s="542"/>
      <c r="AD132" s="542"/>
      <c r="AF132" s="542"/>
      <c r="AN132" s="543">
        <v>0.0</v>
      </c>
      <c r="AO132" s="544"/>
    </row>
    <row r="133" ht="15.75" customHeight="1">
      <c r="A133" s="516"/>
      <c r="B133" s="537"/>
      <c r="G133" s="538"/>
      <c r="I133" s="538"/>
      <c r="M133" s="538"/>
      <c r="P133" s="538"/>
      <c r="T133" s="539">
        <v>0.0</v>
      </c>
      <c r="V133" s="538"/>
      <c r="Y133" s="538"/>
      <c r="AA133" s="538"/>
      <c r="AD133" s="538"/>
      <c r="AF133" s="538"/>
      <c r="AN133" s="539">
        <v>0.0</v>
      </c>
      <c r="AO133" s="540"/>
    </row>
    <row r="134" ht="15.75" customHeight="1">
      <c r="A134" s="516"/>
      <c r="B134" s="541"/>
      <c r="G134" s="542"/>
      <c r="I134" s="542"/>
      <c r="M134" s="542"/>
      <c r="P134" s="542"/>
      <c r="T134" s="543">
        <v>0.0</v>
      </c>
      <c r="V134" s="542"/>
      <c r="Y134" s="542"/>
      <c r="AA134" s="542"/>
      <c r="AD134" s="542"/>
      <c r="AF134" s="542"/>
      <c r="AN134" s="543">
        <v>0.0</v>
      </c>
      <c r="AO134" s="544"/>
    </row>
    <row r="135" ht="15.75" customHeight="1">
      <c r="A135" s="516"/>
      <c r="B135" s="537"/>
      <c r="G135" s="538"/>
      <c r="I135" s="538"/>
      <c r="M135" s="538"/>
      <c r="P135" s="538"/>
      <c r="T135" s="539">
        <v>0.0</v>
      </c>
      <c r="V135" s="538"/>
      <c r="Y135" s="538"/>
      <c r="AA135" s="538"/>
      <c r="AD135" s="538"/>
      <c r="AF135" s="538"/>
      <c r="AN135" s="539">
        <v>0.0</v>
      </c>
      <c r="AO135" s="540"/>
    </row>
    <row r="136" ht="15.75" customHeight="1">
      <c r="A136" s="516"/>
      <c r="B136" s="541"/>
      <c r="G136" s="542"/>
      <c r="I136" s="542"/>
      <c r="M136" s="542"/>
      <c r="P136" s="542"/>
      <c r="T136" s="543">
        <v>0.0</v>
      </c>
      <c r="V136" s="542"/>
      <c r="Y136" s="542"/>
      <c r="AA136" s="542"/>
      <c r="AD136" s="542"/>
      <c r="AF136" s="542"/>
      <c r="AN136" s="543">
        <v>0.0</v>
      </c>
      <c r="AO136" s="544"/>
    </row>
    <row r="137" ht="15.75" customHeight="1">
      <c r="A137" s="516"/>
      <c r="B137" s="537"/>
      <c r="G137" s="538"/>
      <c r="I137" s="538"/>
      <c r="M137" s="538"/>
      <c r="P137" s="538"/>
      <c r="T137" s="539">
        <v>0.0</v>
      </c>
      <c r="V137" s="538"/>
      <c r="Y137" s="538"/>
      <c r="AA137" s="538"/>
      <c r="AD137" s="538"/>
      <c r="AF137" s="538"/>
      <c r="AN137" s="539">
        <v>0.0</v>
      </c>
      <c r="AO137" s="540"/>
    </row>
    <row r="138" ht="15.75" customHeight="1">
      <c r="A138" s="516"/>
      <c r="B138" s="541"/>
      <c r="G138" s="542"/>
      <c r="I138" s="542"/>
      <c r="M138" s="542"/>
      <c r="P138" s="542"/>
      <c r="T138" s="543">
        <v>0.0</v>
      </c>
      <c r="V138" s="542"/>
      <c r="Y138" s="542"/>
      <c r="AA138" s="542"/>
      <c r="AD138" s="542"/>
      <c r="AF138" s="542"/>
      <c r="AN138" s="543">
        <v>0.0</v>
      </c>
      <c r="AO138" s="544"/>
    </row>
    <row r="139" ht="15.75" customHeight="1">
      <c r="A139" s="516"/>
      <c r="B139" s="537"/>
      <c r="G139" s="538"/>
      <c r="I139" s="538"/>
      <c r="M139" s="538"/>
      <c r="P139" s="538"/>
      <c r="T139" s="539">
        <v>0.0</v>
      </c>
      <c r="V139" s="538"/>
      <c r="Y139" s="538"/>
      <c r="AA139" s="538"/>
      <c r="AD139" s="538"/>
      <c r="AF139" s="538"/>
      <c r="AN139" s="539">
        <v>0.0</v>
      </c>
      <c r="AO139" s="540"/>
    </row>
    <row r="140" ht="15.75" customHeight="1">
      <c r="A140" s="516"/>
      <c r="B140" s="541"/>
      <c r="G140" s="542"/>
      <c r="I140" s="542"/>
      <c r="M140" s="542"/>
      <c r="P140" s="542"/>
      <c r="T140" s="543">
        <v>0.0</v>
      </c>
      <c r="V140" s="542"/>
      <c r="Y140" s="542"/>
      <c r="AA140" s="542"/>
      <c r="AD140" s="542"/>
      <c r="AF140" s="542"/>
      <c r="AN140" s="543">
        <v>0.0</v>
      </c>
      <c r="AO140" s="544"/>
    </row>
    <row r="141" ht="15.75" customHeight="1">
      <c r="A141" s="516"/>
      <c r="B141" s="537"/>
      <c r="G141" s="538"/>
      <c r="I141" s="538"/>
      <c r="M141" s="538"/>
      <c r="P141" s="538"/>
      <c r="T141" s="539">
        <v>0.0</v>
      </c>
      <c r="V141" s="538"/>
      <c r="Y141" s="538"/>
      <c r="AA141" s="538"/>
      <c r="AD141" s="538"/>
      <c r="AF141" s="538"/>
      <c r="AN141" s="539">
        <v>0.0</v>
      </c>
      <c r="AO141" s="540"/>
    </row>
    <row r="142" ht="15.75" customHeight="1">
      <c r="A142" s="516"/>
      <c r="B142" s="541"/>
      <c r="G142" s="542"/>
      <c r="I142" s="542"/>
      <c r="M142" s="542"/>
      <c r="P142" s="542"/>
      <c r="T142" s="543">
        <v>0.0</v>
      </c>
      <c r="V142" s="542"/>
      <c r="Y142" s="542"/>
      <c r="AA142" s="542"/>
      <c r="AD142" s="542"/>
      <c r="AF142" s="542"/>
      <c r="AN142" s="543">
        <v>0.0</v>
      </c>
      <c r="AO142" s="544"/>
    </row>
    <row r="143" ht="15.75" customHeight="1">
      <c r="A143" s="516"/>
      <c r="B143" s="537"/>
      <c r="G143" s="538"/>
      <c r="I143" s="538"/>
      <c r="M143" s="538"/>
      <c r="P143" s="538"/>
      <c r="T143" s="539">
        <v>0.0</v>
      </c>
      <c r="V143" s="538"/>
      <c r="Y143" s="538"/>
      <c r="AA143" s="538"/>
      <c r="AD143" s="538"/>
      <c r="AF143" s="538"/>
      <c r="AN143" s="539">
        <v>0.0</v>
      </c>
      <c r="AO143" s="540"/>
    </row>
    <row r="144" ht="15.75" customHeight="1">
      <c r="A144" s="516"/>
      <c r="B144" s="541"/>
      <c r="G144" s="542"/>
      <c r="I144" s="542"/>
      <c r="M144" s="542"/>
      <c r="P144" s="542"/>
      <c r="T144" s="543">
        <v>0.0</v>
      </c>
      <c r="V144" s="542"/>
      <c r="Y144" s="542"/>
      <c r="AA144" s="542"/>
      <c r="AD144" s="542"/>
      <c r="AF144" s="542"/>
      <c r="AN144" s="543">
        <v>0.0</v>
      </c>
      <c r="AO144" s="544"/>
    </row>
    <row r="145" ht="15.75" customHeight="1">
      <c r="A145" s="516"/>
      <c r="B145" s="537"/>
      <c r="G145" s="538"/>
      <c r="I145" s="538"/>
      <c r="M145" s="538"/>
      <c r="P145" s="538"/>
      <c r="T145" s="539">
        <v>0.0</v>
      </c>
      <c r="V145" s="538"/>
      <c r="Y145" s="538"/>
      <c r="AA145" s="538"/>
      <c r="AD145" s="538"/>
      <c r="AF145" s="538"/>
      <c r="AN145" s="539">
        <v>0.0</v>
      </c>
      <c r="AO145" s="540"/>
    </row>
    <row r="146" ht="15.75" customHeight="1">
      <c r="A146" s="516"/>
      <c r="B146" s="541"/>
      <c r="G146" s="542"/>
      <c r="I146" s="542"/>
      <c r="M146" s="542"/>
      <c r="P146" s="542"/>
      <c r="T146" s="543">
        <v>0.0</v>
      </c>
      <c r="V146" s="542"/>
      <c r="Y146" s="542"/>
      <c r="AA146" s="542"/>
      <c r="AD146" s="542"/>
      <c r="AF146" s="542"/>
      <c r="AN146" s="543">
        <v>0.0</v>
      </c>
      <c r="AO146" s="544"/>
    </row>
    <row r="147" ht="15.75" customHeight="1">
      <c r="A147" s="516"/>
      <c r="B147" s="537"/>
      <c r="G147" s="538"/>
      <c r="I147" s="538"/>
      <c r="M147" s="538"/>
      <c r="P147" s="538"/>
      <c r="T147" s="539">
        <v>0.0</v>
      </c>
      <c r="V147" s="538"/>
      <c r="Y147" s="538"/>
      <c r="AA147" s="538"/>
      <c r="AD147" s="538"/>
      <c r="AF147" s="538"/>
      <c r="AN147" s="539">
        <v>0.0</v>
      </c>
      <c r="AO147" s="540"/>
    </row>
    <row r="148" ht="15.75" customHeight="1">
      <c r="A148" s="516"/>
      <c r="B148" s="541"/>
      <c r="G148" s="542"/>
      <c r="I148" s="542"/>
      <c r="M148" s="542"/>
      <c r="P148" s="542"/>
      <c r="T148" s="543">
        <v>0.0</v>
      </c>
      <c r="V148" s="542"/>
      <c r="Y148" s="542"/>
      <c r="AA148" s="542"/>
      <c r="AD148" s="542"/>
      <c r="AF148" s="542"/>
      <c r="AN148" s="543">
        <v>0.0</v>
      </c>
      <c r="AO148" s="544"/>
    </row>
    <row r="149" ht="15.75" customHeight="1">
      <c r="A149" s="516"/>
      <c r="B149" s="537"/>
      <c r="G149" s="538"/>
      <c r="I149" s="538"/>
      <c r="M149" s="538"/>
      <c r="P149" s="538"/>
      <c r="T149" s="539">
        <v>0.0</v>
      </c>
      <c r="V149" s="538"/>
      <c r="Y149" s="538"/>
      <c r="AA149" s="538"/>
      <c r="AD149" s="538"/>
      <c r="AF149" s="538"/>
      <c r="AN149" s="539">
        <v>0.0</v>
      </c>
      <c r="AO149" s="540"/>
    </row>
    <row r="150" ht="15.75" customHeight="1">
      <c r="A150" s="516"/>
      <c r="B150" s="541"/>
      <c r="G150" s="542"/>
      <c r="I150" s="542"/>
      <c r="M150" s="542"/>
      <c r="P150" s="542"/>
      <c r="T150" s="543">
        <v>0.0</v>
      </c>
      <c r="V150" s="542"/>
      <c r="Y150" s="542"/>
      <c r="AA150" s="542"/>
      <c r="AD150" s="542"/>
      <c r="AF150" s="542"/>
      <c r="AN150" s="543">
        <v>0.0</v>
      </c>
      <c r="AO150" s="544"/>
    </row>
    <row r="151" ht="15.75" customHeight="1">
      <c r="A151" s="516"/>
      <c r="B151" s="537"/>
      <c r="G151" s="538"/>
      <c r="I151" s="538"/>
      <c r="M151" s="538"/>
      <c r="P151" s="538"/>
      <c r="T151" s="539">
        <v>0.0</v>
      </c>
      <c r="V151" s="538"/>
      <c r="Y151" s="538"/>
      <c r="AA151" s="538"/>
      <c r="AD151" s="538"/>
      <c r="AF151" s="538"/>
      <c r="AN151" s="539">
        <v>0.0</v>
      </c>
      <c r="AO151" s="540"/>
    </row>
    <row r="152" ht="15.75" customHeight="1">
      <c r="A152" s="516"/>
      <c r="B152" s="541"/>
      <c r="G152" s="542"/>
      <c r="I152" s="542"/>
      <c r="M152" s="542"/>
      <c r="P152" s="542"/>
      <c r="T152" s="543">
        <v>0.0</v>
      </c>
      <c r="V152" s="542"/>
      <c r="Y152" s="542"/>
      <c r="AA152" s="542"/>
      <c r="AD152" s="542"/>
      <c r="AF152" s="542"/>
      <c r="AN152" s="543">
        <v>0.0</v>
      </c>
      <c r="AO152" s="544"/>
    </row>
    <row r="153" ht="15.75" customHeight="1">
      <c r="A153" s="516"/>
      <c r="B153" s="537"/>
      <c r="G153" s="538"/>
      <c r="I153" s="538"/>
      <c r="M153" s="538"/>
      <c r="P153" s="538"/>
      <c r="T153" s="539">
        <v>0.0</v>
      </c>
      <c r="V153" s="538"/>
      <c r="Y153" s="538"/>
      <c r="AA153" s="538"/>
      <c r="AD153" s="538"/>
      <c r="AF153" s="538"/>
      <c r="AN153" s="539">
        <v>0.0</v>
      </c>
      <c r="AO153" s="540"/>
    </row>
    <row r="154" ht="15.75" customHeight="1">
      <c r="A154" s="516"/>
      <c r="B154" s="541"/>
      <c r="G154" s="542"/>
      <c r="I154" s="542"/>
      <c r="M154" s="542"/>
      <c r="P154" s="542"/>
      <c r="T154" s="543">
        <v>0.0</v>
      </c>
      <c r="V154" s="542"/>
      <c r="Y154" s="542"/>
      <c r="AA154" s="542"/>
      <c r="AD154" s="542"/>
      <c r="AF154" s="542"/>
      <c r="AN154" s="543">
        <v>0.0</v>
      </c>
      <c r="AO154" s="544"/>
    </row>
    <row r="155" ht="15.75" customHeight="1">
      <c r="A155" s="516"/>
      <c r="B155" s="537"/>
      <c r="G155" s="538"/>
      <c r="I155" s="538"/>
      <c r="M155" s="538"/>
      <c r="P155" s="538"/>
      <c r="T155" s="539">
        <v>0.0</v>
      </c>
      <c r="V155" s="538"/>
      <c r="Y155" s="538"/>
      <c r="AA155" s="538"/>
      <c r="AD155" s="538"/>
      <c r="AF155" s="538"/>
      <c r="AN155" s="539">
        <v>0.0</v>
      </c>
      <c r="AO155" s="540"/>
    </row>
    <row r="156" ht="15.75" customHeight="1">
      <c r="A156" s="516"/>
      <c r="B156" s="541"/>
      <c r="G156" s="542"/>
      <c r="I156" s="542"/>
      <c r="M156" s="542"/>
      <c r="P156" s="542"/>
      <c r="T156" s="543">
        <v>0.0</v>
      </c>
      <c r="V156" s="542"/>
      <c r="Y156" s="542"/>
      <c r="AA156" s="542"/>
      <c r="AD156" s="542"/>
      <c r="AF156" s="542"/>
      <c r="AN156" s="543">
        <v>0.0</v>
      </c>
      <c r="AO156" s="544"/>
    </row>
    <row r="157" ht="15.75" customHeight="1">
      <c r="A157" s="516"/>
      <c r="B157" s="537"/>
      <c r="G157" s="538"/>
      <c r="I157" s="538"/>
      <c r="M157" s="538"/>
      <c r="P157" s="538"/>
      <c r="T157" s="539">
        <v>0.0</v>
      </c>
      <c r="V157" s="538"/>
      <c r="Y157" s="538"/>
      <c r="AA157" s="538"/>
      <c r="AD157" s="538"/>
      <c r="AF157" s="538"/>
      <c r="AN157" s="539">
        <v>0.0</v>
      </c>
      <c r="AO157" s="540"/>
    </row>
    <row r="158" ht="15.75" customHeight="1">
      <c r="A158" s="516"/>
      <c r="B158" s="541"/>
      <c r="G158" s="542"/>
      <c r="I158" s="542"/>
      <c r="M158" s="542"/>
      <c r="P158" s="542"/>
      <c r="T158" s="543">
        <v>0.0</v>
      </c>
      <c r="V158" s="542"/>
      <c r="Y158" s="542"/>
      <c r="AA158" s="542"/>
      <c r="AD158" s="542"/>
      <c r="AF158" s="542"/>
      <c r="AN158" s="543">
        <v>0.0</v>
      </c>
      <c r="AO158" s="544"/>
    </row>
    <row r="159" ht="15.75" customHeight="1">
      <c r="A159" s="516"/>
      <c r="B159" s="537"/>
      <c r="G159" s="538"/>
      <c r="I159" s="538"/>
      <c r="M159" s="538"/>
      <c r="P159" s="538"/>
      <c r="T159" s="539">
        <v>0.0</v>
      </c>
      <c r="V159" s="538"/>
      <c r="Y159" s="538"/>
      <c r="AA159" s="538"/>
      <c r="AD159" s="538"/>
      <c r="AF159" s="538"/>
      <c r="AN159" s="539">
        <v>0.0</v>
      </c>
      <c r="AO159" s="540"/>
    </row>
    <row r="160" ht="15.75" customHeight="1">
      <c r="A160" s="516"/>
      <c r="B160" s="541"/>
      <c r="G160" s="542"/>
      <c r="I160" s="542"/>
      <c r="M160" s="542"/>
      <c r="P160" s="542"/>
      <c r="T160" s="543">
        <v>0.0</v>
      </c>
      <c r="V160" s="542"/>
      <c r="Y160" s="542"/>
      <c r="AA160" s="542"/>
      <c r="AD160" s="542"/>
      <c r="AF160" s="542"/>
      <c r="AN160" s="543">
        <v>0.0</v>
      </c>
      <c r="AO160" s="544"/>
    </row>
    <row r="161" ht="15.75" customHeight="1">
      <c r="A161" s="516"/>
      <c r="B161" s="537"/>
      <c r="G161" s="538"/>
      <c r="I161" s="538"/>
      <c r="M161" s="538"/>
      <c r="P161" s="538"/>
      <c r="T161" s="539">
        <v>0.0</v>
      </c>
      <c r="V161" s="538"/>
      <c r="Y161" s="538"/>
      <c r="AA161" s="538"/>
      <c r="AD161" s="538"/>
      <c r="AF161" s="538"/>
      <c r="AN161" s="539">
        <v>0.0</v>
      </c>
      <c r="AO161" s="540"/>
    </row>
    <row r="162" ht="15.75" customHeight="1">
      <c r="A162" s="516"/>
      <c r="B162" s="541"/>
      <c r="G162" s="542"/>
      <c r="I162" s="542"/>
      <c r="M162" s="542"/>
      <c r="P162" s="542"/>
      <c r="T162" s="543">
        <v>0.0</v>
      </c>
      <c r="V162" s="542"/>
      <c r="Y162" s="542"/>
      <c r="AA162" s="542"/>
      <c r="AD162" s="542"/>
      <c r="AF162" s="542"/>
      <c r="AN162" s="543">
        <v>0.0</v>
      </c>
      <c r="AO162" s="544"/>
    </row>
    <row r="163" ht="15.75" customHeight="1">
      <c r="A163" s="516"/>
      <c r="B163" s="537"/>
      <c r="G163" s="538"/>
      <c r="I163" s="538"/>
      <c r="M163" s="538"/>
      <c r="P163" s="538"/>
      <c r="T163" s="539">
        <v>0.0</v>
      </c>
      <c r="V163" s="538"/>
      <c r="Y163" s="538"/>
      <c r="AA163" s="538"/>
      <c r="AD163" s="538"/>
      <c r="AF163" s="538"/>
      <c r="AN163" s="539">
        <v>0.0</v>
      </c>
      <c r="AO163" s="540"/>
    </row>
    <row r="164" ht="15.75" customHeight="1">
      <c r="A164" s="516"/>
      <c r="B164" s="541"/>
      <c r="G164" s="542"/>
      <c r="I164" s="542"/>
      <c r="M164" s="542"/>
      <c r="P164" s="542"/>
      <c r="T164" s="543">
        <v>0.0</v>
      </c>
      <c r="V164" s="542"/>
      <c r="Y164" s="542"/>
      <c r="AA164" s="542"/>
      <c r="AD164" s="542"/>
      <c r="AF164" s="542"/>
      <c r="AN164" s="543">
        <v>0.0</v>
      </c>
      <c r="AO164" s="544"/>
    </row>
    <row r="165" ht="15.75" customHeight="1">
      <c r="A165" s="516"/>
      <c r="B165" s="537"/>
      <c r="G165" s="538"/>
      <c r="I165" s="538"/>
      <c r="M165" s="538"/>
      <c r="P165" s="538"/>
      <c r="T165" s="539">
        <v>0.0</v>
      </c>
      <c r="V165" s="538"/>
      <c r="Y165" s="538"/>
      <c r="AA165" s="538"/>
      <c r="AD165" s="538"/>
      <c r="AF165" s="538"/>
      <c r="AN165" s="539">
        <v>0.0</v>
      </c>
      <c r="AO165" s="540"/>
    </row>
    <row r="166" ht="15.75" customHeight="1">
      <c r="A166" s="516"/>
      <c r="B166" s="541"/>
      <c r="G166" s="542"/>
      <c r="I166" s="542"/>
      <c r="M166" s="542"/>
      <c r="P166" s="542"/>
      <c r="T166" s="543">
        <v>0.0</v>
      </c>
      <c r="V166" s="542"/>
      <c r="Y166" s="542"/>
      <c r="AA166" s="542"/>
      <c r="AD166" s="542"/>
      <c r="AF166" s="542"/>
      <c r="AN166" s="543">
        <v>0.0</v>
      </c>
      <c r="AO166" s="544"/>
    </row>
    <row r="167" ht="15.75" customHeight="1">
      <c r="A167" s="516"/>
      <c r="B167" s="537"/>
      <c r="G167" s="538"/>
      <c r="I167" s="538"/>
      <c r="M167" s="538"/>
      <c r="P167" s="538"/>
      <c r="T167" s="539">
        <v>0.0</v>
      </c>
      <c r="V167" s="538"/>
      <c r="Y167" s="538"/>
      <c r="AA167" s="538"/>
      <c r="AD167" s="538"/>
      <c r="AF167" s="538"/>
      <c r="AN167" s="539">
        <v>0.0</v>
      </c>
      <c r="AO167" s="540"/>
    </row>
    <row r="168" ht="15.75" customHeight="1">
      <c r="A168" s="516"/>
      <c r="B168" s="541"/>
      <c r="G168" s="542"/>
      <c r="I168" s="542"/>
      <c r="M168" s="542"/>
      <c r="P168" s="542"/>
      <c r="T168" s="543">
        <v>0.0</v>
      </c>
      <c r="V168" s="542"/>
      <c r="Y168" s="542"/>
      <c r="AA168" s="542"/>
      <c r="AD168" s="542"/>
      <c r="AF168" s="542"/>
      <c r="AN168" s="543">
        <v>0.0</v>
      </c>
      <c r="AO168" s="544"/>
    </row>
    <row r="169" ht="15.75" customHeight="1">
      <c r="A169" s="516"/>
      <c r="B169" s="537"/>
      <c r="G169" s="538"/>
      <c r="I169" s="538"/>
      <c r="M169" s="538"/>
      <c r="P169" s="538"/>
      <c r="T169" s="539">
        <v>0.0</v>
      </c>
      <c r="V169" s="538"/>
      <c r="Y169" s="538"/>
      <c r="AA169" s="538"/>
      <c r="AD169" s="538"/>
      <c r="AF169" s="538"/>
      <c r="AN169" s="539">
        <v>0.0</v>
      </c>
      <c r="AO169" s="540"/>
    </row>
    <row r="170" ht="15.75" customHeight="1">
      <c r="A170" s="516"/>
      <c r="B170" s="541"/>
      <c r="G170" s="542"/>
      <c r="I170" s="542"/>
      <c r="M170" s="542"/>
      <c r="P170" s="542"/>
      <c r="T170" s="543">
        <v>0.0</v>
      </c>
      <c r="V170" s="542"/>
      <c r="Y170" s="542"/>
      <c r="AA170" s="542"/>
      <c r="AD170" s="542"/>
      <c r="AF170" s="542"/>
      <c r="AN170" s="543">
        <v>0.0</v>
      </c>
      <c r="AO170" s="544"/>
    </row>
    <row r="171" ht="15.75" customHeight="1">
      <c r="A171" s="516"/>
      <c r="B171" s="537"/>
      <c r="G171" s="538"/>
      <c r="I171" s="538"/>
      <c r="M171" s="538"/>
      <c r="P171" s="538"/>
      <c r="T171" s="539">
        <v>0.0</v>
      </c>
      <c r="V171" s="538"/>
      <c r="Y171" s="538"/>
      <c r="AA171" s="538"/>
      <c r="AD171" s="538"/>
      <c r="AF171" s="538"/>
      <c r="AN171" s="539">
        <v>0.0</v>
      </c>
      <c r="AO171" s="540"/>
    </row>
    <row r="172" ht="15.75" customHeight="1">
      <c r="A172" s="516"/>
      <c r="B172" s="541"/>
      <c r="G172" s="542"/>
      <c r="I172" s="542"/>
      <c r="M172" s="542"/>
      <c r="P172" s="542"/>
      <c r="T172" s="543">
        <v>0.0</v>
      </c>
      <c r="V172" s="542"/>
      <c r="Y172" s="542"/>
      <c r="AA172" s="542"/>
      <c r="AD172" s="542"/>
      <c r="AF172" s="542"/>
      <c r="AN172" s="543">
        <v>0.0</v>
      </c>
      <c r="AO172" s="544"/>
    </row>
    <row r="173" ht="15.75" customHeight="1">
      <c r="A173" s="516"/>
      <c r="B173" s="537"/>
      <c r="G173" s="538"/>
      <c r="I173" s="538"/>
      <c r="M173" s="538"/>
      <c r="P173" s="538"/>
      <c r="T173" s="539">
        <v>0.0</v>
      </c>
      <c r="V173" s="538"/>
      <c r="Y173" s="538"/>
      <c r="AA173" s="538"/>
      <c r="AD173" s="538"/>
      <c r="AF173" s="538"/>
      <c r="AN173" s="539">
        <v>0.0</v>
      </c>
      <c r="AO173" s="540"/>
    </row>
    <row r="174" ht="15.75" customHeight="1">
      <c r="A174" s="516"/>
      <c r="B174" s="541"/>
      <c r="G174" s="542"/>
      <c r="I174" s="542"/>
      <c r="M174" s="542"/>
      <c r="P174" s="542"/>
      <c r="T174" s="543">
        <v>0.0</v>
      </c>
      <c r="V174" s="542"/>
      <c r="Y174" s="542"/>
      <c r="AA174" s="542"/>
      <c r="AD174" s="542"/>
      <c r="AF174" s="542"/>
      <c r="AN174" s="543">
        <v>0.0</v>
      </c>
      <c r="AO174" s="544"/>
    </row>
    <row r="175" ht="15.75" customHeight="1">
      <c r="A175" s="516"/>
      <c r="B175" s="537"/>
      <c r="G175" s="538"/>
      <c r="I175" s="538"/>
      <c r="M175" s="538"/>
      <c r="P175" s="538"/>
      <c r="T175" s="539">
        <v>0.0</v>
      </c>
      <c r="V175" s="538"/>
      <c r="Y175" s="538"/>
      <c r="AA175" s="538"/>
      <c r="AD175" s="538"/>
      <c r="AF175" s="538"/>
      <c r="AN175" s="539">
        <v>0.0</v>
      </c>
      <c r="AO175" s="540"/>
    </row>
    <row r="176" ht="15.75" customHeight="1">
      <c r="A176" s="516"/>
      <c r="B176" s="541"/>
      <c r="G176" s="542"/>
      <c r="I176" s="542"/>
      <c r="M176" s="542"/>
      <c r="P176" s="542"/>
      <c r="T176" s="543">
        <v>0.0</v>
      </c>
      <c r="V176" s="542"/>
      <c r="Y176" s="542"/>
      <c r="AA176" s="542"/>
      <c r="AD176" s="542"/>
      <c r="AF176" s="542"/>
      <c r="AN176" s="543">
        <v>0.0</v>
      </c>
      <c r="AO176" s="544"/>
    </row>
    <row r="177" ht="15.75" customHeight="1">
      <c r="A177" s="516"/>
      <c r="B177" s="537"/>
      <c r="G177" s="538"/>
      <c r="I177" s="538"/>
      <c r="M177" s="538"/>
      <c r="P177" s="538"/>
      <c r="T177" s="539">
        <v>0.0</v>
      </c>
      <c r="V177" s="538"/>
      <c r="Y177" s="538"/>
      <c r="AA177" s="538"/>
      <c r="AD177" s="538"/>
      <c r="AF177" s="538"/>
      <c r="AN177" s="539">
        <v>0.0</v>
      </c>
      <c r="AO177" s="540"/>
    </row>
    <row r="178" ht="15.75" customHeight="1">
      <c r="A178" s="516"/>
      <c r="B178" s="541"/>
      <c r="G178" s="542"/>
      <c r="I178" s="542"/>
      <c r="M178" s="542"/>
      <c r="P178" s="542"/>
      <c r="T178" s="543">
        <v>0.0</v>
      </c>
      <c r="V178" s="542"/>
      <c r="Y178" s="542"/>
      <c r="AA178" s="542"/>
      <c r="AD178" s="542"/>
      <c r="AF178" s="542"/>
      <c r="AN178" s="543">
        <v>0.0</v>
      </c>
      <c r="AO178" s="544"/>
    </row>
    <row r="179" ht="15.75" customHeight="1">
      <c r="A179" s="516"/>
      <c r="B179" s="537"/>
      <c r="G179" s="538"/>
      <c r="I179" s="538"/>
      <c r="M179" s="538"/>
      <c r="P179" s="538"/>
      <c r="T179" s="539">
        <v>0.0</v>
      </c>
      <c r="V179" s="538"/>
      <c r="Y179" s="538"/>
      <c r="AA179" s="538"/>
      <c r="AD179" s="538"/>
      <c r="AF179" s="538"/>
      <c r="AN179" s="539">
        <v>0.0</v>
      </c>
      <c r="AO179" s="540"/>
    </row>
    <row r="180" ht="15.75" customHeight="1">
      <c r="A180" s="516"/>
      <c r="B180" s="541"/>
      <c r="G180" s="542"/>
      <c r="I180" s="542"/>
      <c r="M180" s="542"/>
      <c r="P180" s="542"/>
      <c r="T180" s="543">
        <v>0.0</v>
      </c>
      <c r="V180" s="542"/>
      <c r="Y180" s="542"/>
      <c r="AA180" s="542"/>
      <c r="AD180" s="542"/>
      <c r="AF180" s="542"/>
      <c r="AN180" s="543">
        <v>0.0</v>
      </c>
      <c r="AO180" s="544"/>
    </row>
    <row r="181" ht="15.75" customHeight="1">
      <c r="A181" s="516"/>
      <c r="B181" s="537"/>
      <c r="G181" s="538"/>
      <c r="I181" s="538"/>
      <c r="M181" s="538"/>
      <c r="P181" s="538"/>
      <c r="T181" s="539">
        <v>0.0</v>
      </c>
      <c r="V181" s="538"/>
      <c r="Y181" s="538"/>
      <c r="AA181" s="538"/>
      <c r="AD181" s="538"/>
      <c r="AF181" s="538"/>
      <c r="AN181" s="539">
        <v>0.0</v>
      </c>
      <c r="AO181" s="540"/>
    </row>
    <row r="182" ht="15.75" customHeight="1">
      <c r="A182" s="516"/>
      <c r="B182" s="541"/>
      <c r="G182" s="542"/>
      <c r="I182" s="542"/>
      <c r="M182" s="542"/>
      <c r="P182" s="542"/>
      <c r="T182" s="543">
        <v>0.0</v>
      </c>
      <c r="V182" s="542"/>
      <c r="Y182" s="542"/>
      <c r="AA182" s="542"/>
      <c r="AD182" s="542"/>
      <c r="AF182" s="542"/>
      <c r="AN182" s="543">
        <v>0.0</v>
      </c>
      <c r="AO182" s="544"/>
    </row>
    <row r="183" ht="15.75" customHeight="1">
      <c r="A183" s="516"/>
      <c r="B183" s="537"/>
      <c r="G183" s="538"/>
      <c r="I183" s="538"/>
      <c r="M183" s="538"/>
      <c r="P183" s="538"/>
      <c r="T183" s="539">
        <v>0.0</v>
      </c>
      <c r="V183" s="538"/>
      <c r="Y183" s="538"/>
      <c r="AA183" s="538"/>
      <c r="AD183" s="538"/>
      <c r="AF183" s="538"/>
      <c r="AN183" s="539">
        <v>0.0</v>
      </c>
      <c r="AO183" s="540"/>
    </row>
    <row r="184" ht="15.75" customHeight="1">
      <c r="A184" s="516"/>
      <c r="B184" s="541"/>
      <c r="G184" s="542"/>
      <c r="I184" s="542"/>
      <c r="M184" s="542"/>
      <c r="P184" s="542"/>
      <c r="T184" s="543">
        <v>0.0</v>
      </c>
      <c r="V184" s="542"/>
      <c r="Y184" s="542"/>
      <c r="AA184" s="542"/>
      <c r="AD184" s="542"/>
      <c r="AF184" s="542"/>
      <c r="AN184" s="543">
        <v>0.0</v>
      </c>
      <c r="AO184" s="544"/>
    </row>
    <row r="185" ht="15.75" customHeight="1">
      <c r="A185" s="516"/>
      <c r="B185" s="537"/>
      <c r="G185" s="538"/>
      <c r="I185" s="538"/>
      <c r="M185" s="538"/>
      <c r="P185" s="538"/>
      <c r="T185" s="539">
        <v>0.0</v>
      </c>
      <c r="V185" s="538"/>
      <c r="Y185" s="538"/>
      <c r="AA185" s="538"/>
      <c r="AD185" s="538"/>
      <c r="AF185" s="538"/>
      <c r="AN185" s="539">
        <v>0.0</v>
      </c>
      <c r="AO185" s="540"/>
    </row>
    <row r="186" ht="15.75" customHeight="1">
      <c r="A186" s="516"/>
      <c r="B186" s="541"/>
      <c r="G186" s="542"/>
      <c r="I186" s="542"/>
      <c r="M186" s="542"/>
      <c r="P186" s="542"/>
      <c r="T186" s="543">
        <v>0.0</v>
      </c>
      <c r="V186" s="542"/>
      <c r="Y186" s="542"/>
      <c r="AA186" s="542"/>
      <c r="AD186" s="542"/>
      <c r="AF186" s="542"/>
      <c r="AN186" s="543">
        <v>0.0</v>
      </c>
      <c r="AO186" s="544"/>
    </row>
    <row r="187" ht="15.75" customHeight="1">
      <c r="A187" s="516"/>
      <c r="B187" s="537"/>
      <c r="G187" s="538"/>
      <c r="I187" s="538"/>
      <c r="M187" s="538"/>
      <c r="P187" s="538"/>
      <c r="T187" s="539">
        <v>0.0</v>
      </c>
      <c r="V187" s="538"/>
      <c r="Y187" s="538"/>
      <c r="AA187" s="538"/>
      <c r="AD187" s="538"/>
      <c r="AF187" s="538"/>
      <c r="AN187" s="539">
        <v>0.0</v>
      </c>
      <c r="AO187" s="540"/>
    </row>
    <row r="188" ht="15.75" customHeight="1">
      <c r="A188" s="516"/>
      <c r="B188" s="541"/>
      <c r="G188" s="542"/>
      <c r="I188" s="542"/>
      <c r="M188" s="542"/>
      <c r="P188" s="542"/>
      <c r="T188" s="543">
        <v>0.0</v>
      </c>
      <c r="V188" s="542"/>
      <c r="Y188" s="542"/>
      <c r="AA188" s="542"/>
      <c r="AD188" s="542"/>
      <c r="AF188" s="542"/>
      <c r="AN188" s="543">
        <v>0.0</v>
      </c>
      <c r="AO188" s="544"/>
    </row>
    <row r="189" ht="15.75" customHeight="1">
      <c r="A189" s="516"/>
      <c r="B189" s="537"/>
      <c r="G189" s="538"/>
      <c r="I189" s="538"/>
      <c r="M189" s="538"/>
      <c r="P189" s="538"/>
      <c r="T189" s="539">
        <v>0.0</v>
      </c>
      <c r="V189" s="538"/>
      <c r="Y189" s="538"/>
      <c r="AA189" s="538"/>
      <c r="AD189" s="538"/>
      <c r="AF189" s="538"/>
      <c r="AN189" s="539">
        <v>0.0</v>
      </c>
      <c r="AO189" s="540"/>
    </row>
    <row r="190" ht="15.75" customHeight="1">
      <c r="A190" s="516"/>
      <c r="B190" s="541"/>
      <c r="G190" s="542"/>
      <c r="I190" s="542"/>
      <c r="M190" s="542"/>
      <c r="P190" s="542"/>
      <c r="T190" s="543">
        <v>0.0</v>
      </c>
      <c r="V190" s="542"/>
      <c r="Y190" s="542"/>
      <c r="AA190" s="542"/>
      <c r="AD190" s="542"/>
      <c r="AF190" s="542"/>
      <c r="AN190" s="543">
        <v>0.0</v>
      </c>
      <c r="AO190" s="544"/>
    </row>
    <row r="191" ht="15.75" customHeight="1">
      <c r="A191" s="516"/>
      <c r="B191" s="537"/>
      <c r="G191" s="538"/>
      <c r="I191" s="538"/>
      <c r="M191" s="538"/>
      <c r="P191" s="538"/>
      <c r="T191" s="539">
        <v>0.0</v>
      </c>
      <c r="V191" s="538"/>
      <c r="Y191" s="538"/>
      <c r="AA191" s="538"/>
      <c r="AD191" s="538"/>
      <c r="AF191" s="538"/>
      <c r="AN191" s="539">
        <v>0.0</v>
      </c>
      <c r="AO191" s="540"/>
    </row>
    <row r="192" ht="15.75" customHeight="1">
      <c r="A192" s="516"/>
      <c r="B192" s="541"/>
      <c r="G192" s="542"/>
      <c r="I192" s="542"/>
      <c r="M192" s="542"/>
      <c r="P192" s="542"/>
      <c r="T192" s="543">
        <v>0.0</v>
      </c>
      <c r="V192" s="542"/>
      <c r="Y192" s="542"/>
      <c r="AA192" s="542"/>
      <c r="AD192" s="542"/>
      <c r="AF192" s="542"/>
      <c r="AN192" s="543">
        <v>0.0</v>
      </c>
      <c r="AO192" s="544"/>
    </row>
    <row r="193" ht="15.75" customHeight="1">
      <c r="A193" s="516"/>
      <c r="B193" s="537"/>
      <c r="G193" s="538"/>
      <c r="I193" s="538"/>
      <c r="M193" s="538"/>
      <c r="P193" s="538"/>
      <c r="T193" s="539">
        <v>0.0</v>
      </c>
      <c r="V193" s="538"/>
      <c r="Y193" s="538"/>
      <c r="AA193" s="538"/>
      <c r="AD193" s="538"/>
      <c r="AF193" s="538"/>
      <c r="AN193" s="539">
        <v>0.0</v>
      </c>
      <c r="AO193" s="540"/>
    </row>
    <row r="194" ht="15.75" customHeight="1">
      <c r="A194" s="516"/>
      <c r="B194" s="541"/>
      <c r="G194" s="542"/>
      <c r="I194" s="542"/>
      <c r="M194" s="542"/>
      <c r="P194" s="542"/>
      <c r="T194" s="543">
        <v>0.0</v>
      </c>
      <c r="V194" s="542"/>
      <c r="Y194" s="542"/>
      <c r="AA194" s="542"/>
      <c r="AD194" s="542"/>
      <c r="AF194" s="542"/>
      <c r="AN194" s="543">
        <v>0.0</v>
      </c>
      <c r="AO194" s="544"/>
    </row>
    <row r="195" ht="15.75" customHeight="1">
      <c r="A195" s="516"/>
      <c r="B195" s="537"/>
      <c r="G195" s="538"/>
      <c r="I195" s="538"/>
      <c r="M195" s="538"/>
      <c r="P195" s="538"/>
      <c r="T195" s="539">
        <v>0.0</v>
      </c>
      <c r="V195" s="538"/>
      <c r="Y195" s="538"/>
      <c r="AA195" s="538"/>
      <c r="AD195" s="538"/>
      <c r="AF195" s="538"/>
      <c r="AN195" s="539">
        <v>0.0</v>
      </c>
      <c r="AO195" s="540"/>
    </row>
    <row r="196" ht="15.75" customHeight="1">
      <c r="A196" s="516"/>
      <c r="B196" s="541"/>
      <c r="G196" s="542"/>
      <c r="I196" s="542"/>
      <c r="M196" s="542"/>
      <c r="P196" s="542"/>
      <c r="T196" s="543">
        <v>0.0</v>
      </c>
      <c r="V196" s="542"/>
      <c r="Y196" s="542"/>
      <c r="AA196" s="542"/>
      <c r="AD196" s="542"/>
      <c r="AF196" s="542"/>
      <c r="AN196" s="543">
        <v>0.0</v>
      </c>
      <c r="AO196" s="544"/>
    </row>
    <row r="197" ht="15.75" customHeight="1">
      <c r="A197" s="516"/>
      <c r="B197" s="537"/>
      <c r="G197" s="538"/>
      <c r="I197" s="538"/>
      <c r="M197" s="538"/>
      <c r="P197" s="538"/>
      <c r="T197" s="539">
        <v>0.0</v>
      </c>
      <c r="V197" s="538"/>
      <c r="Y197" s="538"/>
      <c r="AA197" s="538"/>
      <c r="AD197" s="538"/>
      <c r="AF197" s="538"/>
      <c r="AN197" s="539">
        <v>0.0</v>
      </c>
      <c r="AO197" s="540"/>
    </row>
    <row r="198" ht="15.75" customHeight="1">
      <c r="A198" s="516"/>
      <c r="B198" s="541"/>
      <c r="G198" s="542"/>
      <c r="I198" s="542"/>
      <c r="M198" s="542"/>
      <c r="P198" s="542"/>
      <c r="T198" s="543">
        <v>0.0</v>
      </c>
      <c r="V198" s="542"/>
      <c r="Y198" s="542"/>
      <c r="AA198" s="542"/>
      <c r="AD198" s="542"/>
      <c r="AF198" s="542"/>
      <c r="AN198" s="543">
        <v>0.0</v>
      </c>
      <c r="AO198" s="544"/>
    </row>
    <row r="199" ht="15.75" customHeight="1">
      <c r="A199" s="516"/>
      <c r="B199" s="537"/>
      <c r="G199" s="538"/>
      <c r="I199" s="538"/>
      <c r="M199" s="538"/>
      <c r="P199" s="538"/>
      <c r="T199" s="539">
        <v>0.0</v>
      </c>
      <c r="V199" s="538"/>
      <c r="Y199" s="538"/>
      <c r="AA199" s="538"/>
      <c r="AD199" s="538"/>
      <c r="AF199" s="538"/>
      <c r="AN199" s="539">
        <v>0.0</v>
      </c>
      <c r="AO199" s="540"/>
    </row>
    <row r="200" ht="15.75" customHeight="1">
      <c r="A200" s="516"/>
      <c r="B200" s="541"/>
      <c r="G200" s="542"/>
      <c r="I200" s="542"/>
      <c r="M200" s="542"/>
      <c r="P200" s="542"/>
      <c r="T200" s="543">
        <v>0.0</v>
      </c>
      <c r="V200" s="542"/>
      <c r="Y200" s="542"/>
      <c r="AA200" s="542"/>
      <c r="AD200" s="542"/>
      <c r="AF200" s="542"/>
      <c r="AN200" s="543">
        <v>0.0</v>
      </c>
      <c r="AO200" s="544"/>
    </row>
    <row r="201" ht="15.75" customHeight="1">
      <c r="A201" s="516"/>
      <c r="B201" s="537"/>
      <c r="G201" s="538"/>
      <c r="I201" s="538"/>
      <c r="M201" s="538"/>
      <c r="P201" s="538"/>
      <c r="T201" s="539">
        <v>0.0</v>
      </c>
      <c r="V201" s="538"/>
      <c r="Y201" s="538"/>
      <c r="AA201" s="538"/>
      <c r="AD201" s="538"/>
      <c r="AF201" s="538"/>
      <c r="AN201" s="539">
        <v>0.0</v>
      </c>
      <c r="AO201" s="540"/>
    </row>
  </sheetData>
  <mergeCells count="2361">
    <mergeCell ref="Y8:Z8"/>
    <mergeCell ref="AA8:AC8"/>
    <mergeCell ref="AD8:AE8"/>
    <mergeCell ref="AF8:AM8"/>
    <mergeCell ref="AN8:AO8"/>
    <mergeCell ref="B8:F8"/>
    <mergeCell ref="G8:H8"/>
    <mergeCell ref="I8:L8"/>
    <mergeCell ref="M8:O8"/>
    <mergeCell ref="P8:S8"/>
    <mergeCell ref="T8:U8"/>
    <mergeCell ref="V8:X8"/>
    <mergeCell ref="Y9:Z9"/>
    <mergeCell ref="AA9:AC9"/>
    <mergeCell ref="AD9:AE9"/>
    <mergeCell ref="AF9:AM9"/>
    <mergeCell ref="AN9:AO9"/>
    <mergeCell ref="B9:F9"/>
    <mergeCell ref="G9:H9"/>
    <mergeCell ref="I9:L9"/>
    <mergeCell ref="M9:O9"/>
    <mergeCell ref="P9:S9"/>
    <mergeCell ref="T9:U9"/>
    <mergeCell ref="V9:X9"/>
    <mergeCell ref="Y10:Z10"/>
    <mergeCell ref="AA10:AC10"/>
    <mergeCell ref="AD10:AE10"/>
    <mergeCell ref="AF10:AM10"/>
    <mergeCell ref="AN10:AO10"/>
    <mergeCell ref="B10:F10"/>
    <mergeCell ref="G10:H10"/>
    <mergeCell ref="I10:L10"/>
    <mergeCell ref="M10:O10"/>
    <mergeCell ref="P10:S10"/>
    <mergeCell ref="T10:U10"/>
    <mergeCell ref="V10:X10"/>
    <mergeCell ref="Y11:Z11"/>
    <mergeCell ref="AA11:AC11"/>
    <mergeCell ref="AD11:AE11"/>
    <mergeCell ref="AF11:AM11"/>
    <mergeCell ref="AN11:AO11"/>
    <mergeCell ref="B11:F11"/>
    <mergeCell ref="G11:H11"/>
    <mergeCell ref="I11:L11"/>
    <mergeCell ref="M11:O11"/>
    <mergeCell ref="P11:S11"/>
    <mergeCell ref="T11:U11"/>
    <mergeCell ref="V11:X11"/>
    <mergeCell ref="Y12:Z12"/>
    <mergeCell ref="AA12:AC12"/>
    <mergeCell ref="AD12:AE12"/>
    <mergeCell ref="AF12:AM12"/>
    <mergeCell ref="AN12:AO12"/>
    <mergeCell ref="B12:F12"/>
    <mergeCell ref="G12:H12"/>
    <mergeCell ref="I12:L12"/>
    <mergeCell ref="M12:O12"/>
    <mergeCell ref="P12:S12"/>
    <mergeCell ref="T12:U12"/>
    <mergeCell ref="V12:X12"/>
    <mergeCell ref="Y13:Z13"/>
    <mergeCell ref="AA13:AC13"/>
    <mergeCell ref="AD13:AE13"/>
    <mergeCell ref="AF13:AM13"/>
    <mergeCell ref="AN13:AO13"/>
    <mergeCell ref="B13:F13"/>
    <mergeCell ref="G13:H13"/>
    <mergeCell ref="I13:L13"/>
    <mergeCell ref="M13:O13"/>
    <mergeCell ref="P13:S13"/>
    <mergeCell ref="T13:U13"/>
    <mergeCell ref="V13:X13"/>
    <mergeCell ref="Y14:Z14"/>
    <mergeCell ref="AA14:AC14"/>
    <mergeCell ref="AD14:AE14"/>
    <mergeCell ref="AF14:AM14"/>
    <mergeCell ref="AN14:AO14"/>
    <mergeCell ref="B14:F14"/>
    <mergeCell ref="G14:H14"/>
    <mergeCell ref="I14:L14"/>
    <mergeCell ref="M14:O14"/>
    <mergeCell ref="P14:S14"/>
    <mergeCell ref="T14:U14"/>
    <mergeCell ref="V14:X14"/>
    <mergeCell ref="Y15:Z15"/>
    <mergeCell ref="AA15:AC15"/>
    <mergeCell ref="AD15:AE15"/>
    <mergeCell ref="AF15:AM15"/>
    <mergeCell ref="AN15:AO15"/>
    <mergeCell ref="B15:F15"/>
    <mergeCell ref="G15:H15"/>
    <mergeCell ref="I15:L15"/>
    <mergeCell ref="M15:O15"/>
    <mergeCell ref="P15:S15"/>
    <mergeCell ref="T15:U15"/>
    <mergeCell ref="V15:X15"/>
    <mergeCell ref="Y16:Z16"/>
    <mergeCell ref="AA16:AC16"/>
    <mergeCell ref="AD16:AE16"/>
    <mergeCell ref="AF16:AM16"/>
    <mergeCell ref="AN16:AO16"/>
    <mergeCell ref="B16:F16"/>
    <mergeCell ref="G16:H16"/>
    <mergeCell ref="I16:L16"/>
    <mergeCell ref="M16:O16"/>
    <mergeCell ref="P16:S16"/>
    <mergeCell ref="T16:U16"/>
    <mergeCell ref="V16:X16"/>
    <mergeCell ref="Y17:Z17"/>
    <mergeCell ref="AA17:AC17"/>
    <mergeCell ref="AD17:AE17"/>
    <mergeCell ref="AF17:AM17"/>
    <mergeCell ref="AN17:AO17"/>
    <mergeCell ref="B17:F17"/>
    <mergeCell ref="G17:H17"/>
    <mergeCell ref="I17:L17"/>
    <mergeCell ref="M17:O17"/>
    <mergeCell ref="P17:S17"/>
    <mergeCell ref="T17:U17"/>
    <mergeCell ref="V17:X17"/>
    <mergeCell ref="Y18:Z18"/>
    <mergeCell ref="AA18:AC18"/>
    <mergeCell ref="AD18:AE18"/>
    <mergeCell ref="AF18:AM18"/>
    <mergeCell ref="AN18:AO18"/>
    <mergeCell ref="B18:F18"/>
    <mergeCell ref="G18:H18"/>
    <mergeCell ref="I18:L18"/>
    <mergeCell ref="M18:O18"/>
    <mergeCell ref="P18:S18"/>
    <mergeCell ref="T18:U18"/>
    <mergeCell ref="V18:X18"/>
    <mergeCell ref="Y19:Z19"/>
    <mergeCell ref="AA19:AC19"/>
    <mergeCell ref="AD19:AE19"/>
    <mergeCell ref="AF19:AM19"/>
    <mergeCell ref="AN19:AO19"/>
    <mergeCell ref="B19:F19"/>
    <mergeCell ref="G19:H19"/>
    <mergeCell ref="I19:L19"/>
    <mergeCell ref="M19:O19"/>
    <mergeCell ref="P19:S19"/>
    <mergeCell ref="T19:U19"/>
    <mergeCell ref="V19:X19"/>
    <mergeCell ref="Y20:Z20"/>
    <mergeCell ref="AA20:AC20"/>
    <mergeCell ref="AD20:AE20"/>
    <mergeCell ref="AF20:AM20"/>
    <mergeCell ref="AN20:AO20"/>
    <mergeCell ref="B20:F20"/>
    <mergeCell ref="G20:H20"/>
    <mergeCell ref="I20:L20"/>
    <mergeCell ref="M20:O20"/>
    <mergeCell ref="P20:S20"/>
    <mergeCell ref="T20:U20"/>
    <mergeCell ref="V20:X20"/>
    <mergeCell ref="Y21:Z21"/>
    <mergeCell ref="AA21:AC21"/>
    <mergeCell ref="AD21:AE21"/>
    <mergeCell ref="AF21:AM21"/>
    <mergeCell ref="AN21:AO21"/>
    <mergeCell ref="B21:F21"/>
    <mergeCell ref="G21:H21"/>
    <mergeCell ref="I21:L21"/>
    <mergeCell ref="M21:O21"/>
    <mergeCell ref="P21:S21"/>
    <mergeCell ref="T21:U21"/>
    <mergeCell ref="V21:X21"/>
    <mergeCell ref="Y22:Z22"/>
    <mergeCell ref="AA22:AC22"/>
    <mergeCell ref="AD22:AE22"/>
    <mergeCell ref="AF22:AM22"/>
    <mergeCell ref="AN22:AO22"/>
    <mergeCell ref="B22:F22"/>
    <mergeCell ref="G22:H22"/>
    <mergeCell ref="I22:L22"/>
    <mergeCell ref="M22:O22"/>
    <mergeCell ref="P22:S22"/>
    <mergeCell ref="T22:U22"/>
    <mergeCell ref="V22:X22"/>
    <mergeCell ref="Y23:Z23"/>
    <mergeCell ref="AA23:AC23"/>
    <mergeCell ref="AD23:AE23"/>
    <mergeCell ref="AF23:AM23"/>
    <mergeCell ref="AN23:AO23"/>
    <mergeCell ref="B23:F23"/>
    <mergeCell ref="G23:H23"/>
    <mergeCell ref="I23:L23"/>
    <mergeCell ref="M23:O23"/>
    <mergeCell ref="P23:S23"/>
    <mergeCell ref="T23:U23"/>
    <mergeCell ref="V23:X23"/>
    <mergeCell ref="Y24:Z24"/>
    <mergeCell ref="AA24:AC24"/>
    <mergeCell ref="AD24:AE24"/>
    <mergeCell ref="AF24:AM24"/>
    <mergeCell ref="AN24:AO24"/>
    <mergeCell ref="B24:F24"/>
    <mergeCell ref="G24:H24"/>
    <mergeCell ref="I24:L24"/>
    <mergeCell ref="M24:O24"/>
    <mergeCell ref="P24:S24"/>
    <mergeCell ref="T24:U24"/>
    <mergeCell ref="V24:X24"/>
    <mergeCell ref="Y25:Z25"/>
    <mergeCell ref="AA25:AC25"/>
    <mergeCell ref="AD25:AE25"/>
    <mergeCell ref="AF25:AM25"/>
    <mergeCell ref="AN25:AO25"/>
    <mergeCell ref="B25:F25"/>
    <mergeCell ref="G25:H25"/>
    <mergeCell ref="I25:L25"/>
    <mergeCell ref="M25:O25"/>
    <mergeCell ref="P25:S25"/>
    <mergeCell ref="T25:U25"/>
    <mergeCell ref="V25:X25"/>
    <mergeCell ref="Y26:Z26"/>
    <mergeCell ref="AA26:AC26"/>
    <mergeCell ref="AD26:AE26"/>
    <mergeCell ref="AF26:AM26"/>
    <mergeCell ref="AN26:AO26"/>
    <mergeCell ref="B26:F26"/>
    <mergeCell ref="G26:H26"/>
    <mergeCell ref="I26:L26"/>
    <mergeCell ref="M26:O26"/>
    <mergeCell ref="P26:S26"/>
    <mergeCell ref="T26:U26"/>
    <mergeCell ref="V26:X26"/>
    <mergeCell ref="Y27:Z27"/>
    <mergeCell ref="AA27:AC27"/>
    <mergeCell ref="AD27:AE27"/>
    <mergeCell ref="AF27:AM27"/>
    <mergeCell ref="AN27:AO27"/>
    <mergeCell ref="B27:F27"/>
    <mergeCell ref="G27:H27"/>
    <mergeCell ref="I27:L27"/>
    <mergeCell ref="M27:O27"/>
    <mergeCell ref="P27:S27"/>
    <mergeCell ref="T27:U27"/>
    <mergeCell ref="V27:X27"/>
    <mergeCell ref="Y28:Z28"/>
    <mergeCell ref="AA28:AC28"/>
    <mergeCell ref="AD28:AE28"/>
    <mergeCell ref="AF28:AM28"/>
    <mergeCell ref="AN28:AO28"/>
    <mergeCell ref="B28:F28"/>
    <mergeCell ref="G28:H28"/>
    <mergeCell ref="I28:L28"/>
    <mergeCell ref="M28:O28"/>
    <mergeCell ref="P28:S28"/>
    <mergeCell ref="T28:U28"/>
    <mergeCell ref="V28:X28"/>
    <mergeCell ref="Y29:Z29"/>
    <mergeCell ref="AA29:AC29"/>
    <mergeCell ref="AD29:AE29"/>
    <mergeCell ref="AF29:AM29"/>
    <mergeCell ref="AN29:AO29"/>
    <mergeCell ref="B29:F29"/>
    <mergeCell ref="G29:H29"/>
    <mergeCell ref="I29:L29"/>
    <mergeCell ref="M29:O29"/>
    <mergeCell ref="P29:S29"/>
    <mergeCell ref="T29:U29"/>
    <mergeCell ref="V29:X29"/>
    <mergeCell ref="Y30:Z30"/>
    <mergeCell ref="AA30:AC30"/>
    <mergeCell ref="AD30:AE30"/>
    <mergeCell ref="AF30:AM30"/>
    <mergeCell ref="AN30:AO30"/>
    <mergeCell ref="B30:F30"/>
    <mergeCell ref="G30:H30"/>
    <mergeCell ref="I30:L30"/>
    <mergeCell ref="M30:O30"/>
    <mergeCell ref="P30:S30"/>
    <mergeCell ref="T30:U30"/>
    <mergeCell ref="V30:X30"/>
    <mergeCell ref="Y31:Z31"/>
    <mergeCell ref="AA31:AC31"/>
    <mergeCell ref="AD31:AE31"/>
    <mergeCell ref="AF31:AM31"/>
    <mergeCell ref="AN31:AO31"/>
    <mergeCell ref="B31:F31"/>
    <mergeCell ref="G31:H31"/>
    <mergeCell ref="I31:L31"/>
    <mergeCell ref="M31:O31"/>
    <mergeCell ref="P31:S31"/>
    <mergeCell ref="T31:U31"/>
    <mergeCell ref="V31:X31"/>
    <mergeCell ref="Y32:Z32"/>
    <mergeCell ref="AA32:AC32"/>
    <mergeCell ref="AD32:AE32"/>
    <mergeCell ref="AF32:AM32"/>
    <mergeCell ref="AN32:AO32"/>
    <mergeCell ref="B32:F32"/>
    <mergeCell ref="G32:H32"/>
    <mergeCell ref="I32:L32"/>
    <mergeCell ref="M32:O32"/>
    <mergeCell ref="P32:S32"/>
    <mergeCell ref="T32:U32"/>
    <mergeCell ref="V32:X32"/>
    <mergeCell ref="Y33:Z33"/>
    <mergeCell ref="AA33:AC33"/>
    <mergeCell ref="AD33:AE33"/>
    <mergeCell ref="AF33:AM33"/>
    <mergeCell ref="AN33:AO33"/>
    <mergeCell ref="B33:F33"/>
    <mergeCell ref="G33:H33"/>
    <mergeCell ref="I33:L33"/>
    <mergeCell ref="M33:O33"/>
    <mergeCell ref="P33:S33"/>
    <mergeCell ref="T33:U33"/>
    <mergeCell ref="V33:X33"/>
    <mergeCell ref="Y34:Z34"/>
    <mergeCell ref="AA34:AC34"/>
    <mergeCell ref="AD34:AE34"/>
    <mergeCell ref="AF34:AM34"/>
    <mergeCell ref="AN34:AO34"/>
    <mergeCell ref="B34:F34"/>
    <mergeCell ref="G34:H34"/>
    <mergeCell ref="I34:L34"/>
    <mergeCell ref="M34:O34"/>
    <mergeCell ref="P34:S34"/>
    <mergeCell ref="T34:U34"/>
    <mergeCell ref="V34:X34"/>
    <mergeCell ref="Y35:Z35"/>
    <mergeCell ref="AA35:AC35"/>
    <mergeCell ref="AD35:AE35"/>
    <mergeCell ref="AF35:AM35"/>
    <mergeCell ref="AN35:AO35"/>
    <mergeCell ref="B35:F35"/>
    <mergeCell ref="G35:H35"/>
    <mergeCell ref="I35:L35"/>
    <mergeCell ref="M35:O35"/>
    <mergeCell ref="P35:S35"/>
    <mergeCell ref="T35:U35"/>
    <mergeCell ref="V35:X35"/>
    <mergeCell ref="Y36:Z36"/>
    <mergeCell ref="AA36:AC36"/>
    <mergeCell ref="AD36:AE36"/>
    <mergeCell ref="AF36:AM36"/>
    <mergeCell ref="AN36:AO36"/>
    <mergeCell ref="B36:F36"/>
    <mergeCell ref="G36:H36"/>
    <mergeCell ref="I36:L36"/>
    <mergeCell ref="M36:O36"/>
    <mergeCell ref="P36:S36"/>
    <mergeCell ref="T36:U36"/>
    <mergeCell ref="V36:X36"/>
    <mergeCell ref="Y37:Z37"/>
    <mergeCell ref="AA37:AC37"/>
    <mergeCell ref="AD37:AE37"/>
    <mergeCell ref="AF37:AM37"/>
    <mergeCell ref="AN37:AO37"/>
    <mergeCell ref="B37:F37"/>
    <mergeCell ref="G37:H37"/>
    <mergeCell ref="I37:L37"/>
    <mergeCell ref="M37:O37"/>
    <mergeCell ref="P37:S37"/>
    <mergeCell ref="T37:U37"/>
    <mergeCell ref="V37:X37"/>
    <mergeCell ref="Y38:Z38"/>
    <mergeCell ref="AA38:AC38"/>
    <mergeCell ref="AD38:AE38"/>
    <mergeCell ref="AF38:AM38"/>
    <mergeCell ref="AN38:AO38"/>
    <mergeCell ref="B38:F38"/>
    <mergeCell ref="G38:H38"/>
    <mergeCell ref="I38:L38"/>
    <mergeCell ref="M38:O38"/>
    <mergeCell ref="P38:S38"/>
    <mergeCell ref="T38:U38"/>
    <mergeCell ref="V38:X38"/>
    <mergeCell ref="Y39:Z39"/>
    <mergeCell ref="AA39:AC39"/>
    <mergeCell ref="AD39:AE39"/>
    <mergeCell ref="AF39:AM39"/>
    <mergeCell ref="AN39:AO39"/>
    <mergeCell ref="B39:F39"/>
    <mergeCell ref="G39:H39"/>
    <mergeCell ref="I39:L39"/>
    <mergeCell ref="M39:O39"/>
    <mergeCell ref="P39:S39"/>
    <mergeCell ref="T39:U39"/>
    <mergeCell ref="V39:X39"/>
    <mergeCell ref="Y40:Z40"/>
    <mergeCell ref="AA40:AC40"/>
    <mergeCell ref="AD40:AE40"/>
    <mergeCell ref="AF40:AM40"/>
    <mergeCell ref="AN40:AO40"/>
    <mergeCell ref="B40:F40"/>
    <mergeCell ref="G40:H40"/>
    <mergeCell ref="I40:L40"/>
    <mergeCell ref="M40:O40"/>
    <mergeCell ref="P40:S40"/>
    <mergeCell ref="T40:U40"/>
    <mergeCell ref="V40:X40"/>
    <mergeCell ref="Y41:Z41"/>
    <mergeCell ref="AA41:AC41"/>
    <mergeCell ref="AD41:AE41"/>
    <mergeCell ref="AF41:AM41"/>
    <mergeCell ref="AN41:AO41"/>
    <mergeCell ref="B41:F41"/>
    <mergeCell ref="G41:H41"/>
    <mergeCell ref="I41:L41"/>
    <mergeCell ref="M41:O41"/>
    <mergeCell ref="P41:S41"/>
    <mergeCell ref="T41:U41"/>
    <mergeCell ref="V41:X41"/>
    <mergeCell ref="Y42:Z42"/>
    <mergeCell ref="AA42:AC42"/>
    <mergeCell ref="AD42:AE42"/>
    <mergeCell ref="AF42:AM42"/>
    <mergeCell ref="AN42:AO42"/>
    <mergeCell ref="B42:F42"/>
    <mergeCell ref="G42:H42"/>
    <mergeCell ref="I42:L42"/>
    <mergeCell ref="M42:O42"/>
    <mergeCell ref="P42:S42"/>
    <mergeCell ref="T42:U42"/>
    <mergeCell ref="V42:X42"/>
    <mergeCell ref="Y43:Z43"/>
    <mergeCell ref="AA43:AC43"/>
    <mergeCell ref="AD43:AE43"/>
    <mergeCell ref="AF43:AM43"/>
    <mergeCell ref="AN43:AO43"/>
    <mergeCell ref="B43:F43"/>
    <mergeCell ref="G43:H43"/>
    <mergeCell ref="I43:L43"/>
    <mergeCell ref="M43:O43"/>
    <mergeCell ref="P43:S43"/>
    <mergeCell ref="T43:U43"/>
    <mergeCell ref="V43:X43"/>
    <mergeCell ref="Y44:Z44"/>
    <mergeCell ref="AA44:AC44"/>
    <mergeCell ref="AD44:AE44"/>
    <mergeCell ref="AF44:AM44"/>
    <mergeCell ref="AN44:AO44"/>
    <mergeCell ref="B44:F44"/>
    <mergeCell ref="G44:H44"/>
    <mergeCell ref="I44:L44"/>
    <mergeCell ref="M44:O44"/>
    <mergeCell ref="P44:S44"/>
    <mergeCell ref="T44:U44"/>
    <mergeCell ref="V44:X44"/>
    <mergeCell ref="Y45:Z45"/>
    <mergeCell ref="AA45:AC45"/>
    <mergeCell ref="AD45:AE45"/>
    <mergeCell ref="AF45:AM45"/>
    <mergeCell ref="AN45:AO45"/>
    <mergeCell ref="B45:F45"/>
    <mergeCell ref="G45:H45"/>
    <mergeCell ref="I45:L45"/>
    <mergeCell ref="M45:O45"/>
    <mergeCell ref="P45:S45"/>
    <mergeCell ref="T45:U45"/>
    <mergeCell ref="V45:X45"/>
    <mergeCell ref="Y46:Z46"/>
    <mergeCell ref="AA46:AC46"/>
    <mergeCell ref="AD46:AE46"/>
    <mergeCell ref="AF46:AM46"/>
    <mergeCell ref="AN46:AO46"/>
    <mergeCell ref="B46:F46"/>
    <mergeCell ref="G46:H46"/>
    <mergeCell ref="I46:L46"/>
    <mergeCell ref="M46:O46"/>
    <mergeCell ref="P46:S46"/>
    <mergeCell ref="T46:U46"/>
    <mergeCell ref="V46:X46"/>
    <mergeCell ref="Y47:Z47"/>
    <mergeCell ref="AA47:AC47"/>
    <mergeCell ref="AD47:AE47"/>
    <mergeCell ref="AF47:AM47"/>
    <mergeCell ref="AN47:AO47"/>
    <mergeCell ref="B47:F47"/>
    <mergeCell ref="G47:H47"/>
    <mergeCell ref="I47:L47"/>
    <mergeCell ref="M47:O47"/>
    <mergeCell ref="P47:S47"/>
    <mergeCell ref="T47:U47"/>
    <mergeCell ref="V47:X47"/>
    <mergeCell ref="Y48:Z48"/>
    <mergeCell ref="AA48:AC48"/>
    <mergeCell ref="AD48:AE48"/>
    <mergeCell ref="AF48:AM48"/>
    <mergeCell ref="AN48:AO48"/>
    <mergeCell ref="B48:F48"/>
    <mergeCell ref="G48:H48"/>
    <mergeCell ref="I48:L48"/>
    <mergeCell ref="M48:O48"/>
    <mergeCell ref="P48:S48"/>
    <mergeCell ref="T48:U48"/>
    <mergeCell ref="V48:X48"/>
    <mergeCell ref="Y49:Z49"/>
    <mergeCell ref="AA49:AC49"/>
    <mergeCell ref="AD49:AE49"/>
    <mergeCell ref="AF49:AM49"/>
    <mergeCell ref="AN49:AO49"/>
    <mergeCell ref="B49:F49"/>
    <mergeCell ref="G49:H49"/>
    <mergeCell ref="I49:L49"/>
    <mergeCell ref="M49:O49"/>
    <mergeCell ref="P49:S49"/>
    <mergeCell ref="T49:U49"/>
    <mergeCell ref="V49:X49"/>
    <mergeCell ref="Y50:Z50"/>
    <mergeCell ref="AA50:AC50"/>
    <mergeCell ref="AD50:AE50"/>
    <mergeCell ref="AF50:AM50"/>
    <mergeCell ref="AN50:AO50"/>
    <mergeCell ref="B50:F50"/>
    <mergeCell ref="G50:H50"/>
    <mergeCell ref="I50:L50"/>
    <mergeCell ref="M50:O50"/>
    <mergeCell ref="P50:S50"/>
    <mergeCell ref="T50:U50"/>
    <mergeCell ref="V50:X50"/>
    <mergeCell ref="Y51:Z51"/>
    <mergeCell ref="AA51:AC51"/>
    <mergeCell ref="AD51:AE51"/>
    <mergeCell ref="AF51:AM51"/>
    <mergeCell ref="AN51:AO51"/>
    <mergeCell ref="B51:F51"/>
    <mergeCell ref="G51:H51"/>
    <mergeCell ref="I51:L51"/>
    <mergeCell ref="M51:O51"/>
    <mergeCell ref="P51:S51"/>
    <mergeCell ref="T51:U51"/>
    <mergeCell ref="V51:X51"/>
    <mergeCell ref="Y52:Z52"/>
    <mergeCell ref="AA52:AC52"/>
    <mergeCell ref="AD52:AE52"/>
    <mergeCell ref="AF52:AM52"/>
    <mergeCell ref="AN52:AO52"/>
    <mergeCell ref="B52:F52"/>
    <mergeCell ref="G52:H52"/>
    <mergeCell ref="I52:L52"/>
    <mergeCell ref="M52:O52"/>
    <mergeCell ref="P52:S52"/>
    <mergeCell ref="T52:U52"/>
    <mergeCell ref="V52:X52"/>
    <mergeCell ref="Y53:Z53"/>
    <mergeCell ref="AA53:AC53"/>
    <mergeCell ref="AD53:AE53"/>
    <mergeCell ref="AF53:AM53"/>
    <mergeCell ref="AN53:AO53"/>
    <mergeCell ref="B53:F53"/>
    <mergeCell ref="G53:H53"/>
    <mergeCell ref="I53:L53"/>
    <mergeCell ref="M53:O53"/>
    <mergeCell ref="P53:S53"/>
    <mergeCell ref="T53:U53"/>
    <mergeCell ref="V53:X53"/>
    <mergeCell ref="Y54:Z54"/>
    <mergeCell ref="AA54:AC54"/>
    <mergeCell ref="AD54:AE54"/>
    <mergeCell ref="AF54:AM54"/>
    <mergeCell ref="AN54:AO54"/>
    <mergeCell ref="B54:F54"/>
    <mergeCell ref="G54:H54"/>
    <mergeCell ref="I54:L54"/>
    <mergeCell ref="M54:O54"/>
    <mergeCell ref="P54:S54"/>
    <mergeCell ref="T54:U54"/>
    <mergeCell ref="V54:X54"/>
    <mergeCell ref="Y55:Z55"/>
    <mergeCell ref="AA55:AC55"/>
    <mergeCell ref="AD55:AE55"/>
    <mergeCell ref="AF55:AM55"/>
    <mergeCell ref="AN55:AO55"/>
    <mergeCell ref="B55:F55"/>
    <mergeCell ref="G55:H55"/>
    <mergeCell ref="I55:L55"/>
    <mergeCell ref="M55:O55"/>
    <mergeCell ref="P55:S55"/>
    <mergeCell ref="T55:U55"/>
    <mergeCell ref="V55:X55"/>
    <mergeCell ref="Y56:Z56"/>
    <mergeCell ref="AA56:AC56"/>
    <mergeCell ref="AD56:AE56"/>
    <mergeCell ref="AF56:AM56"/>
    <mergeCell ref="AN56:AO56"/>
    <mergeCell ref="B56:F56"/>
    <mergeCell ref="G56:H56"/>
    <mergeCell ref="I56:L56"/>
    <mergeCell ref="M56:O56"/>
    <mergeCell ref="P56:S56"/>
    <mergeCell ref="T56:U56"/>
    <mergeCell ref="V56:X56"/>
    <mergeCell ref="Y57:Z57"/>
    <mergeCell ref="AA57:AC57"/>
    <mergeCell ref="AD57:AE57"/>
    <mergeCell ref="AF57:AM57"/>
    <mergeCell ref="AN57:AO57"/>
    <mergeCell ref="B57:F57"/>
    <mergeCell ref="G57:H57"/>
    <mergeCell ref="I57:L57"/>
    <mergeCell ref="M57:O57"/>
    <mergeCell ref="P57:S57"/>
    <mergeCell ref="T57:U57"/>
    <mergeCell ref="V57:X57"/>
    <mergeCell ref="Y58:Z58"/>
    <mergeCell ref="AA58:AC58"/>
    <mergeCell ref="AD58:AE58"/>
    <mergeCell ref="AF58:AM58"/>
    <mergeCell ref="AN58:AO58"/>
    <mergeCell ref="B58:F58"/>
    <mergeCell ref="G58:H58"/>
    <mergeCell ref="I58:L58"/>
    <mergeCell ref="M58:O58"/>
    <mergeCell ref="P58:S58"/>
    <mergeCell ref="T58:U58"/>
    <mergeCell ref="V58:X58"/>
    <mergeCell ref="Y59:Z59"/>
    <mergeCell ref="AA59:AC59"/>
    <mergeCell ref="AD59:AE59"/>
    <mergeCell ref="AF59:AM59"/>
    <mergeCell ref="AN59:AO59"/>
    <mergeCell ref="B59:F59"/>
    <mergeCell ref="G59:H59"/>
    <mergeCell ref="I59:L59"/>
    <mergeCell ref="M59:O59"/>
    <mergeCell ref="P59:S59"/>
    <mergeCell ref="T59:U59"/>
    <mergeCell ref="V59:X59"/>
    <mergeCell ref="Y60:Z60"/>
    <mergeCell ref="AA60:AC60"/>
    <mergeCell ref="AD60:AE60"/>
    <mergeCell ref="AF60:AM60"/>
    <mergeCell ref="AN60:AO60"/>
    <mergeCell ref="B60:F60"/>
    <mergeCell ref="G60:H60"/>
    <mergeCell ref="I60:L60"/>
    <mergeCell ref="M60:O60"/>
    <mergeCell ref="P60:S60"/>
    <mergeCell ref="T60:U60"/>
    <mergeCell ref="V60:X60"/>
    <mergeCell ref="Y61:Z61"/>
    <mergeCell ref="AA61:AC61"/>
    <mergeCell ref="AD61:AE61"/>
    <mergeCell ref="AF61:AM61"/>
    <mergeCell ref="AN61:AO61"/>
    <mergeCell ref="B61:F61"/>
    <mergeCell ref="G61:H61"/>
    <mergeCell ref="I61:L61"/>
    <mergeCell ref="M61:O61"/>
    <mergeCell ref="P61:S61"/>
    <mergeCell ref="T61:U61"/>
    <mergeCell ref="V61:X61"/>
    <mergeCell ref="Y62:Z62"/>
    <mergeCell ref="AA62:AC62"/>
    <mergeCell ref="AD62:AE62"/>
    <mergeCell ref="AF62:AM62"/>
    <mergeCell ref="AN62:AO62"/>
    <mergeCell ref="B62:F62"/>
    <mergeCell ref="G62:H62"/>
    <mergeCell ref="I62:L62"/>
    <mergeCell ref="M62:O62"/>
    <mergeCell ref="P62:S62"/>
    <mergeCell ref="T62:U62"/>
    <mergeCell ref="V62:X62"/>
    <mergeCell ref="Y63:Z63"/>
    <mergeCell ref="AA63:AC63"/>
    <mergeCell ref="AD63:AE63"/>
    <mergeCell ref="AF63:AM63"/>
    <mergeCell ref="AN63:AO63"/>
    <mergeCell ref="B63:F63"/>
    <mergeCell ref="G63:H63"/>
    <mergeCell ref="I63:L63"/>
    <mergeCell ref="M63:O63"/>
    <mergeCell ref="P63:S63"/>
    <mergeCell ref="T63:U63"/>
    <mergeCell ref="V63:X63"/>
    <mergeCell ref="Y64:Z64"/>
    <mergeCell ref="AA64:AC64"/>
    <mergeCell ref="AD64:AE64"/>
    <mergeCell ref="AF64:AM64"/>
    <mergeCell ref="AN64:AO64"/>
    <mergeCell ref="B64:F64"/>
    <mergeCell ref="G64:H64"/>
    <mergeCell ref="I64:L64"/>
    <mergeCell ref="M64:O64"/>
    <mergeCell ref="P64:S64"/>
    <mergeCell ref="T64:U64"/>
    <mergeCell ref="V64:X64"/>
    <mergeCell ref="Y65:Z65"/>
    <mergeCell ref="AA65:AC65"/>
    <mergeCell ref="AD65:AE65"/>
    <mergeCell ref="AF65:AM65"/>
    <mergeCell ref="AN65:AO65"/>
    <mergeCell ref="B65:F65"/>
    <mergeCell ref="G65:H65"/>
    <mergeCell ref="I65:L65"/>
    <mergeCell ref="M65:O65"/>
    <mergeCell ref="P65:S65"/>
    <mergeCell ref="T65:U65"/>
    <mergeCell ref="V65:X65"/>
    <mergeCell ref="Y66:Z66"/>
    <mergeCell ref="AA66:AC66"/>
    <mergeCell ref="AD66:AE66"/>
    <mergeCell ref="AF66:AM66"/>
    <mergeCell ref="AN66:AO66"/>
    <mergeCell ref="B66:F66"/>
    <mergeCell ref="G66:H66"/>
    <mergeCell ref="I66:L66"/>
    <mergeCell ref="M66:O66"/>
    <mergeCell ref="P66:S66"/>
    <mergeCell ref="T66:U66"/>
    <mergeCell ref="V66:X66"/>
    <mergeCell ref="Y67:Z67"/>
    <mergeCell ref="AA67:AC67"/>
    <mergeCell ref="AD67:AE67"/>
    <mergeCell ref="AF67:AM67"/>
    <mergeCell ref="AN67:AO67"/>
    <mergeCell ref="B67:F67"/>
    <mergeCell ref="G67:H67"/>
    <mergeCell ref="I67:L67"/>
    <mergeCell ref="M67:O67"/>
    <mergeCell ref="P67:S67"/>
    <mergeCell ref="T67:U67"/>
    <mergeCell ref="V67:X67"/>
    <mergeCell ref="Y68:Z68"/>
    <mergeCell ref="AA68:AC68"/>
    <mergeCell ref="AD68:AE68"/>
    <mergeCell ref="AF68:AM68"/>
    <mergeCell ref="AN68:AO68"/>
    <mergeCell ref="B68:F68"/>
    <mergeCell ref="G68:H68"/>
    <mergeCell ref="I68:L68"/>
    <mergeCell ref="M68:O68"/>
    <mergeCell ref="P68:S68"/>
    <mergeCell ref="T68:U68"/>
    <mergeCell ref="V68:X68"/>
    <mergeCell ref="Y69:Z69"/>
    <mergeCell ref="AA69:AC69"/>
    <mergeCell ref="AD69:AE69"/>
    <mergeCell ref="AF69:AM69"/>
    <mergeCell ref="AN69:AO69"/>
    <mergeCell ref="B69:F69"/>
    <mergeCell ref="G69:H69"/>
    <mergeCell ref="I69:L69"/>
    <mergeCell ref="M69:O69"/>
    <mergeCell ref="P69:S69"/>
    <mergeCell ref="T69:U69"/>
    <mergeCell ref="V69:X69"/>
    <mergeCell ref="Y70:Z70"/>
    <mergeCell ref="AA70:AC70"/>
    <mergeCell ref="AD70:AE70"/>
    <mergeCell ref="AF70:AM70"/>
    <mergeCell ref="AN70:AO70"/>
    <mergeCell ref="B70:F70"/>
    <mergeCell ref="G70:H70"/>
    <mergeCell ref="I70:L70"/>
    <mergeCell ref="M70:O70"/>
    <mergeCell ref="P70:S70"/>
    <mergeCell ref="T70:U70"/>
    <mergeCell ref="V70:X70"/>
    <mergeCell ref="Y71:Z71"/>
    <mergeCell ref="AA71:AC71"/>
    <mergeCell ref="AD71:AE71"/>
    <mergeCell ref="AF71:AM71"/>
    <mergeCell ref="AN71:AO71"/>
    <mergeCell ref="B71:F71"/>
    <mergeCell ref="G71:H71"/>
    <mergeCell ref="I71:L71"/>
    <mergeCell ref="M71:O71"/>
    <mergeCell ref="P71:S71"/>
    <mergeCell ref="T71:U71"/>
    <mergeCell ref="V71:X71"/>
    <mergeCell ref="Y72:Z72"/>
    <mergeCell ref="AA72:AC72"/>
    <mergeCell ref="AD72:AE72"/>
    <mergeCell ref="AF72:AM72"/>
    <mergeCell ref="AN72:AO72"/>
    <mergeCell ref="B72:F72"/>
    <mergeCell ref="G72:H72"/>
    <mergeCell ref="I72:L72"/>
    <mergeCell ref="M72:O72"/>
    <mergeCell ref="P72:S72"/>
    <mergeCell ref="T72:U72"/>
    <mergeCell ref="V72:X72"/>
    <mergeCell ref="Y73:Z73"/>
    <mergeCell ref="AA73:AC73"/>
    <mergeCell ref="AD73:AE73"/>
    <mergeCell ref="AF73:AM73"/>
    <mergeCell ref="AN73:AO73"/>
    <mergeCell ref="B73:F73"/>
    <mergeCell ref="G73:H73"/>
    <mergeCell ref="I73:L73"/>
    <mergeCell ref="M73:O73"/>
    <mergeCell ref="P73:S73"/>
    <mergeCell ref="T73:U73"/>
    <mergeCell ref="V73:X73"/>
    <mergeCell ref="Y74:Z74"/>
    <mergeCell ref="AA74:AC74"/>
    <mergeCell ref="AD74:AE74"/>
    <mergeCell ref="AF74:AM74"/>
    <mergeCell ref="AN74:AO74"/>
    <mergeCell ref="B74:F74"/>
    <mergeCell ref="G74:H74"/>
    <mergeCell ref="I74:L74"/>
    <mergeCell ref="M74:O74"/>
    <mergeCell ref="P74:S74"/>
    <mergeCell ref="T74:U74"/>
    <mergeCell ref="V74:X74"/>
    <mergeCell ref="Y75:Z75"/>
    <mergeCell ref="AA75:AC75"/>
    <mergeCell ref="AD75:AE75"/>
    <mergeCell ref="AF75:AM75"/>
    <mergeCell ref="AN75:AO75"/>
    <mergeCell ref="B75:F75"/>
    <mergeCell ref="G75:H75"/>
    <mergeCell ref="I75:L75"/>
    <mergeCell ref="M75:O75"/>
    <mergeCell ref="P75:S75"/>
    <mergeCell ref="T75:U75"/>
    <mergeCell ref="V75:X75"/>
    <mergeCell ref="Y76:Z76"/>
    <mergeCell ref="AA76:AC76"/>
    <mergeCell ref="AD76:AE76"/>
    <mergeCell ref="AF76:AM76"/>
    <mergeCell ref="AN76:AO76"/>
    <mergeCell ref="B76:F76"/>
    <mergeCell ref="G76:H76"/>
    <mergeCell ref="I76:L76"/>
    <mergeCell ref="M76:O76"/>
    <mergeCell ref="P76:S76"/>
    <mergeCell ref="T76:U76"/>
    <mergeCell ref="V76:X76"/>
    <mergeCell ref="Y77:Z77"/>
    <mergeCell ref="AA77:AC77"/>
    <mergeCell ref="AD77:AE77"/>
    <mergeCell ref="AF77:AM77"/>
    <mergeCell ref="AN77:AO77"/>
    <mergeCell ref="B77:F77"/>
    <mergeCell ref="G77:H77"/>
    <mergeCell ref="I77:L77"/>
    <mergeCell ref="M77:O77"/>
    <mergeCell ref="P77:S77"/>
    <mergeCell ref="T77:U77"/>
    <mergeCell ref="V77:X77"/>
    <mergeCell ref="Y78:Z78"/>
    <mergeCell ref="AA78:AC78"/>
    <mergeCell ref="AD78:AE78"/>
    <mergeCell ref="AF78:AM78"/>
    <mergeCell ref="AN78:AO78"/>
    <mergeCell ref="B78:F78"/>
    <mergeCell ref="G78:H78"/>
    <mergeCell ref="I78:L78"/>
    <mergeCell ref="M78:O78"/>
    <mergeCell ref="P78:S78"/>
    <mergeCell ref="T78:U78"/>
    <mergeCell ref="V78:X78"/>
    <mergeCell ref="Y79:Z79"/>
    <mergeCell ref="AA79:AC79"/>
    <mergeCell ref="AD79:AE79"/>
    <mergeCell ref="AF79:AM79"/>
    <mergeCell ref="AN79:AO79"/>
    <mergeCell ref="B79:F79"/>
    <mergeCell ref="G79:H79"/>
    <mergeCell ref="I79:L79"/>
    <mergeCell ref="M79:O79"/>
    <mergeCell ref="P79:S79"/>
    <mergeCell ref="T79:U79"/>
    <mergeCell ref="V79:X79"/>
    <mergeCell ref="Y80:Z80"/>
    <mergeCell ref="AA80:AC80"/>
    <mergeCell ref="AD80:AE80"/>
    <mergeCell ref="AF80:AM80"/>
    <mergeCell ref="AN80:AO80"/>
    <mergeCell ref="B80:F80"/>
    <mergeCell ref="G80:H80"/>
    <mergeCell ref="I80:L80"/>
    <mergeCell ref="M80:O80"/>
    <mergeCell ref="P80:S80"/>
    <mergeCell ref="T80:U80"/>
    <mergeCell ref="V80:X80"/>
    <mergeCell ref="Y81:Z81"/>
    <mergeCell ref="AA81:AC81"/>
    <mergeCell ref="AD81:AE81"/>
    <mergeCell ref="AF81:AM81"/>
    <mergeCell ref="AN81:AO81"/>
    <mergeCell ref="B81:F81"/>
    <mergeCell ref="G81:H81"/>
    <mergeCell ref="I81:L81"/>
    <mergeCell ref="M81:O81"/>
    <mergeCell ref="P81:S81"/>
    <mergeCell ref="T81:U81"/>
    <mergeCell ref="V81:X81"/>
    <mergeCell ref="Y82:Z82"/>
    <mergeCell ref="AA82:AC82"/>
    <mergeCell ref="AD82:AE82"/>
    <mergeCell ref="AF82:AM82"/>
    <mergeCell ref="AN82:AO82"/>
    <mergeCell ref="B82:F82"/>
    <mergeCell ref="G82:H82"/>
    <mergeCell ref="I82:L82"/>
    <mergeCell ref="M82:O82"/>
    <mergeCell ref="P82:S82"/>
    <mergeCell ref="T82:U82"/>
    <mergeCell ref="V82:X82"/>
    <mergeCell ref="Y83:Z83"/>
    <mergeCell ref="AA83:AC83"/>
    <mergeCell ref="AD83:AE83"/>
    <mergeCell ref="AF83:AM83"/>
    <mergeCell ref="AN83:AO83"/>
    <mergeCell ref="B83:F83"/>
    <mergeCell ref="G83:H83"/>
    <mergeCell ref="I83:L83"/>
    <mergeCell ref="M83:O83"/>
    <mergeCell ref="P83:S83"/>
    <mergeCell ref="T83:U83"/>
    <mergeCell ref="V83:X83"/>
    <mergeCell ref="Y84:Z84"/>
    <mergeCell ref="AA84:AC84"/>
    <mergeCell ref="AD84:AE84"/>
    <mergeCell ref="AF84:AM84"/>
    <mergeCell ref="AN84:AO84"/>
    <mergeCell ref="B84:F84"/>
    <mergeCell ref="G84:H84"/>
    <mergeCell ref="I84:L84"/>
    <mergeCell ref="M84:O84"/>
    <mergeCell ref="P84:S84"/>
    <mergeCell ref="T84:U84"/>
    <mergeCell ref="V84:X84"/>
    <mergeCell ref="Y85:Z85"/>
    <mergeCell ref="AA85:AC85"/>
    <mergeCell ref="AD85:AE85"/>
    <mergeCell ref="AF85:AM85"/>
    <mergeCell ref="AN85:AO85"/>
    <mergeCell ref="B85:F85"/>
    <mergeCell ref="G85:H85"/>
    <mergeCell ref="I85:L85"/>
    <mergeCell ref="M85:O85"/>
    <mergeCell ref="P85:S85"/>
    <mergeCell ref="T85:U85"/>
    <mergeCell ref="V85:X85"/>
    <mergeCell ref="Y86:Z86"/>
    <mergeCell ref="AA86:AC86"/>
    <mergeCell ref="AD86:AE86"/>
    <mergeCell ref="AF86:AM86"/>
    <mergeCell ref="AN86:AO86"/>
    <mergeCell ref="B86:F86"/>
    <mergeCell ref="G86:H86"/>
    <mergeCell ref="I86:L86"/>
    <mergeCell ref="M86:O86"/>
    <mergeCell ref="P86:S86"/>
    <mergeCell ref="T86:U86"/>
    <mergeCell ref="V86:X86"/>
    <mergeCell ref="Y87:Z87"/>
    <mergeCell ref="AA87:AC87"/>
    <mergeCell ref="AD87:AE87"/>
    <mergeCell ref="AF87:AM87"/>
    <mergeCell ref="AN87:AO87"/>
    <mergeCell ref="B87:F87"/>
    <mergeCell ref="G87:H87"/>
    <mergeCell ref="I87:L87"/>
    <mergeCell ref="M87:O87"/>
    <mergeCell ref="P87:S87"/>
    <mergeCell ref="T87:U87"/>
    <mergeCell ref="V87:X87"/>
    <mergeCell ref="Y88:Z88"/>
    <mergeCell ref="AA88:AC88"/>
    <mergeCell ref="AD88:AE88"/>
    <mergeCell ref="AF88:AM88"/>
    <mergeCell ref="AN88:AO88"/>
    <mergeCell ref="B88:F88"/>
    <mergeCell ref="G88:H88"/>
    <mergeCell ref="I88:L88"/>
    <mergeCell ref="M88:O88"/>
    <mergeCell ref="P88:S88"/>
    <mergeCell ref="T88:U88"/>
    <mergeCell ref="V88:X88"/>
    <mergeCell ref="Y89:Z89"/>
    <mergeCell ref="AA89:AC89"/>
    <mergeCell ref="AD89:AE89"/>
    <mergeCell ref="AF89:AM89"/>
    <mergeCell ref="AN89:AO89"/>
    <mergeCell ref="B89:F89"/>
    <mergeCell ref="G89:H89"/>
    <mergeCell ref="I89:L89"/>
    <mergeCell ref="M89:O89"/>
    <mergeCell ref="P89:S89"/>
    <mergeCell ref="T89:U89"/>
    <mergeCell ref="V89:X89"/>
    <mergeCell ref="Y90:Z90"/>
    <mergeCell ref="AA90:AC90"/>
    <mergeCell ref="AD90:AE90"/>
    <mergeCell ref="AF90:AM90"/>
    <mergeCell ref="AN90:AO90"/>
    <mergeCell ref="B90:F90"/>
    <mergeCell ref="G90:H90"/>
    <mergeCell ref="I90:L90"/>
    <mergeCell ref="M90:O90"/>
    <mergeCell ref="P90:S90"/>
    <mergeCell ref="T90:U90"/>
    <mergeCell ref="V90:X90"/>
    <mergeCell ref="Y91:Z91"/>
    <mergeCell ref="AA91:AC91"/>
    <mergeCell ref="AD91:AE91"/>
    <mergeCell ref="AF91:AM91"/>
    <mergeCell ref="AN91:AO91"/>
    <mergeCell ref="B91:F91"/>
    <mergeCell ref="G91:H91"/>
    <mergeCell ref="I91:L91"/>
    <mergeCell ref="M91:O91"/>
    <mergeCell ref="P91:S91"/>
    <mergeCell ref="T91:U91"/>
    <mergeCell ref="V91:X91"/>
    <mergeCell ref="Y92:Z92"/>
    <mergeCell ref="AA92:AC92"/>
    <mergeCell ref="AD92:AE92"/>
    <mergeCell ref="AF92:AM92"/>
    <mergeCell ref="AN92:AO92"/>
    <mergeCell ref="B92:F92"/>
    <mergeCell ref="G92:H92"/>
    <mergeCell ref="I92:L92"/>
    <mergeCell ref="M92:O92"/>
    <mergeCell ref="P92:S92"/>
    <mergeCell ref="T92:U92"/>
    <mergeCell ref="V92:X92"/>
    <mergeCell ref="Y93:Z93"/>
    <mergeCell ref="AA93:AC93"/>
    <mergeCell ref="AD93:AE93"/>
    <mergeCell ref="AF93:AM93"/>
    <mergeCell ref="AN93:AO93"/>
    <mergeCell ref="B93:F93"/>
    <mergeCell ref="G93:H93"/>
    <mergeCell ref="I93:L93"/>
    <mergeCell ref="M93:O93"/>
    <mergeCell ref="P93:S93"/>
    <mergeCell ref="T93:U93"/>
    <mergeCell ref="V93:X93"/>
    <mergeCell ref="Y94:Z94"/>
    <mergeCell ref="AA94:AC94"/>
    <mergeCell ref="AD94:AE94"/>
    <mergeCell ref="AF94:AM94"/>
    <mergeCell ref="AN94:AO94"/>
    <mergeCell ref="B94:F94"/>
    <mergeCell ref="G94:H94"/>
    <mergeCell ref="I94:L94"/>
    <mergeCell ref="M94:O94"/>
    <mergeCell ref="P94:S94"/>
    <mergeCell ref="T94:U94"/>
    <mergeCell ref="V94:X94"/>
    <mergeCell ref="Y95:Z95"/>
    <mergeCell ref="AA95:AC95"/>
    <mergeCell ref="AD95:AE95"/>
    <mergeCell ref="AF95:AM95"/>
    <mergeCell ref="AN95:AO95"/>
    <mergeCell ref="B95:F95"/>
    <mergeCell ref="G95:H95"/>
    <mergeCell ref="I95:L95"/>
    <mergeCell ref="M95:O95"/>
    <mergeCell ref="P95:S95"/>
    <mergeCell ref="T95:U95"/>
    <mergeCell ref="V95:X95"/>
    <mergeCell ref="Y96:Z96"/>
    <mergeCell ref="AA96:AC96"/>
    <mergeCell ref="AD96:AE96"/>
    <mergeCell ref="AF96:AM96"/>
    <mergeCell ref="AN96:AO96"/>
    <mergeCell ref="B96:F96"/>
    <mergeCell ref="G96:H96"/>
    <mergeCell ref="I96:L96"/>
    <mergeCell ref="M96:O96"/>
    <mergeCell ref="P96:S96"/>
    <mergeCell ref="T96:U96"/>
    <mergeCell ref="V96:X96"/>
    <mergeCell ref="Y97:Z97"/>
    <mergeCell ref="AA97:AC97"/>
    <mergeCell ref="AD97:AE97"/>
    <mergeCell ref="AF97:AM97"/>
    <mergeCell ref="AN97:AO97"/>
    <mergeCell ref="B97:F97"/>
    <mergeCell ref="G97:H97"/>
    <mergeCell ref="I97:L97"/>
    <mergeCell ref="M97:O97"/>
    <mergeCell ref="P97:S97"/>
    <mergeCell ref="T97:U97"/>
    <mergeCell ref="V97:X97"/>
    <mergeCell ref="Y98:Z98"/>
    <mergeCell ref="AA98:AC98"/>
    <mergeCell ref="AD98:AE98"/>
    <mergeCell ref="AF98:AM98"/>
    <mergeCell ref="AN98:AO98"/>
    <mergeCell ref="B98:F98"/>
    <mergeCell ref="G98:H98"/>
    <mergeCell ref="I98:L98"/>
    <mergeCell ref="M98:O98"/>
    <mergeCell ref="P98:S98"/>
    <mergeCell ref="T98:U98"/>
    <mergeCell ref="V98:X98"/>
    <mergeCell ref="Y99:Z99"/>
    <mergeCell ref="AA99:AC99"/>
    <mergeCell ref="AD99:AE99"/>
    <mergeCell ref="AF99:AM99"/>
    <mergeCell ref="AN99:AO99"/>
    <mergeCell ref="B99:F99"/>
    <mergeCell ref="G99:H99"/>
    <mergeCell ref="I99:L99"/>
    <mergeCell ref="M99:O99"/>
    <mergeCell ref="P99:S99"/>
    <mergeCell ref="T99:U99"/>
    <mergeCell ref="V99:X99"/>
    <mergeCell ref="Y100:Z100"/>
    <mergeCell ref="AA100:AC100"/>
    <mergeCell ref="AD100:AE100"/>
    <mergeCell ref="AF100:AM100"/>
    <mergeCell ref="AN100:AO100"/>
    <mergeCell ref="B100:F100"/>
    <mergeCell ref="G100:H100"/>
    <mergeCell ref="I100:L100"/>
    <mergeCell ref="M100:O100"/>
    <mergeCell ref="P100:S100"/>
    <mergeCell ref="T100:U100"/>
    <mergeCell ref="V100:X100"/>
    <mergeCell ref="Y101:Z101"/>
    <mergeCell ref="AA101:AC101"/>
    <mergeCell ref="AD101:AE101"/>
    <mergeCell ref="AF101:AM101"/>
    <mergeCell ref="AN101:AO101"/>
    <mergeCell ref="B101:F101"/>
    <mergeCell ref="G101:H101"/>
    <mergeCell ref="I101:L101"/>
    <mergeCell ref="M101:O101"/>
    <mergeCell ref="P101:S101"/>
    <mergeCell ref="T101:U101"/>
    <mergeCell ref="V101:X101"/>
    <mergeCell ref="Y102:Z102"/>
    <mergeCell ref="AA102:AC102"/>
    <mergeCell ref="AD102:AE102"/>
    <mergeCell ref="AF102:AM102"/>
    <mergeCell ref="AN102:AO102"/>
    <mergeCell ref="B102:F102"/>
    <mergeCell ref="G102:H102"/>
    <mergeCell ref="I102:L102"/>
    <mergeCell ref="M102:O102"/>
    <mergeCell ref="P102:S102"/>
    <mergeCell ref="T102:U102"/>
    <mergeCell ref="V102:X102"/>
    <mergeCell ref="Y103:Z103"/>
    <mergeCell ref="AA103:AC103"/>
    <mergeCell ref="AD103:AE103"/>
    <mergeCell ref="AF103:AM103"/>
    <mergeCell ref="AN103:AO103"/>
    <mergeCell ref="B103:F103"/>
    <mergeCell ref="G103:H103"/>
    <mergeCell ref="I103:L103"/>
    <mergeCell ref="M103:O103"/>
    <mergeCell ref="P103:S103"/>
    <mergeCell ref="T103:U103"/>
    <mergeCell ref="V103:X103"/>
    <mergeCell ref="Y104:Z104"/>
    <mergeCell ref="AA104:AC104"/>
    <mergeCell ref="AD104:AE104"/>
    <mergeCell ref="AF104:AM104"/>
    <mergeCell ref="AN104:AO104"/>
    <mergeCell ref="B104:F104"/>
    <mergeCell ref="G104:H104"/>
    <mergeCell ref="I104:L104"/>
    <mergeCell ref="M104:O104"/>
    <mergeCell ref="P104:S104"/>
    <mergeCell ref="T104:U104"/>
    <mergeCell ref="V104:X104"/>
    <mergeCell ref="Y105:Z105"/>
    <mergeCell ref="AA105:AC105"/>
    <mergeCell ref="AD105:AE105"/>
    <mergeCell ref="AF105:AM105"/>
    <mergeCell ref="AN105:AO105"/>
    <mergeCell ref="B105:F105"/>
    <mergeCell ref="G105:H105"/>
    <mergeCell ref="I105:L105"/>
    <mergeCell ref="M105:O105"/>
    <mergeCell ref="P105:S105"/>
    <mergeCell ref="T105:U105"/>
    <mergeCell ref="V105:X105"/>
    <mergeCell ref="Y155:Z155"/>
    <mergeCell ref="AA155:AC155"/>
    <mergeCell ref="AD155:AE155"/>
    <mergeCell ref="AF155:AM155"/>
    <mergeCell ref="AN155:AO155"/>
    <mergeCell ref="B155:F155"/>
    <mergeCell ref="G155:H155"/>
    <mergeCell ref="I155:L155"/>
    <mergeCell ref="M155:O155"/>
    <mergeCell ref="P155:S155"/>
    <mergeCell ref="T155:U155"/>
    <mergeCell ref="V155:X155"/>
    <mergeCell ref="Y156:Z156"/>
    <mergeCell ref="AA156:AC156"/>
    <mergeCell ref="AD156:AE156"/>
    <mergeCell ref="AF156:AM156"/>
    <mergeCell ref="AN156:AO156"/>
    <mergeCell ref="B156:F156"/>
    <mergeCell ref="G156:H156"/>
    <mergeCell ref="I156:L156"/>
    <mergeCell ref="M156:O156"/>
    <mergeCell ref="P156:S156"/>
    <mergeCell ref="T156:U156"/>
    <mergeCell ref="V156:X156"/>
    <mergeCell ref="Y157:Z157"/>
    <mergeCell ref="AA157:AC157"/>
    <mergeCell ref="AD157:AE157"/>
    <mergeCell ref="AF157:AM157"/>
    <mergeCell ref="AN157:AO157"/>
    <mergeCell ref="B157:F157"/>
    <mergeCell ref="G157:H157"/>
    <mergeCell ref="I157:L157"/>
    <mergeCell ref="M157:O157"/>
    <mergeCell ref="P157:S157"/>
    <mergeCell ref="T157:U157"/>
    <mergeCell ref="V157:X157"/>
    <mergeCell ref="Y158:Z158"/>
    <mergeCell ref="AA158:AC158"/>
    <mergeCell ref="AD158:AE158"/>
    <mergeCell ref="AF158:AM158"/>
    <mergeCell ref="AN158:AO158"/>
    <mergeCell ref="B158:F158"/>
    <mergeCell ref="G158:H158"/>
    <mergeCell ref="I158:L158"/>
    <mergeCell ref="M158:O158"/>
    <mergeCell ref="P158:S158"/>
    <mergeCell ref="T158:U158"/>
    <mergeCell ref="V158:X158"/>
    <mergeCell ref="Y159:Z159"/>
    <mergeCell ref="AA159:AC159"/>
    <mergeCell ref="AD159:AE159"/>
    <mergeCell ref="AF159:AM159"/>
    <mergeCell ref="AN159:AO159"/>
    <mergeCell ref="B159:F159"/>
    <mergeCell ref="G159:H159"/>
    <mergeCell ref="I159:L159"/>
    <mergeCell ref="M159:O159"/>
    <mergeCell ref="P159:S159"/>
    <mergeCell ref="T159:U159"/>
    <mergeCell ref="V159:X159"/>
    <mergeCell ref="Y160:Z160"/>
    <mergeCell ref="AA160:AC160"/>
    <mergeCell ref="AD160:AE160"/>
    <mergeCell ref="AF160:AM160"/>
    <mergeCell ref="AN160:AO160"/>
    <mergeCell ref="B160:F160"/>
    <mergeCell ref="G160:H160"/>
    <mergeCell ref="I160:L160"/>
    <mergeCell ref="M160:O160"/>
    <mergeCell ref="P160:S160"/>
    <mergeCell ref="T160:U160"/>
    <mergeCell ref="V160:X160"/>
    <mergeCell ref="Y161:Z161"/>
    <mergeCell ref="AA161:AC161"/>
    <mergeCell ref="AD161:AE161"/>
    <mergeCell ref="AF161:AM161"/>
    <mergeCell ref="AN161:AO161"/>
    <mergeCell ref="B161:F161"/>
    <mergeCell ref="G161:H161"/>
    <mergeCell ref="I161:L161"/>
    <mergeCell ref="M161:O161"/>
    <mergeCell ref="P161:S161"/>
    <mergeCell ref="T161:U161"/>
    <mergeCell ref="V161:X161"/>
    <mergeCell ref="Y162:Z162"/>
    <mergeCell ref="AA162:AC162"/>
    <mergeCell ref="AD162:AE162"/>
    <mergeCell ref="AF162:AM162"/>
    <mergeCell ref="AN162:AO162"/>
    <mergeCell ref="B162:F162"/>
    <mergeCell ref="G162:H162"/>
    <mergeCell ref="I162:L162"/>
    <mergeCell ref="M162:O162"/>
    <mergeCell ref="P162:S162"/>
    <mergeCell ref="T162:U162"/>
    <mergeCell ref="V162:X162"/>
    <mergeCell ref="Y163:Z163"/>
    <mergeCell ref="AA163:AC163"/>
    <mergeCell ref="AD163:AE163"/>
    <mergeCell ref="AF163:AM163"/>
    <mergeCell ref="AN163:AO163"/>
    <mergeCell ref="B163:F163"/>
    <mergeCell ref="G163:H163"/>
    <mergeCell ref="I163:L163"/>
    <mergeCell ref="M163:O163"/>
    <mergeCell ref="P163:S163"/>
    <mergeCell ref="T163:U163"/>
    <mergeCell ref="V163:X163"/>
    <mergeCell ref="Y164:Z164"/>
    <mergeCell ref="AA164:AC164"/>
    <mergeCell ref="AD164:AE164"/>
    <mergeCell ref="AF164:AM164"/>
    <mergeCell ref="AN164:AO164"/>
    <mergeCell ref="B164:F164"/>
    <mergeCell ref="G164:H164"/>
    <mergeCell ref="I164:L164"/>
    <mergeCell ref="M164:O164"/>
    <mergeCell ref="P164:S164"/>
    <mergeCell ref="T164:U164"/>
    <mergeCell ref="V164:X164"/>
    <mergeCell ref="Y165:Z165"/>
    <mergeCell ref="AA165:AC165"/>
    <mergeCell ref="AD165:AE165"/>
    <mergeCell ref="AF165:AM165"/>
    <mergeCell ref="AN165:AO165"/>
    <mergeCell ref="B165:F165"/>
    <mergeCell ref="G165:H165"/>
    <mergeCell ref="I165:L165"/>
    <mergeCell ref="M165:O165"/>
    <mergeCell ref="P165:S165"/>
    <mergeCell ref="T165:U165"/>
    <mergeCell ref="V165:X165"/>
    <mergeCell ref="Y166:Z166"/>
    <mergeCell ref="AA166:AC166"/>
    <mergeCell ref="AD166:AE166"/>
    <mergeCell ref="AF166:AM166"/>
    <mergeCell ref="AN166:AO166"/>
    <mergeCell ref="B166:F166"/>
    <mergeCell ref="G166:H166"/>
    <mergeCell ref="I166:L166"/>
    <mergeCell ref="M166:O166"/>
    <mergeCell ref="P166:S166"/>
    <mergeCell ref="T166:U166"/>
    <mergeCell ref="V166:X166"/>
    <mergeCell ref="Y167:Z167"/>
    <mergeCell ref="AA167:AC167"/>
    <mergeCell ref="AD167:AE167"/>
    <mergeCell ref="AF167:AM167"/>
    <mergeCell ref="AN167:AO167"/>
    <mergeCell ref="B167:F167"/>
    <mergeCell ref="G167:H167"/>
    <mergeCell ref="I167:L167"/>
    <mergeCell ref="M167:O167"/>
    <mergeCell ref="P167:S167"/>
    <mergeCell ref="T167:U167"/>
    <mergeCell ref="V167:X167"/>
    <mergeCell ref="Y168:Z168"/>
    <mergeCell ref="AA168:AC168"/>
    <mergeCell ref="AD168:AE168"/>
    <mergeCell ref="AF168:AM168"/>
    <mergeCell ref="AN168:AO168"/>
    <mergeCell ref="B168:F168"/>
    <mergeCell ref="G168:H168"/>
    <mergeCell ref="I168:L168"/>
    <mergeCell ref="M168:O168"/>
    <mergeCell ref="P168:S168"/>
    <mergeCell ref="T168:U168"/>
    <mergeCell ref="V168:X168"/>
    <mergeCell ref="Y169:Z169"/>
    <mergeCell ref="AA169:AC169"/>
    <mergeCell ref="AD169:AE169"/>
    <mergeCell ref="AF169:AM169"/>
    <mergeCell ref="AN169:AO169"/>
    <mergeCell ref="B169:F169"/>
    <mergeCell ref="G169:H169"/>
    <mergeCell ref="I169:L169"/>
    <mergeCell ref="M169:O169"/>
    <mergeCell ref="P169:S169"/>
    <mergeCell ref="T169:U169"/>
    <mergeCell ref="V169:X169"/>
    <mergeCell ref="Y170:Z170"/>
    <mergeCell ref="AA170:AC170"/>
    <mergeCell ref="AD170:AE170"/>
    <mergeCell ref="AF170:AM170"/>
    <mergeCell ref="AN170:AO170"/>
    <mergeCell ref="B170:F170"/>
    <mergeCell ref="G170:H170"/>
    <mergeCell ref="I170:L170"/>
    <mergeCell ref="M170:O170"/>
    <mergeCell ref="P170:S170"/>
    <mergeCell ref="T170:U170"/>
    <mergeCell ref="V170:X170"/>
    <mergeCell ref="Y171:Z171"/>
    <mergeCell ref="AA171:AC171"/>
    <mergeCell ref="AD171:AE171"/>
    <mergeCell ref="AF171:AM171"/>
    <mergeCell ref="AN171:AO171"/>
    <mergeCell ref="B171:F171"/>
    <mergeCell ref="G171:H171"/>
    <mergeCell ref="I171:L171"/>
    <mergeCell ref="M171:O171"/>
    <mergeCell ref="P171:S171"/>
    <mergeCell ref="T171:U171"/>
    <mergeCell ref="V171:X171"/>
    <mergeCell ref="Y172:Z172"/>
    <mergeCell ref="AA172:AC172"/>
    <mergeCell ref="AD172:AE172"/>
    <mergeCell ref="AF172:AM172"/>
    <mergeCell ref="AN172:AO172"/>
    <mergeCell ref="B172:F172"/>
    <mergeCell ref="G172:H172"/>
    <mergeCell ref="I172:L172"/>
    <mergeCell ref="M172:O172"/>
    <mergeCell ref="P172:S172"/>
    <mergeCell ref="T172:U172"/>
    <mergeCell ref="V172:X172"/>
    <mergeCell ref="Y173:Z173"/>
    <mergeCell ref="AA173:AC173"/>
    <mergeCell ref="AD173:AE173"/>
    <mergeCell ref="AF173:AM173"/>
    <mergeCell ref="AN173:AO173"/>
    <mergeCell ref="B173:F173"/>
    <mergeCell ref="G173:H173"/>
    <mergeCell ref="I173:L173"/>
    <mergeCell ref="M173:O173"/>
    <mergeCell ref="P173:S173"/>
    <mergeCell ref="T173:U173"/>
    <mergeCell ref="V173:X173"/>
    <mergeCell ref="Y174:Z174"/>
    <mergeCell ref="AA174:AC174"/>
    <mergeCell ref="AD174:AE174"/>
    <mergeCell ref="AF174:AM174"/>
    <mergeCell ref="AN174:AO174"/>
    <mergeCell ref="B174:F174"/>
    <mergeCell ref="G174:H174"/>
    <mergeCell ref="I174:L174"/>
    <mergeCell ref="M174:O174"/>
    <mergeCell ref="P174:S174"/>
    <mergeCell ref="T174:U174"/>
    <mergeCell ref="V174:X174"/>
    <mergeCell ref="Y175:Z175"/>
    <mergeCell ref="AA175:AC175"/>
    <mergeCell ref="AD175:AE175"/>
    <mergeCell ref="AF175:AM175"/>
    <mergeCell ref="AN175:AO175"/>
    <mergeCell ref="B175:F175"/>
    <mergeCell ref="G175:H175"/>
    <mergeCell ref="I175:L175"/>
    <mergeCell ref="M175:O175"/>
    <mergeCell ref="P175:S175"/>
    <mergeCell ref="T175:U175"/>
    <mergeCell ref="V175:X175"/>
    <mergeCell ref="Y176:Z176"/>
    <mergeCell ref="AA176:AC176"/>
    <mergeCell ref="AD176:AE176"/>
    <mergeCell ref="AF176:AM176"/>
    <mergeCell ref="AN176:AO176"/>
    <mergeCell ref="B176:F176"/>
    <mergeCell ref="G176:H176"/>
    <mergeCell ref="I176:L176"/>
    <mergeCell ref="M176:O176"/>
    <mergeCell ref="P176:S176"/>
    <mergeCell ref="T176:U176"/>
    <mergeCell ref="V176:X176"/>
    <mergeCell ref="Y177:Z177"/>
    <mergeCell ref="AA177:AC177"/>
    <mergeCell ref="AD177:AE177"/>
    <mergeCell ref="AF177:AM177"/>
    <mergeCell ref="AN177:AO177"/>
    <mergeCell ref="B177:F177"/>
    <mergeCell ref="G177:H177"/>
    <mergeCell ref="I177:L177"/>
    <mergeCell ref="M177:O177"/>
    <mergeCell ref="P177:S177"/>
    <mergeCell ref="T177:U177"/>
    <mergeCell ref="V177:X177"/>
    <mergeCell ref="Y178:Z178"/>
    <mergeCell ref="AA178:AC178"/>
    <mergeCell ref="AD178:AE178"/>
    <mergeCell ref="AF178:AM178"/>
    <mergeCell ref="AN178:AO178"/>
    <mergeCell ref="B178:F178"/>
    <mergeCell ref="G178:H178"/>
    <mergeCell ref="I178:L178"/>
    <mergeCell ref="M178:O178"/>
    <mergeCell ref="P178:S178"/>
    <mergeCell ref="T178:U178"/>
    <mergeCell ref="V178:X178"/>
    <mergeCell ref="Y179:Z179"/>
    <mergeCell ref="AA179:AC179"/>
    <mergeCell ref="AD179:AE179"/>
    <mergeCell ref="AF179:AM179"/>
    <mergeCell ref="AN179:AO179"/>
    <mergeCell ref="B179:F179"/>
    <mergeCell ref="G179:H179"/>
    <mergeCell ref="I179:L179"/>
    <mergeCell ref="M179:O179"/>
    <mergeCell ref="P179:S179"/>
    <mergeCell ref="T179:U179"/>
    <mergeCell ref="V179:X179"/>
    <mergeCell ref="Y180:Z180"/>
    <mergeCell ref="AA180:AC180"/>
    <mergeCell ref="AD180:AE180"/>
    <mergeCell ref="AF180:AM180"/>
    <mergeCell ref="AN180:AO180"/>
    <mergeCell ref="B180:F180"/>
    <mergeCell ref="G180:H180"/>
    <mergeCell ref="I180:L180"/>
    <mergeCell ref="M180:O180"/>
    <mergeCell ref="P180:S180"/>
    <mergeCell ref="T180:U180"/>
    <mergeCell ref="V180:X180"/>
    <mergeCell ref="Y181:Z181"/>
    <mergeCell ref="AA181:AC181"/>
    <mergeCell ref="AD181:AE181"/>
    <mergeCell ref="AF181:AM181"/>
    <mergeCell ref="AN181:AO181"/>
    <mergeCell ref="B181:F181"/>
    <mergeCell ref="G181:H181"/>
    <mergeCell ref="I181:L181"/>
    <mergeCell ref="M181:O181"/>
    <mergeCell ref="P181:S181"/>
    <mergeCell ref="T181:U181"/>
    <mergeCell ref="V181:X181"/>
    <mergeCell ref="Y182:Z182"/>
    <mergeCell ref="AA182:AC182"/>
    <mergeCell ref="AD182:AE182"/>
    <mergeCell ref="AF182:AM182"/>
    <mergeCell ref="AN182:AO182"/>
    <mergeCell ref="B182:F182"/>
    <mergeCell ref="G182:H182"/>
    <mergeCell ref="I182:L182"/>
    <mergeCell ref="M182:O182"/>
    <mergeCell ref="P182:S182"/>
    <mergeCell ref="T182:U182"/>
    <mergeCell ref="V182:X182"/>
    <mergeCell ref="Y183:Z183"/>
    <mergeCell ref="AA183:AC183"/>
    <mergeCell ref="AD183:AE183"/>
    <mergeCell ref="AF183:AM183"/>
    <mergeCell ref="AN183:AO183"/>
    <mergeCell ref="B183:F183"/>
    <mergeCell ref="G183:H183"/>
    <mergeCell ref="I183:L183"/>
    <mergeCell ref="M183:O183"/>
    <mergeCell ref="P183:S183"/>
    <mergeCell ref="T183:U183"/>
    <mergeCell ref="V183:X183"/>
    <mergeCell ref="Y184:Z184"/>
    <mergeCell ref="AA184:AC184"/>
    <mergeCell ref="AD184:AE184"/>
    <mergeCell ref="AF184:AM184"/>
    <mergeCell ref="AN184:AO184"/>
    <mergeCell ref="B184:F184"/>
    <mergeCell ref="G184:H184"/>
    <mergeCell ref="I184:L184"/>
    <mergeCell ref="M184:O184"/>
    <mergeCell ref="P184:S184"/>
    <mergeCell ref="T184:U184"/>
    <mergeCell ref="V184:X184"/>
    <mergeCell ref="Y185:Z185"/>
    <mergeCell ref="AA185:AC185"/>
    <mergeCell ref="AD185:AE185"/>
    <mergeCell ref="AF185:AM185"/>
    <mergeCell ref="AN185:AO185"/>
    <mergeCell ref="B185:F185"/>
    <mergeCell ref="G185:H185"/>
    <mergeCell ref="I185:L185"/>
    <mergeCell ref="M185:O185"/>
    <mergeCell ref="P185:S185"/>
    <mergeCell ref="T185:U185"/>
    <mergeCell ref="V185:X185"/>
    <mergeCell ref="Y186:Z186"/>
    <mergeCell ref="AA186:AC186"/>
    <mergeCell ref="AD186:AE186"/>
    <mergeCell ref="AF186:AM186"/>
    <mergeCell ref="AN186:AO186"/>
    <mergeCell ref="B186:F186"/>
    <mergeCell ref="G186:H186"/>
    <mergeCell ref="I186:L186"/>
    <mergeCell ref="M186:O186"/>
    <mergeCell ref="P186:S186"/>
    <mergeCell ref="T186:U186"/>
    <mergeCell ref="V186:X186"/>
    <mergeCell ref="Y187:Z187"/>
    <mergeCell ref="AA187:AC187"/>
    <mergeCell ref="AD187:AE187"/>
    <mergeCell ref="AF187:AM187"/>
    <mergeCell ref="AN187:AO187"/>
    <mergeCell ref="B187:F187"/>
    <mergeCell ref="G187:H187"/>
    <mergeCell ref="I187:L187"/>
    <mergeCell ref="M187:O187"/>
    <mergeCell ref="P187:S187"/>
    <mergeCell ref="T187:U187"/>
    <mergeCell ref="V187:X187"/>
    <mergeCell ref="Y188:Z188"/>
    <mergeCell ref="AA188:AC188"/>
    <mergeCell ref="AD188:AE188"/>
    <mergeCell ref="AF188:AM188"/>
    <mergeCell ref="AN188:AO188"/>
    <mergeCell ref="B188:F188"/>
    <mergeCell ref="G188:H188"/>
    <mergeCell ref="I188:L188"/>
    <mergeCell ref="M188:O188"/>
    <mergeCell ref="P188:S188"/>
    <mergeCell ref="T188:U188"/>
    <mergeCell ref="V188:X188"/>
    <mergeCell ref="Y189:Z189"/>
    <mergeCell ref="AA189:AC189"/>
    <mergeCell ref="AD189:AE189"/>
    <mergeCell ref="AF189:AM189"/>
    <mergeCell ref="AN189:AO189"/>
    <mergeCell ref="B189:F189"/>
    <mergeCell ref="G189:H189"/>
    <mergeCell ref="I189:L189"/>
    <mergeCell ref="M189:O189"/>
    <mergeCell ref="P189:S189"/>
    <mergeCell ref="T189:U189"/>
    <mergeCell ref="V189:X189"/>
    <mergeCell ref="Y197:Z197"/>
    <mergeCell ref="AA197:AC197"/>
    <mergeCell ref="AD197:AE197"/>
    <mergeCell ref="AF197:AM197"/>
    <mergeCell ref="AN197:AO197"/>
    <mergeCell ref="B197:F197"/>
    <mergeCell ref="G197:H197"/>
    <mergeCell ref="I197:L197"/>
    <mergeCell ref="M197:O197"/>
    <mergeCell ref="P197:S197"/>
    <mergeCell ref="T197:U197"/>
    <mergeCell ref="V197:X197"/>
    <mergeCell ref="Y198:Z198"/>
    <mergeCell ref="AA198:AC198"/>
    <mergeCell ref="AD198:AE198"/>
    <mergeCell ref="AF198:AM198"/>
    <mergeCell ref="AN198:AO198"/>
    <mergeCell ref="B198:F198"/>
    <mergeCell ref="G198:H198"/>
    <mergeCell ref="I198:L198"/>
    <mergeCell ref="M198:O198"/>
    <mergeCell ref="P198:S198"/>
    <mergeCell ref="T198:U198"/>
    <mergeCell ref="V198:X198"/>
    <mergeCell ref="Y199:Z199"/>
    <mergeCell ref="AA199:AC199"/>
    <mergeCell ref="AD199:AE199"/>
    <mergeCell ref="AF199:AM199"/>
    <mergeCell ref="AN199:AO199"/>
    <mergeCell ref="B199:F199"/>
    <mergeCell ref="G199:H199"/>
    <mergeCell ref="I199:L199"/>
    <mergeCell ref="M199:O199"/>
    <mergeCell ref="P199:S199"/>
    <mergeCell ref="T199:U199"/>
    <mergeCell ref="V199:X199"/>
    <mergeCell ref="Y200:Z200"/>
    <mergeCell ref="AA200:AC200"/>
    <mergeCell ref="AD200:AE200"/>
    <mergeCell ref="AF200:AM200"/>
    <mergeCell ref="AN200:AO200"/>
    <mergeCell ref="B200:F200"/>
    <mergeCell ref="G200:H200"/>
    <mergeCell ref="I200:L200"/>
    <mergeCell ref="M200:O200"/>
    <mergeCell ref="P200:S200"/>
    <mergeCell ref="T200:U200"/>
    <mergeCell ref="V200:X200"/>
    <mergeCell ref="P2:AA3"/>
    <mergeCell ref="P4:AA4"/>
    <mergeCell ref="O1:O4"/>
    <mergeCell ref="P1:AA1"/>
    <mergeCell ref="AB1:AB4"/>
    <mergeCell ref="B2:N2"/>
    <mergeCell ref="AC2:AO2"/>
    <mergeCell ref="B3:N4"/>
    <mergeCell ref="AC3:AO4"/>
    <mergeCell ref="Y5:Z6"/>
    <mergeCell ref="AA5:AC6"/>
    <mergeCell ref="AD5:AE6"/>
    <mergeCell ref="AF5:AM6"/>
    <mergeCell ref="AN5:AO6"/>
    <mergeCell ref="B5:F6"/>
    <mergeCell ref="G5:H6"/>
    <mergeCell ref="I5:L6"/>
    <mergeCell ref="M5:O6"/>
    <mergeCell ref="P5:S6"/>
    <mergeCell ref="T5:U6"/>
    <mergeCell ref="V5:X6"/>
    <mergeCell ref="Y7:Z7"/>
    <mergeCell ref="AA7:AC7"/>
    <mergeCell ref="AD7:AE7"/>
    <mergeCell ref="AF7:AM7"/>
    <mergeCell ref="AN7:AO7"/>
    <mergeCell ref="B7:F7"/>
    <mergeCell ref="G7:H7"/>
    <mergeCell ref="I7:L7"/>
    <mergeCell ref="M7:O7"/>
    <mergeCell ref="P7:S7"/>
    <mergeCell ref="T7:U7"/>
    <mergeCell ref="V7:X7"/>
    <mergeCell ref="Y201:Z201"/>
    <mergeCell ref="AA201:AC201"/>
    <mergeCell ref="AD201:AE201"/>
    <mergeCell ref="AF201:AM201"/>
    <mergeCell ref="AN201:AO201"/>
    <mergeCell ref="B201:F201"/>
    <mergeCell ref="G201:H201"/>
    <mergeCell ref="I201:L201"/>
    <mergeCell ref="M201:O201"/>
    <mergeCell ref="P201:S201"/>
    <mergeCell ref="T201:U201"/>
    <mergeCell ref="V201:X201"/>
    <mergeCell ref="Y190:Z190"/>
    <mergeCell ref="AA190:AC190"/>
    <mergeCell ref="AD190:AE190"/>
    <mergeCell ref="AF190:AM190"/>
    <mergeCell ref="AN190:AO190"/>
    <mergeCell ref="B190:F190"/>
    <mergeCell ref="G190:H190"/>
    <mergeCell ref="I190:L190"/>
    <mergeCell ref="M190:O190"/>
    <mergeCell ref="P190:S190"/>
    <mergeCell ref="T190:U190"/>
    <mergeCell ref="V190:X190"/>
    <mergeCell ref="Y191:Z191"/>
    <mergeCell ref="AA191:AC191"/>
    <mergeCell ref="AD191:AE191"/>
    <mergeCell ref="AF191:AM191"/>
    <mergeCell ref="AN191:AO191"/>
    <mergeCell ref="B191:F191"/>
    <mergeCell ref="G191:H191"/>
    <mergeCell ref="I191:L191"/>
    <mergeCell ref="M191:O191"/>
    <mergeCell ref="P191:S191"/>
    <mergeCell ref="T191:U191"/>
    <mergeCell ref="V191:X191"/>
    <mergeCell ref="Y192:Z192"/>
    <mergeCell ref="AA192:AC192"/>
    <mergeCell ref="AD192:AE192"/>
    <mergeCell ref="AF192:AM192"/>
    <mergeCell ref="AN192:AO192"/>
    <mergeCell ref="B192:F192"/>
    <mergeCell ref="G192:H192"/>
    <mergeCell ref="I192:L192"/>
    <mergeCell ref="M192:O192"/>
    <mergeCell ref="P192:S192"/>
    <mergeCell ref="T192:U192"/>
    <mergeCell ref="V192:X192"/>
    <mergeCell ref="Y193:Z193"/>
    <mergeCell ref="AA193:AC193"/>
    <mergeCell ref="AD193:AE193"/>
    <mergeCell ref="AF193:AM193"/>
    <mergeCell ref="AN193:AO193"/>
    <mergeCell ref="B193:F193"/>
    <mergeCell ref="G193:H193"/>
    <mergeCell ref="I193:L193"/>
    <mergeCell ref="M193:O193"/>
    <mergeCell ref="P193:S193"/>
    <mergeCell ref="T193:U193"/>
    <mergeCell ref="V193:X193"/>
    <mergeCell ref="Y194:Z194"/>
    <mergeCell ref="AA194:AC194"/>
    <mergeCell ref="AD194:AE194"/>
    <mergeCell ref="AF194:AM194"/>
    <mergeCell ref="AN194:AO194"/>
    <mergeCell ref="B194:F194"/>
    <mergeCell ref="G194:H194"/>
    <mergeCell ref="I194:L194"/>
    <mergeCell ref="M194:O194"/>
    <mergeCell ref="P194:S194"/>
    <mergeCell ref="T194:U194"/>
    <mergeCell ref="V194:X194"/>
    <mergeCell ref="Y195:Z195"/>
    <mergeCell ref="AA195:AC195"/>
    <mergeCell ref="AD195:AE195"/>
    <mergeCell ref="AF195:AM195"/>
    <mergeCell ref="AN195:AO195"/>
    <mergeCell ref="B195:F195"/>
    <mergeCell ref="G195:H195"/>
    <mergeCell ref="I195:L195"/>
    <mergeCell ref="M195:O195"/>
    <mergeCell ref="P195:S195"/>
    <mergeCell ref="T195:U195"/>
    <mergeCell ref="V195:X195"/>
    <mergeCell ref="Y196:Z196"/>
    <mergeCell ref="AA196:AC196"/>
    <mergeCell ref="AD196:AE196"/>
    <mergeCell ref="AF196:AM196"/>
    <mergeCell ref="AN196:AO196"/>
    <mergeCell ref="B196:F196"/>
    <mergeCell ref="G196:H196"/>
    <mergeCell ref="I196:L196"/>
    <mergeCell ref="M196:O196"/>
    <mergeCell ref="P196:S196"/>
    <mergeCell ref="T196:U196"/>
    <mergeCell ref="V196:X196"/>
    <mergeCell ref="Y106:Z106"/>
    <mergeCell ref="AA106:AC106"/>
    <mergeCell ref="AD106:AE106"/>
    <mergeCell ref="AF106:AM106"/>
    <mergeCell ref="AN106:AO106"/>
    <mergeCell ref="B106:F106"/>
    <mergeCell ref="G106:H106"/>
    <mergeCell ref="I106:L106"/>
    <mergeCell ref="M106:O106"/>
    <mergeCell ref="P106:S106"/>
    <mergeCell ref="T106:U106"/>
    <mergeCell ref="V106:X106"/>
    <mergeCell ref="Y107:Z107"/>
    <mergeCell ref="AA107:AC107"/>
    <mergeCell ref="AD107:AE107"/>
    <mergeCell ref="AF107:AM107"/>
    <mergeCell ref="AN107:AO107"/>
    <mergeCell ref="B107:F107"/>
    <mergeCell ref="G107:H107"/>
    <mergeCell ref="I107:L107"/>
    <mergeCell ref="M107:O107"/>
    <mergeCell ref="P107:S107"/>
    <mergeCell ref="T107:U107"/>
    <mergeCell ref="V107:X107"/>
    <mergeCell ref="Y108:Z108"/>
    <mergeCell ref="AA108:AC108"/>
    <mergeCell ref="AD108:AE108"/>
    <mergeCell ref="AF108:AM108"/>
    <mergeCell ref="AN108:AO108"/>
    <mergeCell ref="B108:F108"/>
    <mergeCell ref="G108:H108"/>
    <mergeCell ref="I108:L108"/>
    <mergeCell ref="M108:O108"/>
    <mergeCell ref="P108:S108"/>
    <mergeCell ref="T108:U108"/>
    <mergeCell ref="V108:X108"/>
    <mergeCell ref="Y109:Z109"/>
    <mergeCell ref="AA109:AC109"/>
    <mergeCell ref="AD109:AE109"/>
    <mergeCell ref="AF109:AM109"/>
    <mergeCell ref="AN109:AO109"/>
    <mergeCell ref="B109:F109"/>
    <mergeCell ref="G109:H109"/>
    <mergeCell ref="I109:L109"/>
    <mergeCell ref="M109:O109"/>
    <mergeCell ref="P109:S109"/>
    <mergeCell ref="T109:U109"/>
    <mergeCell ref="V109:X109"/>
    <mergeCell ref="Y110:Z110"/>
    <mergeCell ref="AA110:AC110"/>
    <mergeCell ref="AD110:AE110"/>
    <mergeCell ref="AF110:AM110"/>
    <mergeCell ref="AN110:AO110"/>
    <mergeCell ref="B110:F110"/>
    <mergeCell ref="G110:H110"/>
    <mergeCell ref="I110:L110"/>
    <mergeCell ref="M110:O110"/>
    <mergeCell ref="P110:S110"/>
    <mergeCell ref="T110:U110"/>
    <mergeCell ref="V110:X110"/>
    <mergeCell ref="Y111:Z111"/>
    <mergeCell ref="AA111:AC111"/>
    <mergeCell ref="AD111:AE111"/>
    <mergeCell ref="AF111:AM111"/>
    <mergeCell ref="AN111:AO111"/>
    <mergeCell ref="B111:F111"/>
    <mergeCell ref="G111:H111"/>
    <mergeCell ref="I111:L111"/>
    <mergeCell ref="M111:O111"/>
    <mergeCell ref="P111:S111"/>
    <mergeCell ref="T111:U111"/>
    <mergeCell ref="V111:X111"/>
    <mergeCell ref="Y112:Z112"/>
    <mergeCell ref="AA112:AC112"/>
    <mergeCell ref="AD112:AE112"/>
    <mergeCell ref="AF112:AM112"/>
    <mergeCell ref="AN112:AO112"/>
    <mergeCell ref="B112:F112"/>
    <mergeCell ref="G112:H112"/>
    <mergeCell ref="I112:L112"/>
    <mergeCell ref="M112:O112"/>
    <mergeCell ref="P112:S112"/>
    <mergeCell ref="T112:U112"/>
    <mergeCell ref="V112:X112"/>
    <mergeCell ref="Y113:Z113"/>
    <mergeCell ref="AA113:AC113"/>
    <mergeCell ref="AD113:AE113"/>
    <mergeCell ref="AF113:AM113"/>
    <mergeCell ref="AN113:AO113"/>
    <mergeCell ref="B113:F113"/>
    <mergeCell ref="G113:H113"/>
    <mergeCell ref="I113:L113"/>
    <mergeCell ref="M113:O113"/>
    <mergeCell ref="P113:S113"/>
    <mergeCell ref="T113:U113"/>
    <mergeCell ref="V113:X113"/>
    <mergeCell ref="Y114:Z114"/>
    <mergeCell ref="AA114:AC114"/>
    <mergeCell ref="AD114:AE114"/>
    <mergeCell ref="AF114:AM114"/>
    <mergeCell ref="AN114:AO114"/>
    <mergeCell ref="B114:F114"/>
    <mergeCell ref="G114:H114"/>
    <mergeCell ref="I114:L114"/>
    <mergeCell ref="M114:O114"/>
    <mergeCell ref="P114:S114"/>
    <mergeCell ref="T114:U114"/>
    <mergeCell ref="V114:X114"/>
    <mergeCell ref="Y115:Z115"/>
    <mergeCell ref="AA115:AC115"/>
    <mergeCell ref="AD115:AE115"/>
    <mergeCell ref="AF115:AM115"/>
    <mergeCell ref="AN115:AO115"/>
    <mergeCell ref="B115:F115"/>
    <mergeCell ref="G115:H115"/>
    <mergeCell ref="I115:L115"/>
    <mergeCell ref="M115:O115"/>
    <mergeCell ref="P115:S115"/>
    <mergeCell ref="T115:U115"/>
    <mergeCell ref="V115:X115"/>
    <mergeCell ref="Y116:Z116"/>
    <mergeCell ref="AA116:AC116"/>
    <mergeCell ref="AD116:AE116"/>
    <mergeCell ref="AF116:AM116"/>
    <mergeCell ref="AN116:AO116"/>
    <mergeCell ref="B116:F116"/>
    <mergeCell ref="G116:H116"/>
    <mergeCell ref="I116:L116"/>
    <mergeCell ref="M116:O116"/>
    <mergeCell ref="P116:S116"/>
    <mergeCell ref="T116:U116"/>
    <mergeCell ref="V116:X116"/>
    <mergeCell ref="Y117:Z117"/>
    <mergeCell ref="AA117:AC117"/>
    <mergeCell ref="AD117:AE117"/>
    <mergeCell ref="AF117:AM117"/>
    <mergeCell ref="AN117:AO117"/>
    <mergeCell ref="B117:F117"/>
    <mergeCell ref="G117:H117"/>
    <mergeCell ref="I117:L117"/>
    <mergeCell ref="M117:O117"/>
    <mergeCell ref="P117:S117"/>
    <mergeCell ref="T117:U117"/>
    <mergeCell ref="V117:X117"/>
    <mergeCell ref="Y118:Z118"/>
    <mergeCell ref="AA118:AC118"/>
    <mergeCell ref="AD118:AE118"/>
    <mergeCell ref="AF118:AM118"/>
    <mergeCell ref="AN118:AO118"/>
    <mergeCell ref="B118:F118"/>
    <mergeCell ref="G118:H118"/>
    <mergeCell ref="I118:L118"/>
    <mergeCell ref="M118:O118"/>
    <mergeCell ref="P118:S118"/>
    <mergeCell ref="T118:U118"/>
    <mergeCell ref="V118:X118"/>
    <mergeCell ref="Y119:Z119"/>
    <mergeCell ref="AA119:AC119"/>
    <mergeCell ref="AD119:AE119"/>
    <mergeCell ref="AF119:AM119"/>
    <mergeCell ref="AN119:AO119"/>
    <mergeCell ref="B119:F119"/>
    <mergeCell ref="G119:H119"/>
    <mergeCell ref="I119:L119"/>
    <mergeCell ref="M119:O119"/>
    <mergeCell ref="P119:S119"/>
    <mergeCell ref="T119:U119"/>
    <mergeCell ref="V119:X119"/>
    <mergeCell ref="Y120:Z120"/>
    <mergeCell ref="AA120:AC120"/>
    <mergeCell ref="AD120:AE120"/>
    <mergeCell ref="AF120:AM120"/>
    <mergeCell ref="AN120:AO120"/>
    <mergeCell ref="B120:F120"/>
    <mergeCell ref="G120:H120"/>
    <mergeCell ref="I120:L120"/>
    <mergeCell ref="M120:O120"/>
    <mergeCell ref="P120:S120"/>
    <mergeCell ref="T120:U120"/>
    <mergeCell ref="V120:X120"/>
    <mergeCell ref="Y121:Z121"/>
    <mergeCell ref="AA121:AC121"/>
    <mergeCell ref="AD121:AE121"/>
    <mergeCell ref="AF121:AM121"/>
    <mergeCell ref="AN121:AO121"/>
    <mergeCell ref="B121:F121"/>
    <mergeCell ref="G121:H121"/>
    <mergeCell ref="I121:L121"/>
    <mergeCell ref="M121:O121"/>
    <mergeCell ref="P121:S121"/>
    <mergeCell ref="T121:U121"/>
    <mergeCell ref="V121:X121"/>
    <mergeCell ref="Y122:Z122"/>
    <mergeCell ref="AA122:AC122"/>
    <mergeCell ref="AD122:AE122"/>
    <mergeCell ref="AF122:AM122"/>
    <mergeCell ref="AN122:AO122"/>
    <mergeCell ref="B122:F122"/>
    <mergeCell ref="G122:H122"/>
    <mergeCell ref="I122:L122"/>
    <mergeCell ref="M122:O122"/>
    <mergeCell ref="P122:S122"/>
    <mergeCell ref="T122:U122"/>
    <mergeCell ref="V122:X122"/>
    <mergeCell ref="Y123:Z123"/>
    <mergeCell ref="AA123:AC123"/>
    <mergeCell ref="AD123:AE123"/>
    <mergeCell ref="AF123:AM123"/>
    <mergeCell ref="AN123:AO123"/>
    <mergeCell ref="B123:F123"/>
    <mergeCell ref="G123:H123"/>
    <mergeCell ref="I123:L123"/>
    <mergeCell ref="M123:O123"/>
    <mergeCell ref="P123:S123"/>
    <mergeCell ref="T123:U123"/>
    <mergeCell ref="V123:X123"/>
    <mergeCell ref="Y124:Z124"/>
    <mergeCell ref="AA124:AC124"/>
    <mergeCell ref="AD124:AE124"/>
    <mergeCell ref="AF124:AM124"/>
    <mergeCell ref="AN124:AO124"/>
    <mergeCell ref="B124:F124"/>
    <mergeCell ref="G124:H124"/>
    <mergeCell ref="I124:L124"/>
    <mergeCell ref="M124:O124"/>
    <mergeCell ref="P124:S124"/>
    <mergeCell ref="T124:U124"/>
    <mergeCell ref="V124:X124"/>
    <mergeCell ref="Y125:Z125"/>
    <mergeCell ref="AA125:AC125"/>
    <mergeCell ref="AD125:AE125"/>
    <mergeCell ref="AF125:AM125"/>
    <mergeCell ref="AN125:AO125"/>
    <mergeCell ref="B125:F125"/>
    <mergeCell ref="G125:H125"/>
    <mergeCell ref="I125:L125"/>
    <mergeCell ref="M125:O125"/>
    <mergeCell ref="P125:S125"/>
    <mergeCell ref="T125:U125"/>
    <mergeCell ref="V125:X125"/>
    <mergeCell ref="Y126:Z126"/>
    <mergeCell ref="AA126:AC126"/>
    <mergeCell ref="AD126:AE126"/>
    <mergeCell ref="AF126:AM126"/>
    <mergeCell ref="AN126:AO126"/>
    <mergeCell ref="B126:F126"/>
    <mergeCell ref="G126:H126"/>
    <mergeCell ref="I126:L126"/>
    <mergeCell ref="M126:O126"/>
    <mergeCell ref="P126:S126"/>
    <mergeCell ref="T126:U126"/>
    <mergeCell ref="V126:X126"/>
    <mergeCell ref="Y127:Z127"/>
    <mergeCell ref="AA127:AC127"/>
    <mergeCell ref="AD127:AE127"/>
    <mergeCell ref="AF127:AM127"/>
    <mergeCell ref="AN127:AO127"/>
    <mergeCell ref="B127:F127"/>
    <mergeCell ref="G127:H127"/>
    <mergeCell ref="I127:L127"/>
    <mergeCell ref="M127:O127"/>
    <mergeCell ref="P127:S127"/>
    <mergeCell ref="T127:U127"/>
    <mergeCell ref="V127:X127"/>
    <mergeCell ref="Y128:Z128"/>
    <mergeCell ref="AA128:AC128"/>
    <mergeCell ref="AD128:AE128"/>
    <mergeCell ref="AF128:AM128"/>
    <mergeCell ref="AN128:AO128"/>
    <mergeCell ref="B128:F128"/>
    <mergeCell ref="G128:H128"/>
    <mergeCell ref="I128:L128"/>
    <mergeCell ref="M128:O128"/>
    <mergeCell ref="P128:S128"/>
    <mergeCell ref="T128:U128"/>
    <mergeCell ref="V128:X128"/>
    <mergeCell ref="Y129:Z129"/>
    <mergeCell ref="AA129:AC129"/>
    <mergeCell ref="AD129:AE129"/>
    <mergeCell ref="AF129:AM129"/>
    <mergeCell ref="AN129:AO129"/>
    <mergeCell ref="B129:F129"/>
    <mergeCell ref="G129:H129"/>
    <mergeCell ref="I129:L129"/>
    <mergeCell ref="M129:O129"/>
    <mergeCell ref="P129:S129"/>
    <mergeCell ref="T129:U129"/>
    <mergeCell ref="V129:X129"/>
    <mergeCell ref="Y130:Z130"/>
    <mergeCell ref="AA130:AC130"/>
    <mergeCell ref="AD130:AE130"/>
    <mergeCell ref="AF130:AM130"/>
    <mergeCell ref="AN130:AO130"/>
    <mergeCell ref="B130:F130"/>
    <mergeCell ref="G130:H130"/>
    <mergeCell ref="I130:L130"/>
    <mergeCell ref="M130:O130"/>
    <mergeCell ref="P130:S130"/>
    <mergeCell ref="T130:U130"/>
    <mergeCell ref="V130:X130"/>
    <mergeCell ref="Y131:Z131"/>
    <mergeCell ref="AA131:AC131"/>
    <mergeCell ref="AD131:AE131"/>
    <mergeCell ref="AF131:AM131"/>
    <mergeCell ref="AN131:AO131"/>
    <mergeCell ref="B131:F131"/>
    <mergeCell ref="G131:H131"/>
    <mergeCell ref="I131:L131"/>
    <mergeCell ref="M131:O131"/>
    <mergeCell ref="P131:S131"/>
    <mergeCell ref="T131:U131"/>
    <mergeCell ref="V131:X131"/>
    <mergeCell ref="Y132:Z132"/>
    <mergeCell ref="AA132:AC132"/>
    <mergeCell ref="AD132:AE132"/>
    <mergeCell ref="AF132:AM132"/>
    <mergeCell ref="AN132:AO132"/>
    <mergeCell ref="B132:F132"/>
    <mergeCell ref="G132:H132"/>
    <mergeCell ref="I132:L132"/>
    <mergeCell ref="M132:O132"/>
    <mergeCell ref="P132:S132"/>
    <mergeCell ref="T132:U132"/>
    <mergeCell ref="V132:X132"/>
    <mergeCell ref="Y133:Z133"/>
    <mergeCell ref="AA133:AC133"/>
    <mergeCell ref="AD133:AE133"/>
    <mergeCell ref="AF133:AM133"/>
    <mergeCell ref="AN133:AO133"/>
    <mergeCell ref="B133:F133"/>
    <mergeCell ref="G133:H133"/>
    <mergeCell ref="I133:L133"/>
    <mergeCell ref="M133:O133"/>
    <mergeCell ref="P133:S133"/>
    <mergeCell ref="T133:U133"/>
    <mergeCell ref="V133:X133"/>
    <mergeCell ref="Y134:Z134"/>
    <mergeCell ref="AA134:AC134"/>
    <mergeCell ref="AD134:AE134"/>
    <mergeCell ref="AF134:AM134"/>
    <mergeCell ref="AN134:AO134"/>
    <mergeCell ref="B134:F134"/>
    <mergeCell ref="G134:H134"/>
    <mergeCell ref="I134:L134"/>
    <mergeCell ref="M134:O134"/>
    <mergeCell ref="P134:S134"/>
    <mergeCell ref="T134:U134"/>
    <mergeCell ref="V134:X134"/>
    <mergeCell ref="Y135:Z135"/>
    <mergeCell ref="AA135:AC135"/>
    <mergeCell ref="AD135:AE135"/>
    <mergeCell ref="AF135:AM135"/>
    <mergeCell ref="AN135:AO135"/>
    <mergeCell ref="B135:F135"/>
    <mergeCell ref="G135:H135"/>
    <mergeCell ref="I135:L135"/>
    <mergeCell ref="M135:O135"/>
    <mergeCell ref="P135:S135"/>
    <mergeCell ref="T135:U135"/>
    <mergeCell ref="V135:X135"/>
    <mergeCell ref="Y136:Z136"/>
    <mergeCell ref="AA136:AC136"/>
    <mergeCell ref="AD136:AE136"/>
    <mergeCell ref="AF136:AM136"/>
    <mergeCell ref="AN136:AO136"/>
    <mergeCell ref="B136:F136"/>
    <mergeCell ref="G136:H136"/>
    <mergeCell ref="I136:L136"/>
    <mergeCell ref="M136:O136"/>
    <mergeCell ref="P136:S136"/>
    <mergeCell ref="T136:U136"/>
    <mergeCell ref="V136:X136"/>
    <mergeCell ref="Y137:Z137"/>
    <mergeCell ref="AA137:AC137"/>
    <mergeCell ref="AD137:AE137"/>
    <mergeCell ref="AF137:AM137"/>
    <mergeCell ref="AN137:AO137"/>
    <mergeCell ref="B137:F137"/>
    <mergeCell ref="G137:H137"/>
    <mergeCell ref="I137:L137"/>
    <mergeCell ref="M137:O137"/>
    <mergeCell ref="P137:S137"/>
    <mergeCell ref="T137:U137"/>
    <mergeCell ref="V137:X137"/>
    <mergeCell ref="Y138:Z138"/>
    <mergeCell ref="AA138:AC138"/>
    <mergeCell ref="AD138:AE138"/>
    <mergeCell ref="AF138:AM138"/>
    <mergeCell ref="AN138:AO138"/>
    <mergeCell ref="B138:F138"/>
    <mergeCell ref="G138:H138"/>
    <mergeCell ref="I138:L138"/>
    <mergeCell ref="M138:O138"/>
    <mergeCell ref="P138:S138"/>
    <mergeCell ref="T138:U138"/>
    <mergeCell ref="V138:X138"/>
    <mergeCell ref="Y139:Z139"/>
    <mergeCell ref="AA139:AC139"/>
    <mergeCell ref="AD139:AE139"/>
    <mergeCell ref="AF139:AM139"/>
    <mergeCell ref="AN139:AO139"/>
    <mergeCell ref="B139:F139"/>
    <mergeCell ref="G139:H139"/>
    <mergeCell ref="I139:L139"/>
    <mergeCell ref="M139:O139"/>
    <mergeCell ref="P139:S139"/>
    <mergeCell ref="T139:U139"/>
    <mergeCell ref="V139:X139"/>
    <mergeCell ref="Y140:Z140"/>
    <mergeCell ref="AA140:AC140"/>
    <mergeCell ref="AD140:AE140"/>
    <mergeCell ref="AF140:AM140"/>
    <mergeCell ref="AN140:AO140"/>
    <mergeCell ref="B140:F140"/>
    <mergeCell ref="G140:H140"/>
    <mergeCell ref="I140:L140"/>
    <mergeCell ref="M140:O140"/>
    <mergeCell ref="P140:S140"/>
    <mergeCell ref="T140:U140"/>
    <mergeCell ref="V140:X140"/>
    <mergeCell ref="Y141:Z141"/>
    <mergeCell ref="AA141:AC141"/>
    <mergeCell ref="AD141:AE141"/>
    <mergeCell ref="AF141:AM141"/>
    <mergeCell ref="AN141:AO141"/>
    <mergeCell ref="B141:F141"/>
    <mergeCell ref="G141:H141"/>
    <mergeCell ref="I141:L141"/>
    <mergeCell ref="M141:O141"/>
    <mergeCell ref="P141:S141"/>
    <mergeCell ref="T141:U141"/>
    <mergeCell ref="V141:X141"/>
    <mergeCell ref="Y142:Z142"/>
    <mergeCell ref="AA142:AC142"/>
    <mergeCell ref="AD142:AE142"/>
    <mergeCell ref="AF142:AM142"/>
    <mergeCell ref="AN142:AO142"/>
    <mergeCell ref="B142:F142"/>
    <mergeCell ref="G142:H142"/>
    <mergeCell ref="I142:L142"/>
    <mergeCell ref="M142:O142"/>
    <mergeCell ref="P142:S142"/>
    <mergeCell ref="T142:U142"/>
    <mergeCell ref="V142:X142"/>
    <mergeCell ref="Y143:Z143"/>
    <mergeCell ref="AA143:AC143"/>
    <mergeCell ref="AD143:AE143"/>
    <mergeCell ref="AF143:AM143"/>
    <mergeCell ref="AN143:AO143"/>
    <mergeCell ref="B143:F143"/>
    <mergeCell ref="G143:H143"/>
    <mergeCell ref="I143:L143"/>
    <mergeCell ref="M143:O143"/>
    <mergeCell ref="P143:S143"/>
    <mergeCell ref="T143:U143"/>
    <mergeCell ref="V143:X143"/>
    <mergeCell ref="Y144:Z144"/>
    <mergeCell ref="AA144:AC144"/>
    <mergeCell ref="AD144:AE144"/>
    <mergeCell ref="AF144:AM144"/>
    <mergeCell ref="AN144:AO144"/>
    <mergeCell ref="B144:F144"/>
    <mergeCell ref="G144:H144"/>
    <mergeCell ref="I144:L144"/>
    <mergeCell ref="M144:O144"/>
    <mergeCell ref="P144:S144"/>
    <mergeCell ref="T144:U144"/>
    <mergeCell ref="V144:X144"/>
    <mergeCell ref="Y145:Z145"/>
    <mergeCell ref="AA145:AC145"/>
    <mergeCell ref="AD145:AE145"/>
    <mergeCell ref="AF145:AM145"/>
    <mergeCell ref="AN145:AO145"/>
    <mergeCell ref="B145:F145"/>
    <mergeCell ref="G145:H145"/>
    <mergeCell ref="I145:L145"/>
    <mergeCell ref="M145:O145"/>
    <mergeCell ref="P145:S145"/>
    <mergeCell ref="T145:U145"/>
    <mergeCell ref="V145:X145"/>
    <mergeCell ref="Y146:Z146"/>
    <mergeCell ref="AA146:AC146"/>
    <mergeCell ref="AD146:AE146"/>
    <mergeCell ref="AF146:AM146"/>
    <mergeCell ref="AN146:AO146"/>
    <mergeCell ref="B146:F146"/>
    <mergeCell ref="G146:H146"/>
    <mergeCell ref="I146:L146"/>
    <mergeCell ref="M146:O146"/>
    <mergeCell ref="P146:S146"/>
    <mergeCell ref="T146:U146"/>
    <mergeCell ref="V146:X146"/>
    <mergeCell ref="Y147:Z147"/>
    <mergeCell ref="AA147:AC147"/>
    <mergeCell ref="AD147:AE147"/>
    <mergeCell ref="AF147:AM147"/>
    <mergeCell ref="AN147:AO147"/>
    <mergeCell ref="B147:F147"/>
    <mergeCell ref="G147:H147"/>
    <mergeCell ref="I147:L147"/>
    <mergeCell ref="M147:O147"/>
    <mergeCell ref="P147:S147"/>
    <mergeCell ref="T147:U147"/>
    <mergeCell ref="V147:X147"/>
    <mergeCell ref="Y148:Z148"/>
    <mergeCell ref="AA148:AC148"/>
    <mergeCell ref="AD148:AE148"/>
    <mergeCell ref="AF148:AM148"/>
    <mergeCell ref="AN148:AO148"/>
    <mergeCell ref="B148:F148"/>
    <mergeCell ref="G148:H148"/>
    <mergeCell ref="I148:L148"/>
    <mergeCell ref="M148:O148"/>
    <mergeCell ref="P148:S148"/>
    <mergeCell ref="T148:U148"/>
    <mergeCell ref="V148:X148"/>
    <mergeCell ref="Y149:Z149"/>
    <mergeCell ref="AA149:AC149"/>
    <mergeCell ref="AD149:AE149"/>
    <mergeCell ref="AF149:AM149"/>
    <mergeCell ref="AN149:AO149"/>
    <mergeCell ref="B149:F149"/>
    <mergeCell ref="G149:H149"/>
    <mergeCell ref="I149:L149"/>
    <mergeCell ref="M149:O149"/>
    <mergeCell ref="P149:S149"/>
    <mergeCell ref="T149:U149"/>
    <mergeCell ref="V149:X149"/>
    <mergeCell ref="Y150:Z150"/>
    <mergeCell ref="AA150:AC150"/>
    <mergeCell ref="AD150:AE150"/>
    <mergeCell ref="AF150:AM150"/>
    <mergeCell ref="AN150:AO150"/>
    <mergeCell ref="B150:F150"/>
    <mergeCell ref="G150:H150"/>
    <mergeCell ref="I150:L150"/>
    <mergeCell ref="M150:O150"/>
    <mergeCell ref="P150:S150"/>
    <mergeCell ref="T150:U150"/>
    <mergeCell ref="V150:X150"/>
    <mergeCell ref="Y151:Z151"/>
    <mergeCell ref="AA151:AC151"/>
    <mergeCell ref="AD151:AE151"/>
    <mergeCell ref="AF151:AM151"/>
    <mergeCell ref="AN151:AO151"/>
    <mergeCell ref="B151:F151"/>
    <mergeCell ref="G151:H151"/>
    <mergeCell ref="I151:L151"/>
    <mergeCell ref="M151:O151"/>
    <mergeCell ref="P151:S151"/>
    <mergeCell ref="T151:U151"/>
    <mergeCell ref="V151:X151"/>
    <mergeCell ref="Y152:Z152"/>
    <mergeCell ref="AA152:AC152"/>
    <mergeCell ref="AD152:AE152"/>
    <mergeCell ref="AF152:AM152"/>
    <mergeCell ref="AN152:AO152"/>
    <mergeCell ref="B152:F152"/>
    <mergeCell ref="G152:H152"/>
    <mergeCell ref="I152:L152"/>
    <mergeCell ref="M152:O152"/>
    <mergeCell ref="P152:S152"/>
    <mergeCell ref="T152:U152"/>
    <mergeCell ref="V152:X152"/>
    <mergeCell ref="Y153:Z153"/>
    <mergeCell ref="AA153:AC153"/>
    <mergeCell ref="AD153:AE153"/>
    <mergeCell ref="AF153:AM153"/>
    <mergeCell ref="AN153:AO153"/>
    <mergeCell ref="B153:F153"/>
    <mergeCell ref="G153:H153"/>
    <mergeCell ref="I153:L153"/>
    <mergeCell ref="M153:O153"/>
    <mergeCell ref="P153:S153"/>
    <mergeCell ref="T153:U153"/>
    <mergeCell ref="V153:X153"/>
    <mergeCell ref="Y154:Z154"/>
    <mergeCell ref="AA154:AC154"/>
    <mergeCell ref="AD154:AE154"/>
    <mergeCell ref="AF154:AM154"/>
    <mergeCell ref="AN154:AO154"/>
    <mergeCell ref="B154:F154"/>
    <mergeCell ref="G154:H154"/>
    <mergeCell ref="I154:L154"/>
    <mergeCell ref="M154:O154"/>
    <mergeCell ref="P154:S154"/>
    <mergeCell ref="T154:U154"/>
    <mergeCell ref="V154:X154"/>
  </mergeCells>
  <conditionalFormatting sqref="G84:AO201">
    <cfRule type="expression" dxfId="43" priority="1">
      <formula>and($B84&lt;&gt;"",G84="")</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16"/>
      <c r="B1" s="517"/>
      <c r="C1" s="517"/>
      <c r="D1" s="517"/>
      <c r="E1" s="517"/>
      <c r="F1" s="517"/>
      <c r="G1" s="517"/>
      <c r="H1" s="518"/>
      <c r="I1" s="518"/>
      <c r="J1" s="518"/>
      <c r="K1" s="518"/>
      <c r="L1" s="517"/>
      <c r="M1" s="517"/>
      <c r="N1" s="517"/>
      <c r="O1" s="519" t="str">
        <f>IMAGE("http://i.imgur.com/4gaCjL0.png",2)</f>
        <v/>
      </c>
      <c r="P1" s="520" t="str">
        <f>IMAGE("https://i.imgur.com/IxRRFOd.png",2)</f>
        <v/>
      </c>
      <c r="AB1" s="521" t="str">
        <f>IMAGE("http://i.imgur.com/GYlWKEy.png",2)</f>
        <v/>
      </c>
      <c r="AC1" s="518"/>
      <c r="AD1" s="518"/>
      <c r="AE1" s="517"/>
      <c r="AF1" s="517"/>
      <c r="AG1" s="517"/>
      <c r="AH1" s="517"/>
      <c r="AI1" s="518"/>
      <c r="AJ1" s="517"/>
      <c r="AK1" s="517"/>
      <c r="AL1" s="517"/>
      <c r="AM1" s="517"/>
      <c r="AN1" s="522"/>
      <c r="AO1" s="522"/>
      <c r="AP1" s="516"/>
    </row>
    <row r="2" ht="15.75" customHeight="1">
      <c r="A2" s="516"/>
      <c r="B2" s="524" t="str">
        <f>IMAGE("http://i.imgur.com/txQSaWP.png",4,20,400)</f>
        <v/>
      </c>
      <c r="P2" s="525" t="s">
        <v>502</v>
      </c>
      <c r="Q2" s="25"/>
      <c r="R2" s="25"/>
      <c r="S2" s="25"/>
      <c r="T2" s="25"/>
      <c r="U2" s="25"/>
      <c r="V2" s="25"/>
      <c r="W2" s="25"/>
      <c r="X2" s="25"/>
      <c r="Y2" s="25"/>
      <c r="Z2" s="25"/>
      <c r="AA2" s="25"/>
      <c r="AC2" s="526" t="str">
        <f>IMAGE("http://i.imgur.com/txQSaWP.png",4,20,400)</f>
        <v/>
      </c>
      <c r="AP2" s="550"/>
    </row>
    <row r="3" ht="15.75" customHeight="1">
      <c r="A3" s="516"/>
      <c r="B3" s="528" t="s">
        <v>503</v>
      </c>
      <c r="P3" s="31"/>
      <c r="Q3" s="31"/>
      <c r="R3" s="31"/>
      <c r="S3" s="31"/>
      <c r="T3" s="31"/>
      <c r="U3" s="31"/>
      <c r="V3" s="31"/>
      <c r="W3" s="31"/>
      <c r="X3" s="31"/>
      <c r="Y3" s="31"/>
      <c r="Z3" s="31"/>
      <c r="AA3" s="31"/>
      <c r="AC3" s="529" t="s">
        <v>504</v>
      </c>
      <c r="AO3" s="11"/>
      <c r="AP3" s="516"/>
    </row>
    <row r="4" ht="15.75" customHeight="1">
      <c r="A4" s="516"/>
      <c r="B4" s="27"/>
      <c r="P4" s="522" t="str">
        <f>IMAGE("http://i.imgur.com/7WHiYi1.png",2)</f>
        <v/>
      </c>
      <c r="AO4" s="11"/>
      <c r="AP4" s="516"/>
    </row>
    <row r="5" ht="15.75" customHeight="1">
      <c r="A5" s="516"/>
      <c r="B5" s="551" t="s">
        <v>505</v>
      </c>
      <c r="C5" s="531"/>
      <c r="D5" s="531"/>
      <c r="E5" s="531"/>
      <c r="F5" s="531"/>
      <c r="G5" s="531"/>
      <c r="H5" s="552" t="s">
        <v>506</v>
      </c>
      <c r="I5" s="531"/>
      <c r="J5" s="552" t="s">
        <v>507</v>
      </c>
      <c r="K5" s="531"/>
      <c r="L5" s="531"/>
      <c r="M5" s="552" t="s">
        <v>508</v>
      </c>
      <c r="N5" s="531"/>
      <c r="O5" s="531"/>
      <c r="P5" s="531"/>
      <c r="Q5" s="531"/>
      <c r="R5" s="552" t="s">
        <v>509</v>
      </c>
      <c r="S5" s="531"/>
      <c r="T5" s="531"/>
      <c r="U5" s="552" t="s">
        <v>510</v>
      </c>
      <c r="V5" s="531"/>
      <c r="W5" s="531"/>
      <c r="X5" s="531"/>
      <c r="Y5" s="552" t="s">
        <v>376</v>
      </c>
      <c r="Z5" s="531"/>
      <c r="AA5" s="531"/>
      <c r="AB5" s="531"/>
      <c r="AC5" s="552" t="s">
        <v>511</v>
      </c>
      <c r="AD5" s="531"/>
      <c r="AE5" s="531"/>
      <c r="AF5" s="552" t="s">
        <v>512</v>
      </c>
      <c r="AG5" s="531"/>
      <c r="AH5" s="552" t="s">
        <v>513</v>
      </c>
      <c r="AI5" s="531"/>
      <c r="AJ5" s="552" t="s">
        <v>514</v>
      </c>
      <c r="AK5" s="531"/>
      <c r="AL5" s="531"/>
      <c r="AM5" s="531"/>
      <c r="AN5" s="531"/>
      <c r="AO5" s="533"/>
    </row>
    <row r="6" ht="15.75" customHeight="1">
      <c r="A6" s="516"/>
      <c r="B6" s="534"/>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c r="AM6" s="535"/>
      <c r="AN6" s="535"/>
      <c r="AO6" s="536"/>
    </row>
    <row r="7" ht="15.75" customHeight="1">
      <c r="A7" s="516"/>
      <c r="B7" s="537" t="s">
        <v>515</v>
      </c>
      <c r="H7" s="538">
        <v>1.0</v>
      </c>
      <c r="J7" s="538" t="s">
        <v>32</v>
      </c>
      <c r="M7" s="538" t="s">
        <v>516</v>
      </c>
      <c r="R7" s="538" t="s">
        <v>32</v>
      </c>
      <c r="U7" s="538" t="s">
        <v>517</v>
      </c>
      <c r="Y7" s="538" t="s">
        <v>32</v>
      </c>
      <c r="AC7" s="538" t="s">
        <v>32</v>
      </c>
      <c r="AF7" s="538" t="s">
        <v>32</v>
      </c>
      <c r="AH7" s="538" t="s">
        <v>32</v>
      </c>
      <c r="AJ7" s="538" t="s">
        <v>32</v>
      </c>
      <c r="AO7" s="540"/>
    </row>
    <row r="8" ht="15.75" customHeight="1">
      <c r="A8" s="516"/>
      <c r="B8" s="541" t="s">
        <v>518</v>
      </c>
      <c r="H8" s="542">
        <v>1.0</v>
      </c>
      <c r="J8" s="542" t="s">
        <v>32</v>
      </c>
      <c r="M8" s="542" t="s">
        <v>516</v>
      </c>
      <c r="R8" s="542" t="s">
        <v>32</v>
      </c>
      <c r="U8" s="542" t="s">
        <v>32</v>
      </c>
      <c r="Y8" s="542" t="s">
        <v>32</v>
      </c>
      <c r="AC8" s="542" t="s">
        <v>32</v>
      </c>
      <c r="AF8" s="542" t="s">
        <v>32</v>
      </c>
      <c r="AH8" s="542" t="s">
        <v>32</v>
      </c>
      <c r="AJ8" s="542" t="s">
        <v>32</v>
      </c>
      <c r="AO8" s="544"/>
    </row>
    <row r="9" ht="15.75" customHeight="1">
      <c r="A9" s="516"/>
      <c r="B9" s="537" t="s">
        <v>519</v>
      </c>
      <c r="H9" s="538">
        <v>2.0</v>
      </c>
      <c r="J9" s="538" t="s">
        <v>32</v>
      </c>
      <c r="M9" s="538" t="s">
        <v>516</v>
      </c>
      <c r="R9" s="538" t="s">
        <v>32</v>
      </c>
      <c r="U9" s="538" t="s">
        <v>32</v>
      </c>
      <c r="Y9" s="538" t="s">
        <v>32</v>
      </c>
      <c r="AC9" s="538" t="s">
        <v>32</v>
      </c>
      <c r="AF9" s="538" t="s">
        <v>32</v>
      </c>
      <c r="AH9" s="538" t="s">
        <v>32</v>
      </c>
      <c r="AJ9" s="538" t="s">
        <v>32</v>
      </c>
      <c r="AO9" s="540"/>
    </row>
    <row r="10" ht="15.75" customHeight="1">
      <c r="A10" s="516"/>
      <c r="B10" s="541" t="s">
        <v>520</v>
      </c>
      <c r="H10" s="542">
        <v>2.0</v>
      </c>
      <c r="J10" s="542">
        <f>if(isnumber(find("medium armor master",feats)),3,2)</f>
        <v>2</v>
      </c>
      <c r="M10" s="542" t="s">
        <v>521</v>
      </c>
      <c r="R10" s="542" t="s">
        <v>32</v>
      </c>
      <c r="U10" s="542" t="s">
        <v>32</v>
      </c>
      <c r="Y10" s="542" t="s">
        <v>32</v>
      </c>
      <c r="AC10" s="542" t="s">
        <v>32</v>
      </c>
      <c r="AF10" s="542" t="s">
        <v>32</v>
      </c>
      <c r="AH10" s="542" t="s">
        <v>32</v>
      </c>
      <c r="AJ10" s="542" t="s">
        <v>32</v>
      </c>
      <c r="AO10" s="544"/>
    </row>
    <row r="11" ht="15.75" customHeight="1">
      <c r="A11" s="516"/>
      <c r="B11" s="537" t="s">
        <v>522</v>
      </c>
      <c r="H11" s="538">
        <v>3.0</v>
      </c>
      <c r="J11" s="538">
        <f>if(isnumber(find("medium armor master",feats)),3,2)</f>
        <v>2</v>
      </c>
      <c r="M11" s="538" t="s">
        <v>521</v>
      </c>
      <c r="R11" s="538" t="s">
        <v>32</v>
      </c>
      <c r="U11" s="538" t="s">
        <v>32</v>
      </c>
      <c r="Y11" s="538" t="s">
        <v>32</v>
      </c>
      <c r="AC11" s="538" t="s">
        <v>32</v>
      </c>
      <c r="AF11" s="538" t="s">
        <v>32</v>
      </c>
      <c r="AH11" s="538" t="s">
        <v>32</v>
      </c>
      <c r="AJ11" s="538" t="s">
        <v>32</v>
      </c>
      <c r="AO11" s="540"/>
    </row>
    <row r="12" ht="15.75" customHeight="1">
      <c r="A12" s="516"/>
      <c r="B12" s="541" t="s">
        <v>523</v>
      </c>
      <c r="H12" s="542">
        <v>4.0</v>
      </c>
      <c r="J12" s="542">
        <f>if(isnumber(find("medium armor master",feats)),3,2)</f>
        <v>2</v>
      </c>
      <c r="M12" s="542" t="s">
        <v>521</v>
      </c>
      <c r="R12" s="542" t="s">
        <v>32</v>
      </c>
      <c r="U12" s="542" t="s">
        <v>517</v>
      </c>
      <c r="Y12" s="542" t="s">
        <v>32</v>
      </c>
      <c r="AC12" s="542" t="s">
        <v>32</v>
      </c>
      <c r="AF12" s="542" t="s">
        <v>32</v>
      </c>
      <c r="AH12" s="542" t="s">
        <v>32</v>
      </c>
      <c r="AJ12" s="542" t="s">
        <v>32</v>
      </c>
      <c r="AO12" s="544"/>
    </row>
    <row r="13" ht="15.75" customHeight="1">
      <c r="A13" s="516"/>
      <c r="B13" s="537" t="s">
        <v>524</v>
      </c>
      <c r="H13" s="538">
        <v>4.0</v>
      </c>
      <c r="J13" s="538">
        <f>if(isnumber(find("medium armor master",feats)),3,2)</f>
        <v>2</v>
      </c>
      <c r="M13" s="538" t="s">
        <v>521</v>
      </c>
      <c r="R13" s="538" t="s">
        <v>32</v>
      </c>
      <c r="U13" s="538" t="s">
        <v>32</v>
      </c>
      <c r="Y13" s="538" t="s">
        <v>32</v>
      </c>
      <c r="AC13" s="538" t="s">
        <v>32</v>
      </c>
      <c r="AF13" s="538" t="s">
        <v>32</v>
      </c>
      <c r="AH13" s="538" t="s">
        <v>32</v>
      </c>
      <c r="AJ13" s="538" t="s">
        <v>32</v>
      </c>
      <c r="AO13" s="540"/>
    </row>
    <row r="14" ht="15.75" customHeight="1">
      <c r="A14" s="516"/>
      <c r="B14" s="541" t="s">
        <v>525</v>
      </c>
      <c r="H14" s="542">
        <v>5.0</v>
      </c>
      <c r="J14" s="542">
        <f>if(isnumber(find("medium armor master",feats)),3,2)</f>
        <v>2</v>
      </c>
      <c r="M14" s="542" t="s">
        <v>521</v>
      </c>
      <c r="R14" s="542" t="s">
        <v>32</v>
      </c>
      <c r="U14" s="542" t="s">
        <v>517</v>
      </c>
      <c r="Y14" s="542" t="s">
        <v>32</v>
      </c>
      <c r="AC14" s="542" t="s">
        <v>32</v>
      </c>
      <c r="AF14" s="542" t="s">
        <v>32</v>
      </c>
      <c r="AH14" s="542" t="s">
        <v>32</v>
      </c>
      <c r="AJ14" s="542" t="s">
        <v>32</v>
      </c>
      <c r="AO14" s="544"/>
    </row>
    <row r="15" ht="15.75" customHeight="1">
      <c r="A15" s="516"/>
      <c r="B15" s="537" t="s">
        <v>526</v>
      </c>
      <c r="H15" s="538">
        <v>4.0</v>
      </c>
      <c r="J15" s="538">
        <v>0.0</v>
      </c>
      <c r="M15" s="538" t="s">
        <v>527</v>
      </c>
      <c r="R15" s="538" t="s">
        <v>32</v>
      </c>
      <c r="U15" s="538" t="s">
        <v>517</v>
      </c>
      <c r="Y15" s="538" t="s">
        <v>32</v>
      </c>
      <c r="AC15" s="538" t="s">
        <v>32</v>
      </c>
      <c r="AF15" s="538" t="s">
        <v>32</v>
      </c>
      <c r="AH15" s="538" t="s">
        <v>32</v>
      </c>
      <c r="AJ15" s="538" t="s">
        <v>32</v>
      </c>
      <c r="AO15" s="540"/>
    </row>
    <row r="16" ht="15.75" customHeight="1">
      <c r="A16" s="516"/>
      <c r="B16" s="541" t="s">
        <v>528</v>
      </c>
      <c r="H16" s="542">
        <v>6.0</v>
      </c>
      <c r="J16" s="542">
        <v>0.0</v>
      </c>
      <c r="M16" s="542" t="s">
        <v>527</v>
      </c>
      <c r="R16" s="542">
        <v>13.0</v>
      </c>
      <c r="U16" s="542" t="s">
        <v>517</v>
      </c>
      <c r="Y16" s="542" t="s">
        <v>32</v>
      </c>
      <c r="AC16" s="542" t="s">
        <v>32</v>
      </c>
      <c r="AF16" s="542" t="s">
        <v>32</v>
      </c>
      <c r="AH16" s="542" t="s">
        <v>32</v>
      </c>
      <c r="AJ16" s="542" t="s">
        <v>32</v>
      </c>
      <c r="AO16" s="544"/>
    </row>
    <row r="17" ht="15.75" customHeight="1">
      <c r="A17" s="516"/>
      <c r="B17" s="537" t="s">
        <v>529</v>
      </c>
      <c r="H17" s="538">
        <v>7.0</v>
      </c>
      <c r="J17" s="538">
        <v>0.0</v>
      </c>
      <c r="M17" s="538" t="s">
        <v>527</v>
      </c>
      <c r="R17" s="538">
        <v>15.0</v>
      </c>
      <c r="U17" s="538" t="s">
        <v>517</v>
      </c>
      <c r="Y17" s="538" t="s">
        <v>32</v>
      </c>
      <c r="AC17" s="538" t="s">
        <v>32</v>
      </c>
      <c r="AF17" s="538" t="s">
        <v>32</v>
      </c>
      <c r="AH17" s="538" t="s">
        <v>32</v>
      </c>
      <c r="AJ17" s="538" t="s">
        <v>32</v>
      </c>
      <c r="AO17" s="540"/>
    </row>
    <row r="18" ht="15.75" customHeight="1">
      <c r="A18" s="516"/>
      <c r="B18" s="541" t="s">
        <v>530</v>
      </c>
      <c r="H18" s="542">
        <v>8.0</v>
      </c>
      <c r="J18" s="542">
        <v>0.0</v>
      </c>
      <c r="M18" s="542" t="s">
        <v>527</v>
      </c>
      <c r="R18" s="542">
        <v>15.0</v>
      </c>
      <c r="U18" s="542" t="s">
        <v>517</v>
      </c>
      <c r="Y18" s="542" t="s">
        <v>32</v>
      </c>
      <c r="AC18" s="542" t="s">
        <v>32</v>
      </c>
      <c r="AF18" s="542" t="s">
        <v>32</v>
      </c>
      <c r="AH18" s="542" t="s">
        <v>32</v>
      </c>
      <c r="AJ18" s="542" t="s">
        <v>32</v>
      </c>
      <c r="AO18" s="544"/>
    </row>
    <row r="19" ht="15.75" customHeight="1">
      <c r="A19" s="516"/>
      <c r="B19" s="537" t="s">
        <v>531</v>
      </c>
      <c r="H19" s="538">
        <v>2.0</v>
      </c>
      <c r="J19" s="538" t="s">
        <v>32</v>
      </c>
      <c r="M19" s="538" t="s">
        <v>531</v>
      </c>
      <c r="R19" s="538" t="s">
        <v>32</v>
      </c>
      <c r="U19" s="538" t="s">
        <v>32</v>
      </c>
      <c r="Y19" s="538" t="s">
        <v>32</v>
      </c>
      <c r="AC19" s="538" t="s">
        <v>32</v>
      </c>
      <c r="AF19" s="538" t="s">
        <v>32</v>
      </c>
      <c r="AH19" s="538" t="s">
        <v>32</v>
      </c>
      <c r="AJ19" s="538" t="s">
        <v>32</v>
      </c>
      <c r="AO19" s="540"/>
    </row>
    <row r="20" ht="15.75" customHeight="1">
      <c r="A20" s="516"/>
      <c r="B20" s="541" t="s">
        <v>532</v>
      </c>
      <c r="H20" s="542">
        <v>0.0</v>
      </c>
      <c r="J20" s="542" t="s">
        <v>32</v>
      </c>
      <c r="M20" s="542" t="s">
        <v>533</v>
      </c>
      <c r="R20" s="542" t="s">
        <v>32</v>
      </c>
      <c r="U20" s="542" t="s">
        <v>32</v>
      </c>
      <c r="Y20" s="542" t="s">
        <v>32</v>
      </c>
      <c r="AC20" s="542" t="s">
        <v>32</v>
      </c>
      <c r="AF20" s="542" t="s">
        <v>32</v>
      </c>
      <c r="AH20" s="542" t="s">
        <v>32</v>
      </c>
      <c r="AJ20" s="542" t="s">
        <v>32</v>
      </c>
      <c r="AO20" s="544"/>
    </row>
    <row r="21" ht="15.75" customHeight="1">
      <c r="A21" s="516"/>
      <c r="B21" s="537" t="s">
        <v>534</v>
      </c>
      <c r="H21" s="538">
        <v>0.0</v>
      </c>
      <c r="J21" s="538" t="s">
        <v>32</v>
      </c>
      <c r="M21" s="538" t="s">
        <v>533</v>
      </c>
      <c r="R21" s="538" t="s">
        <v>32</v>
      </c>
      <c r="U21" s="538" t="s">
        <v>32</v>
      </c>
      <c r="Y21" s="538" t="s">
        <v>32</v>
      </c>
      <c r="AC21" s="538" t="s">
        <v>32</v>
      </c>
      <c r="AF21" s="538" t="s">
        <v>32</v>
      </c>
      <c r="AH21" s="538" t="s">
        <v>32</v>
      </c>
      <c r="AJ21" s="538" t="s">
        <v>32</v>
      </c>
      <c r="AO21" s="540"/>
    </row>
    <row r="22" ht="15.75" customHeight="1">
      <c r="A22" s="516"/>
      <c r="B22" s="541" t="s">
        <v>535</v>
      </c>
      <c r="H22" s="542">
        <v>0.0</v>
      </c>
      <c r="J22" s="542" t="s">
        <v>32</v>
      </c>
      <c r="M22" s="542" t="s">
        <v>533</v>
      </c>
      <c r="R22" s="542" t="s">
        <v>32</v>
      </c>
      <c r="U22" s="542" t="s">
        <v>32</v>
      </c>
      <c r="Y22" s="542" t="s">
        <v>32</v>
      </c>
      <c r="AC22" s="542" t="s">
        <v>32</v>
      </c>
      <c r="AF22" s="542" t="s">
        <v>32</v>
      </c>
      <c r="AH22" s="542" t="s">
        <v>32</v>
      </c>
      <c r="AJ22" s="542" t="s">
        <v>32</v>
      </c>
      <c r="AO22" s="544"/>
    </row>
    <row r="23" ht="15.75" customHeight="1">
      <c r="A23" s="516"/>
      <c r="B23" s="537" t="s">
        <v>536</v>
      </c>
      <c r="H23" s="538">
        <v>0.0</v>
      </c>
      <c r="J23" s="538" t="s">
        <v>32</v>
      </c>
      <c r="M23" s="538" t="s">
        <v>533</v>
      </c>
      <c r="R23" s="538" t="s">
        <v>32</v>
      </c>
      <c r="U23" s="538" t="s">
        <v>32</v>
      </c>
      <c r="Y23" s="538" t="s">
        <v>32</v>
      </c>
      <c r="AC23" s="538" t="s">
        <v>32</v>
      </c>
      <c r="AF23" s="538" t="s">
        <v>32</v>
      </c>
      <c r="AH23" s="538" t="s">
        <v>32</v>
      </c>
      <c r="AJ23" s="538" t="s">
        <v>32</v>
      </c>
      <c r="AO23" s="540"/>
    </row>
    <row r="24" ht="15.75" customHeight="1">
      <c r="A24" s="516"/>
      <c r="B24" s="541" t="s">
        <v>537</v>
      </c>
      <c r="H24" s="542">
        <v>0.0</v>
      </c>
      <c r="J24" s="542" t="s">
        <v>32</v>
      </c>
      <c r="M24" s="542" t="s">
        <v>533</v>
      </c>
      <c r="R24" s="542" t="s">
        <v>32</v>
      </c>
      <c r="U24" s="542" t="s">
        <v>32</v>
      </c>
      <c r="Y24" s="542" t="s">
        <v>32</v>
      </c>
      <c r="AC24" s="542" t="s">
        <v>32</v>
      </c>
      <c r="AF24" s="542" t="s">
        <v>32</v>
      </c>
      <c r="AH24" s="542" t="s">
        <v>32</v>
      </c>
      <c r="AJ24" s="542" t="s">
        <v>32</v>
      </c>
      <c r="AO24" s="544"/>
    </row>
    <row r="25" ht="15.75" customHeight="1">
      <c r="A25" s="516"/>
      <c r="B25" s="537" t="s">
        <v>538</v>
      </c>
      <c r="H25" s="538">
        <v>0.0</v>
      </c>
      <c r="J25" s="538" t="s">
        <v>32</v>
      </c>
      <c r="M25" s="538" t="s">
        <v>533</v>
      </c>
      <c r="R25" s="538" t="s">
        <v>32</v>
      </c>
      <c r="U25" s="538" t="s">
        <v>32</v>
      </c>
      <c r="Y25" s="538" t="s">
        <v>32</v>
      </c>
      <c r="AC25" s="538" t="s">
        <v>32</v>
      </c>
      <c r="AF25" s="538" t="s">
        <v>32</v>
      </c>
      <c r="AH25" s="538" t="s">
        <v>32</v>
      </c>
      <c r="AJ25" s="538" t="s">
        <v>32</v>
      </c>
      <c r="AO25" s="540"/>
    </row>
    <row r="26" ht="15.75" customHeight="1">
      <c r="A26" s="516"/>
      <c r="B26" s="541"/>
      <c r="H26" s="542"/>
      <c r="J26" s="542"/>
      <c r="M26" s="542"/>
      <c r="R26" s="542"/>
      <c r="U26" s="542"/>
      <c r="Y26" s="542"/>
      <c r="AC26" s="542"/>
      <c r="AF26" s="542"/>
      <c r="AH26" s="542"/>
      <c r="AJ26" s="542"/>
      <c r="AO26" s="544"/>
    </row>
    <row r="27" ht="15.75" customHeight="1">
      <c r="A27" s="516"/>
      <c r="B27" s="537"/>
      <c r="H27" s="538"/>
      <c r="J27" s="538"/>
      <c r="M27" s="538"/>
      <c r="R27" s="538"/>
      <c r="U27" s="538"/>
      <c r="Y27" s="538"/>
      <c r="AC27" s="538"/>
      <c r="AF27" s="538"/>
      <c r="AH27" s="538"/>
      <c r="AJ27" s="538"/>
      <c r="AO27" s="540"/>
    </row>
    <row r="28" ht="15.75" customHeight="1">
      <c r="A28" s="516"/>
      <c r="B28" s="541"/>
      <c r="H28" s="542"/>
      <c r="J28" s="542"/>
      <c r="M28" s="542"/>
      <c r="R28" s="542"/>
      <c r="U28" s="542"/>
      <c r="Y28" s="542"/>
      <c r="AC28" s="542"/>
      <c r="AF28" s="542"/>
      <c r="AH28" s="542"/>
      <c r="AJ28" s="542"/>
      <c r="AO28" s="544"/>
    </row>
    <row r="29" ht="15.75" customHeight="1">
      <c r="A29" s="516"/>
      <c r="B29" s="537"/>
      <c r="H29" s="538"/>
      <c r="J29" s="538"/>
      <c r="M29" s="538"/>
      <c r="R29" s="538"/>
      <c r="U29" s="538"/>
      <c r="Y29" s="538"/>
      <c r="AC29" s="538"/>
      <c r="AF29" s="538"/>
      <c r="AH29" s="538"/>
      <c r="AJ29" s="538"/>
      <c r="AO29" s="540"/>
    </row>
    <row r="30" ht="15.75" customHeight="1">
      <c r="A30" s="516"/>
      <c r="B30" s="541"/>
      <c r="H30" s="542"/>
      <c r="J30" s="542"/>
      <c r="M30" s="542"/>
      <c r="R30" s="542"/>
      <c r="U30" s="542"/>
      <c r="Y30" s="542"/>
      <c r="AC30" s="542"/>
      <c r="AF30" s="542"/>
      <c r="AH30" s="542"/>
      <c r="AJ30" s="542"/>
      <c r="AO30" s="544"/>
    </row>
    <row r="31" ht="15.75" customHeight="1">
      <c r="A31" s="516"/>
      <c r="B31" s="537"/>
      <c r="H31" s="538"/>
      <c r="J31" s="538"/>
      <c r="M31" s="538"/>
      <c r="R31" s="538"/>
      <c r="U31" s="538"/>
      <c r="Y31" s="538"/>
      <c r="AC31" s="538"/>
      <c r="AF31" s="538"/>
      <c r="AH31" s="538"/>
      <c r="AJ31" s="538"/>
      <c r="AO31" s="540"/>
    </row>
    <row r="32" ht="15.75" customHeight="1">
      <c r="A32" s="516"/>
      <c r="B32" s="541"/>
      <c r="H32" s="542"/>
      <c r="J32" s="542"/>
      <c r="M32" s="542"/>
      <c r="R32" s="542"/>
      <c r="U32" s="542"/>
      <c r="Y32" s="542"/>
      <c r="AC32" s="542"/>
      <c r="AF32" s="542"/>
      <c r="AH32" s="542"/>
      <c r="AJ32" s="542"/>
      <c r="AO32" s="544"/>
    </row>
    <row r="33" ht="15.75" customHeight="1">
      <c r="A33" s="516"/>
      <c r="B33" s="537"/>
      <c r="H33" s="538"/>
      <c r="J33" s="538"/>
      <c r="M33" s="538"/>
      <c r="R33" s="538"/>
      <c r="U33" s="538"/>
      <c r="Y33" s="538"/>
      <c r="AC33" s="538"/>
      <c r="AF33" s="538"/>
      <c r="AH33" s="538"/>
      <c r="AJ33" s="538"/>
      <c r="AO33" s="540"/>
    </row>
    <row r="34" ht="15.75" customHeight="1">
      <c r="A34" s="516"/>
      <c r="B34" s="541"/>
      <c r="H34" s="542"/>
      <c r="J34" s="542"/>
      <c r="M34" s="542"/>
      <c r="R34" s="542"/>
      <c r="U34" s="542"/>
      <c r="Y34" s="542"/>
      <c r="AC34" s="542"/>
      <c r="AF34" s="542"/>
      <c r="AH34" s="542"/>
      <c r="AJ34" s="542"/>
      <c r="AO34" s="544"/>
    </row>
    <row r="35" ht="15.75" customHeight="1">
      <c r="A35" s="516"/>
      <c r="B35" s="537"/>
      <c r="H35" s="538"/>
      <c r="J35" s="538"/>
      <c r="M35" s="538"/>
      <c r="R35" s="538"/>
      <c r="U35" s="538"/>
      <c r="Y35" s="538"/>
      <c r="AC35" s="538"/>
      <c r="AF35" s="538"/>
      <c r="AH35" s="538"/>
      <c r="AJ35" s="538"/>
      <c r="AO35" s="540"/>
    </row>
    <row r="36" ht="15.75" customHeight="1">
      <c r="A36" s="516"/>
      <c r="B36" s="541"/>
      <c r="H36" s="542"/>
      <c r="J36" s="542"/>
      <c r="M36" s="542"/>
      <c r="R36" s="542"/>
      <c r="U36" s="542"/>
      <c r="Y36" s="542"/>
      <c r="AC36" s="542"/>
      <c r="AF36" s="542"/>
      <c r="AH36" s="542"/>
      <c r="AJ36" s="542"/>
      <c r="AO36" s="544"/>
    </row>
    <row r="37" ht="15.75" customHeight="1">
      <c r="A37" s="516"/>
      <c r="B37" s="537"/>
      <c r="H37" s="538"/>
      <c r="J37" s="538"/>
      <c r="M37" s="538"/>
      <c r="R37" s="538"/>
      <c r="U37" s="538"/>
      <c r="Y37" s="538"/>
      <c r="AC37" s="538"/>
      <c r="AF37" s="538"/>
      <c r="AH37" s="538"/>
      <c r="AJ37" s="545"/>
      <c r="AO37" s="540"/>
    </row>
    <row r="38" ht="15.75" customHeight="1">
      <c r="A38" s="516"/>
      <c r="B38" s="541"/>
      <c r="H38" s="542"/>
      <c r="J38" s="542"/>
      <c r="M38" s="542"/>
      <c r="R38" s="542"/>
      <c r="U38" s="542"/>
      <c r="Y38" s="542"/>
      <c r="AC38" s="542"/>
      <c r="AF38" s="542"/>
      <c r="AH38" s="542"/>
      <c r="AJ38" s="542"/>
      <c r="AO38" s="544"/>
    </row>
    <row r="39" ht="15.75" customHeight="1">
      <c r="A39" s="516"/>
      <c r="B39" s="537"/>
      <c r="H39" s="538"/>
      <c r="J39" s="538"/>
      <c r="M39" s="538"/>
      <c r="R39" s="538"/>
      <c r="U39" s="538"/>
      <c r="Y39" s="538"/>
      <c r="AC39" s="538"/>
      <c r="AF39" s="538"/>
      <c r="AH39" s="538"/>
      <c r="AJ39" s="538"/>
      <c r="AO39" s="540"/>
    </row>
    <row r="40" ht="15.75" customHeight="1">
      <c r="A40" s="516"/>
      <c r="B40" s="541"/>
      <c r="H40" s="542"/>
      <c r="J40" s="542"/>
      <c r="M40" s="542"/>
      <c r="R40" s="542"/>
      <c r="U40" s="542"/>
      <c r="Y40" s="542"/>
      <c r="AC40" s="542"/>
      <c r="AF40" s="542"/>
      <c r="AH40" s="542"/>
      <c r="AJ40" s="542"/>
      <c r="AO40" s="544"/>
    </row>
    <row r="41" ht="15.75" customHeight="1">
      <c r="A41" s="516"/>
      <c r="B41" s="537"/>
      <c r="H41" s="538"/>
      <c r="J41" s="538"/>
      <c r="M41" s="538"/>
      <c r="R41" s="538"/>
      <c r="U41" s="538"/>
      <c r="Y41" s="538"/>
      <c r="AC41" s="538"/>
      <c r="AF41" s="538"/>
      <c r="AH41" s="538"/>
      <c r="AJ41" s="538"/>
      <c r="AO41" s="540"/>
    </row>
    <row r="42" ht="15.75" customHeight="1">
      <c r="A42" s="516"/>
      <c r="B42" s="549"/>
      <c r="H42" s="546"/>
      <c r="J42" s="546"/>
      <c r="M42" s="546"/>
      <c r="R42" s="546"/>
      <c r="U42" s="546"/>
      <c r="Y42" s="546"/>
      <c r="AC42" s="546"/>
      <c r="AF42" s="546"/>
      <c r="AH42" s="546"/>
      <c r="AJ42" s="546"/>
      <c r="AO42" s="544"/>
    </row>
    <row r="43" ht="15.75" customHeight="1">
      <c r="A43" s="516"/>
      <c r="B43" s="547"/>
      <c r="H43" s="545"/>
      <c r="J43" s="545"/>
      <c r="M43" s="545"/>
      <c r="R43" s="545"/>
      <c r="U43" s="545"/>
      <c r="Y43" s="545"/>
      <c r="AC43" s="545"/>
      <c r="AF43" s="545"/>
      <c r="AH43" s="545"/>
      <c r="AJ43" s="545"/>
      <c r="AO43" s="540"/>
    </row>
    <row r="44" ht="15.75" customHeight="1">
      <c r="A44" s="516"/>
      <c r="B44" s="549"/>
      <c r="H44" s="546"/>
      <c r="J44" s="546"/>
      <c r="M44" s="546"/>
      <c r="R44" s="546"/>
      <c r="U44" s="546"/>
      <c r="Y44" s="546"/>
      <c r="AC44" s="546"/>
      <c r="AF44" s="546"/>
      <c r="AH44" s="546"/>
      <c r="AJ44" s="546"/>
      <c r="AO44" s="544"/>
    </row>
    <row r="45" ht="15.75" customHeight="1">
      <c r="A45" s="516"/>
      <c r="B45" s="547"/>
      <c r="H45" s="545"/>
      <c r="J45" s="545"/>
      <c r="M45" s="538"/>
      <c r="R45" s="538"/>
      <c r="U45" s="538"/>
      <c r="Y45" s="545"/>
      <c r="AC45" s="538"/>
      <c r="AF45" s="538"/>
      <c r="AH45" s="538"/>
      <c r="AJ45" s="538"/>
      <c r="AO45" s="540"/>
    </row>
    <row r="46" ht="15.75" customHeight="1">
      <c r="A46" s="516"/>
      <c r="B46" s="541"/>
      <c r="H46" s="542"/>
      <c r="J46" s="542"/>
      <c r="M46" s="542"/>
      <c r="R46" s="542"/>
      <c r="U46" s="542"/>
      <c r="Y46" s="542"/>
      <c r="AC46" s="542"/>
      <c r="AF46" s="542"/>
      <c r="AH46" s="542"/>
      <c r="AJ46" s="542"/>
      <c r="AO46" s="544"/>
    </row>
    <row r="47" ht="15.75" customHeight="1">
      <c r="A47" s="516"/>
      <c r="B47" s="537"/>
      <c r="H47" s="538"/>
      <c r="J47" s="538"/>
      <c r="M47" s="538"/>
      <c r="R47" s="538"/>
      <c r="U47" s="538"/>
      <c r="Y47" s="538"/>
      <c r="AC47" s="538"/>
      <c r="AF47" s="538"/>
      <c r="AH47" s="538"/>
      <c r="AJ47" s="538"/>
      <c r="AO47" s="540"/>
    </row>
    <row r="48" ht="15.75" customHeight="1">
      <c r="A48" s="516"/>
      <c r="B48" s="541"/>
      <c r="H48" s="542"/>
      <c r="J48" s="542"/>
      <c r="M48" s="542"/>
      <c r="R48" s="542"/>
      <c r="U48" s="542"/>
      <c r="Y48" s="542"/>
      <c r="AC48" s="542"/>
      <c r="AF48" s="542"/>
      <c r="AH48" s="542"/>
      <c r="AJ48" s="542"/>
      <c r="AO48" s="544"/>
    </row>
    <row r="49" ht="15.75" customHeight="1">
      <c r="A49" s="516"/>
      <c r="B49" s="537"/>
      <c r="H49" s="538"/>
      <c r="J49" s="538"/>
      <c r="M49" s="538"/>
      <c r="R49" s="538"/>
      <c r="U49" s="538"/>
      <c r="Y49" s="538"/>
      <c r="AC49" s="538"/>
      <c r="AF49" s="538"/>
      <c r="AH49" s="538"/>
      <c r="AJ49" s="538"/>
      <c r="AO49" s="540"/>
    </row>
    <row r="50" ht="15.75" customHeight="1">
      <c r="A50" s="516"/>
      <c r="B50" s="541"/>
      <c r="H50" s="542"/>
      <c r="J50" s="542"/>
      <c r="M50" s="542"/>
      <c r="R50" s="542"/>
      <c r="U50" s="542"/>
      <c r="Y50" s="542"/>
      <c r="AC50" s="542"/>
      <c r="AF50" s="542"/>
      <c r="AH50" s="542"/>
      <c r="AJ50" s="542"/>
      <c r="AO50" s="544"/>
    </row>
    <row r="51" ht="15.75" customHeight="1">
      <c r="A51" s="516"/>
      <c r="B51" s="537"/>
      <c r="H51" s="538"/>
      <c r="J51" s="538"/>
      <c r="M51" s="538"/>
      <c r="R51" s="538"/>
      <c r="U51" s="538"/>
      <c r="Y51" s="538"/>
      <c r="AC51" s="538"/>
      <c r="AF51" s="538"/>
      <c r="AH51" s="538"/>
      <c r="AJ51" s="538"/>
      <c r="AO51" s="540"/>
    </row>
    <row r="52" ht="15.75" customHeight="1">
      <c r="A52" s="516"/>
      <c r="B52" s="541"/>
      <c r="H52" s="542"/>
      <c r="J52" s="542"/>
      <c r="M52" s="542"/>
      <c r="R52" s="542"/>
      <c r="U52" s="542"/>
      <c r="Y52" s="542"/>
      <c r="AC52" s="542"/>
      <c r="AF52" s="542"/>
      <c r="AH52" s="542"/>
      <c r="AJ52" s="542"/>
      <c r="AO52" s="544"/>
    </row>
    <row r="53" ht="15.75" customHeight="1">
      <c r="A53" s="516"/>
      <c r="B53" s="537"/>
      <c r="H53" s="538"/>
      <c r="J53" s="538"/>
      <c r="M53" s="538"/>
      <c r="R53" s="538"/>
      <c r="U53" s="538"/>
      <c r="Y53" s="538"/>
      <c r="AC53" s="538"/>
      <c r="AF53" s="538"/>
      <c r="AH53" s="538"/>
      <c r="AJ53" s="538"/>
      <c r="AO53" s="540"/>
    </row>
    <row r="54" ht="15.75" customHeight="1">
      <c r="A54" s="516"/>
      <c r="B54" s="541"/>
      <c r="H54" s="542"/>
      <c r="J54" s="542"/>
      <c r="M54" s="542"/>
      <c r="R54" s="542"/>
      <c r="U54" s="542"/>
      <c r="Y54" s="542"/>
      <c r="AC54" s="542"/>
      <c r="AF54" s="542"/>
      <c r="AH54" s="542"/>
      <c r="AJ54" s="542"/>
      <c r="AO54" s="544"/>
    </row>
    <row r="55" ht="15.75" customHeight="1">
      <c r="A55" s="516"/>
      <c r="B55" s="537"/>
      <c r="H55" s="538"/>
      <c r="J55" s="538"/>
      <c r="M55" s="538"/>
      <c r="R55" s="538"/>
      <c r="U55" s="538"/>
      <c r="Y55" s="538"/>
      <c r="AC55" s="538"/>
      <c r="AF55" s="538"/>
      <c r="AH55" s="538"/>
      <c r="AJ55" s="538"/>
      <c r="AO55" s="540"/>
    </row>
    <row r="56" ht="15.75" customHeight="1">
      <c r="A56" s="516"/>
      <c r="B56" s="541"/>
      <c r="H56" s="542"/>
      <c r="J56" s="542"/>
      <c r="M56" s="542"/>
      <c r="R56" s="542"/>
      <c r="U56" s="542"/>
      <c r="Y56" s="542"/>
      <c r="AC56" s="542"/>
      <c r="AF56" s="542"/>
      <c r="AH56" s="542"/>
      <c r="AJ56" s="542"/>
      <c r="AO56" s="544"/>
    </row>
    <row r="57" ht="15.75" customHeight="1">
      <c r="A57" s="516"/>
      <c r="B57" s="537"/>
      <c r="H57" s="538"/>
      <c r="J57" s="538"/>
      <c r="M57" s="538"/>
      <c r="R57" s="538"/>
      <c r="U57" s="538"/>
      <c r="Y57" s="538"/>
      <c r="AC57" s="538"/>
      <c r="AF57" s="538"/>
      <c r="AH57" s="538"/>
      <c r="AJ57" s="538"/>
      <c r="AO57" s="540"/>
    </row>
    <row r="58" ht="15.75" customHeight="1">
      <c r="A58" s="516"/>
      <c r="B58" s="541"/>
      <c r="H58" s="542"/>
      <c r="J58" s="542"/>
      <c r="M58" s="542"/>
      <c r="R58" s="542"/>
      <c r="U58" s="542"/>
      <c r="Y58" s="542"/>
      <c r="AC58" s="542"/>
      <c r="AF58" s="542"/>
      <c r="AH58" s="542"/>
      <c r="AJ58" s="542"/>
      <c r="AO58" s="544"/>
    </row>
    <row r="59" ht="15.75" customHeight="1">
      <c r="A59" s="516"/>
      <c r="B59" s="537"/>
      <c r="H59" s="538"/>
      <c r="J59" s="538"/>
      <c r="M59" s="538"/>
      <c r="R59" s="538"/>
      <c r="U59" s="538"/>
      <c r="Y59" s="538"/>
      <c r="AC59" s="538"/>
      <c r="AF59" s="538"/>
      <c r="AH59" s="538"/>
      <c r="AJ59" s="538"/>
      <c r="AO59" s="540"/>
    </row>
    <row r="60" ht="15.75" customHeight="1">
      <c r="A60" s="516"/>
      <c r="B60" s="541"/>
      <c r="H60" s="542"/>
      <c r="J60" s="542"/>
      <c r="M60" s="542"/>
      <c r="R60" s="542"/>
      <c r="U60" s="542"/>
      <c r="Y60" s="542"/>
      <c r="AC60" s="542"/>
      <c r="AF60" s="542"/>
      <c r="AH60" s="542"/>
      <c r="AJ60" s="542"/>
      <c r="AO60" s="544"/>
    </row>
    <row r="61" ht="15.75" customHeight="1">
      <c r="A61" s="516"/>
      <c r="B61" s="537"/>
      <c r="H61" s="538"/>
      <c r="J61" s="538"/>
      <c r="M61" s="538"/>
      <c r="R61" s="538"/>
      <c r="U61" s="538"/>
      <c r="Y61" s="538"/>
      <c r="AC61" s="538"/>
      <c r="AF61" s="538"/>
      <c r="AH61" s="538"/>
      <c r="AJ61" s="538"/>
      <c r="AO61" s="540"/>
    </row>
    <row r="62" ht="15.75" customHeight="1">
      <c r="A62" s="516"/>
      <c r="B62" s="541"/>
      <c r="H62" s="542"/>
      <c r="J62" s="542"/>
      <c r="M62" s="542"/>
      <c r="R62" s="542"/>
      <c r="U62" s="542"/>
      <c r="Y62" s="542"/>
      <c r="AC62" s="542"/>
      <c r="AF62" s="542"/>
      <c r="AH62" s="542"/>
      <c r="AJ62" s="542"/>
      <c r="AO62" s="544"/>
    </row>
    <row r="63" ht="15.75" customHeight="1">
      <c r="A63" s="516"/>
      <c r="B63" s="537"/>
      <c r="H63" s="538"/>
      <c r="J63" s="538"/>
      <c r="M63" s="538"/>
      <c r="R63" s="538"/>
      <c r="U63" s="538"/>
      <c r="Y63" s="538"/>
      <c r="AC63" s="538"/>
      <c r="AF63" s="538"/>
      <c r="AH63" s="538"/>
      <c r="AJ63" s="538"/>
      <c r="AO63" s="540"/>
    </row>
    <row r="64" ht="15.75" customHeight="1">
      <c r="A64" s="516"/>
      <c r="B64" s="541"/>
      <c r="H64" s="542"/>
      <c r="J64" s="542"/>
      <c r="M64" s="542"/>
      <c r="R64" s="542"/>
      <c r="U64" s="542"/>
      <c r="Y64" s="542"/>
      <c r="AC64" s="542"/>
      <c r="AF64" s="542"/>
      <c r="AH64" s="542"/>
      <c r="AJ64" s="542"/>
      <c r="AO64" s="544"/>
    </row>
    <row r="65" ht="15.75" customHeight="1">
      <c r="A65" s="516"/>
      <c r="B65" s="537"/>
      <c r="H65" s="538"/>
      <c r="J65" s="538"/>
      <c r="M65" s="538"/>
      <c r="R65" s="538"/>
      <c r="U65" s="538"/>
      <c r="Y65" s="538"/>
      <c r="AC65" s="538"/>
      <c r="AF65" s="538"/>
      <c r="AH65" s="538"/>
      <c r="AJ65" s="538"/>
      <c r="AO65" s="540"/>
    </row>
    <row r="66" ht="15.75" customHeight="1">
      <c r="A66" s="516"/>
      <c r="B66" s="541"/>
      <c r="H66" s="542"/>
      <c r="J66" s="542"/>
      <c r="M66" s="542"/>
      <c r="R66" s="542"/>
      <c r="U66" s="542"/>
      <c r="Y66" s="542"/>
      <c r="AC66" s="542"/>
      <c r="AF66" s="542"/>
      <c r="AH66" s="542"/>
      <c r="AJ66" s="542"/>
      <c r="AO66" s="544"/>
    </row>
    <row r="67" ht="15.75" customHeight="1">
      <c r="A67" s="516"/>
      <c r="B67" s="537"/>
      <c r="H67" s="538"/>
      <c r="J67" s="538"/>
      <c r="M67" s="538"/>
      <c r="R67" s="538"/>
      <c r="U67" s="538"/>
      <c r="Y67" s="538"/>
      <c r="AC67" s="538"/>
      <c r="AF67" s="538"/>
      <c r="AH67" s="538"/>
      <c r="AJ67" s="538"/>
      <c r="AO67" s="540"/>
    </row>
    <row r="68" ht="15.75" customHeight="1">
      <c r="A68" s="516"/>
      <c r="B68" s="541"/>
      <c r="H68" s="542"/>
      <c r="J68" s="542"/>
      <c r="M68" s="542"/>
      <c r="R68" s="542"/>
      <c r="U68" s="542"/>
      <c r="Y68" s="542"/>
      <c r="AC68" s="542"/>
      <c r="AF68" s="542"/>
      <c r="AH68" s="542"/>
      <c r="AJ68" s="542"/>
      <c r="AO68" s="544"/>
    </row>
    <row r="69" ht="15.75" customHeight="1">
      <c r="A69" s="516"/>
      <c r="B69" s="537"/>
      <c r="H69" s="538"/>
      <c r="J69" s="538"/>
      <c r="M69" s="538"/>
      <c r="R69" s="538"/>
      <c r="U69" s="538"/>
      <c r="Y69" s="538"/>
      <c r="AC69" s="538"/>
      <c r="AF69" s="538"/>
      <c r="AH69" s="538"/>
      <c r="AJ69" s="538"/>
      <c r="AO69" s="540"/>
    </row>
    <row r="70" ht="15.75" customHeight="1">
      <c r="A70" s="516"/>
      <c r="B70" s="541"/>
      <c r="H70" s="542"/>
      <c r="J70" s="542"/>
      <c r="M70" s="542"/>
      <c r="R70" s="542"/>
      <c r="U70" s="542"/>
      <c r="Y70" s="542"/>
      <c r="AC70" s="542"/>
      <c r="AF70" s="542"/>
      <c r="AH70" s="542"/>
      <c r="AJ70" s="542"/>
      <c r="AO70" s="544"/>
    </row>
    <row r="71" ht="15.75" customHeight="1">
      <c r="A71" s="516"/>
      <c r="B71" s="537"/>
      <c r="H71" s="538"/>
      <c r="J71" s="538"/>
      <c r="M71" s="538"/>
      <c r="R71" s="538"/>
      <c r="U71" s="538"/>
      <c r="Y71" s="538"/>
      <c r="AC71" s="538"/>
      <c r="AF71" s="538"/>
      <c r="AH71" s="538"/>
      <c r="AJ71" s="538"/>
      <c r="AO71" s="540"/>
    </row>
    <row r="72" ht="15.75" customHeight="1">
      <c r="A72" s="516"/>
      <c r="B72" s="541"/>
      <c r="H72" s="542"/>
      <c r="J72" s="542"/>
      <c r="M72" s="542"/>
      <c r="R72" s="542"/>
      <c r="U72" s="542"/>
      <c r="Y72" s="542"/>
      <c r="AC72" s="542"/>
      <c r="AF72" s="542"/>
      <c r="AH72" s="542"/>
      <c r="AJ72" s="542"/>
      <c r="AO72" s="544"/>
    </row>
    <row r="73" ht="15.75" customHeight="1">
      <c r="A73" s="516"/>
      <c r="B73" s="537"/>
      <c r="H73" s="538"/>
      <c r="J73" s="538"/>
      <c r="M73" s="538"/>
      <c r="R73" s="538"/>
      <c r="U73" s="538"/>
      <c r="Y73" s="538"/>
      <c r="AC73" s="538"/>
      <c r="AF73" s="538"/>
      <c r="AH73" s="538"/>
      <c r="AJ73" s="538"/>
      <c r="AO73" s="540"/>
    </row>
    <row r="74" ht="15.75" customHeight="1">
      <c r="A74" s="516"/>
      <c r="B74" s="541"/>
      <c r="H74" s="542"/>
      <c r="J74" s="542"/>
      <c r="M74" s="542"/>
      <c r="R74" s="542"/>
      <c r="U74" s="542"/>
      <c r="Y74" s="542"/>
      <c r="AC74" s="542"/>
      <c r="AF74" s="542"/>
      <c r="AH74" s="542"/>
      <c r="AJ74" s="542"/>
      <c r="AO74" s="544"/>
    </row>
    <row r="75" ht="15.75" customHeight="1">
      <c r="A75" s="516"/>
      <c r="B75" s="537"/>
      <c r="H75" s="538"/>
      <c r="J75" s="538"/>
      <c r="M75" s="538"/>
      <c r="R75" s="538"/>
      <c r="U75" s="538"/>
      <c r="Y75" s="538"/>
      <c r="AC75" s="538"/>
      <c r="AF75" s="538"/>
      <c r="AH75" s="538"/>
      <c r="AJ75" s="538"/>
      <c r="AO75" s="540"/>
    </row>
    <row r="76" ht="15.75" customHeight="1">
      <c r="A76" s="516"/>
      <c r="B76" s="541"/>
      <c r="H76" s="542"/>
      <c r="J76" s="542"/>
      <c r="M76" s="542"/>
      <c r="R76" s="542"/>
      <c r="U76" s="542"/>
      <c r="Y76" s="542"/>
      <c r="AC76" s="542"/>
      <c r="AF76" s="542"/>
      <c r="AH76" s="542"/>
      <c r="AJ76" s="542"/>
      <c r="AO76" s="544"/>
    </row>
    <row r="77" ht="15.75" customHeight="1">
      <c r="A77" s="516"/>
      <c r="B77" s="537"/>
      <c r="H77" s="538"/>
      <c r="J77" s="538"/>
      <c r="M77" s="538"/>
      <c r="R77" s="538"/>
      <c r="U77" s="538"/>
      <c r="Y77" s="538"/>
      <c r="AC77" s="538"/>
      <c r="AF77" s="538"/>
      <c r="AH77" s="538"/>
      <c r="AJ77" s="538"/>
      <c r="AO77" s="540"/>
    </row>
    <row r="78" ht="15.75" customHeight="1">
      <c r="A78" s="516"/>
      <c r="B78" s="541"/>
      <c r="H78" s="542"/>
      <c r="J78" s="542"/>
      <c r="M78" s="542"/>
      <c r="R78" s="542"/>
      <c r="U78" s="542"/>
      <c r="Y78" s="542"/>
      <c r="AC78" s="542"/>
      <c r="AF78" s="542"/>
      <c r="AH78" s="542"/>
      <c r="AJ78" s="542"/>
      <c r="AO78" s="544"/>
    </row>
    <row r="79" ht="15.75" customHeight="1">
      <c r="A79" s="516"/>
      <c r="B79" s="537"/>
      <c r="H79" s="538"/>
      <c r="J79" s="538"/>
      <c r="M79" s="538"/>
      <c r="R79" s="538"/>
      <c r="U79" s="538"/>
      <c r="Y79" s="538"/>
      <c r="AC79" s="538"/>
      <c r="AF79" s="538"/>
      <c r="AH79" s="538"/>
      <c r="AJ79" s="538"/>
      <c r="AO79" s="540"/>
    </row>
    <row r="80" ht="15.75" customHeight="1">
      <c r="A80" s="516"/>
      <c r="B80" s="541"/>
      <c r="H80" s="542"/>
      <c r="J80" s="542"/>
      <c r="M80" s="542"/>
      <c r="R80" s="542"/>
      <c r="U80" s="542"/>
      <c r="Y80" s="542"/>
      <c r="AC80" s="542"/>
      <c r="AF80" s="542"/>
      <c r="AH80" s="542"/>
      <c r="AJ80" s="542"/>
      <c r="AO80" s="544"/>
    </row>
    <row r="81" ht="15.75" customHeight="1">
      <c r="A81" s="516"/>
      <c r="B81" s="537"/>
      <c r="H81" s="538"/>
      <c r="J81" s="538"/>
      <c r="M81" s="538"/>
      <c r="R81" s="538"/>
      <c r="U81" s="538"/>
      <c r="Y81" s="538"/>
      <c r="AC81" s="538"/>
      <c r="AF81" s="538"/>
      <c r="AH81" s="538"/>
      <c r="AJ81" s="538"/>
      <c r="AO81" s="540"/>
    </row>
    <row r="82" ht="15.75" customHeight="1">
      <c r="A82" s="516"/>
      <c r="B82" s="541"/>
      <c r="H82" s="542"/>
      <c r="J82" s="542"/>
      <c r="M82" s="542"/>
      <c r="R82" s="542"/>
      <c r="U82" s="542"/>
      <c r="Y82" s="542"/>
      <c r="AC82" s="542"/>
      <c r="AF82" s="542"/>
      <c r="AH82" s="542"/>
      <c r="AJ82" s="542"/>
      <c r="AO82" s="544"/>
    </row>
    <row r="83" ht="15.75" customHeight="1">
      <c r="A83" s="516"/>
      <c r="B83" s="537"/>
      <c r="H83" s="538"/>
      <c r="J83" s="538"/>
      <c r="M83" s="538"/>
      <c r="R83" s="538"/>
      <c r="U83" s="538"/>
      <c r="Y83" s="538"/>
      <c r="AC83" s="538"/>
      <c r="AF83" s="538"/>
      <c r="AH83" s="538"/>
      <c r="AJ83" s="538"/>
      <c r="AO83" s="540"/>
    </row>
    <row r="84" ht="15.75" customHeight="1">
      <c r="A84" s="516"/>
      <c r="B84" s="541"/>
      <c r="H84" s="542"/>
      <c r="J84" s="542"/>
      <c r="M84" s="542"/>
      <c r="R84" s="542"/>
      <c r="U84" s="542"/>
      <c r="Y84" s="542"/>
      <c r="AC84" s="542"/>
      <c r="AF84" s="542"/>
      <c r="AH84" s="542"/>
      <c r="AJ84" s="542"/>
      <c r="AO84" s="544"/>
    </row>
    <row r="85" ht="15.75" customHeight="1">
      <c r="A85" s="516"/>
      <c r="B85" s="537"/>
      <c r="H85" s="538"/>
      <c r="J85" s="538"/>
      <c r="M85" s="538"/>
      <c r="R85" s="538"/>
      <c r="U85" s="538"/>
      <c r="Y85" s="538"/>
      <c r="AC85" s="538"/>
      <c r="AF85" s="538"/>
      <c r="AH85" s="538"/>
      <c r="AJ85" s="538"/>
      <c r="AO85" s="540"/>
    </row>
    <row r="86" ht="15.75" customHeight="1">
      <c r="A86" s="516"/>
      <c r="B86" s="541"/>
      <c r="H86" s="542"/>
      <c r="J86" s="542"/>
      <c r="M86" s="542"/>
      <c r="R86" s="542"/>
      <c r="U86" s="542"/>
      <c r="Y86" s="542"/>
      <c r="AC86" s="542"/>
      <c r="AF86" s="542"/>
      <c r="AH86" s="542"/>
      <c r="AJ86" s="542"/>
      <c r="AO86" s="544"/>
    </row>
    <row r="87" ht="15.75" customHeight="1">
      <c r="A87" s="516"/>
      <c r="B87" s="537"/>
      <c r="H87" s="538"/>
      <c r="J87" s="538"/>
      <c r="M87" s="538"/>
      <c r="R87" s="538"/>
      <c r="U87" s="538"/>
      <c r="Y87" s="538"/>
      <c r="AC87" s="538"/>
      <c r="AF87" s="538"/>
      <c r="AH87" s="538"/>
      <c r="AJ87" s="538"/>
      <c r="AO87" s="540"/>
    </row>
    <row r="88" ht="15.75" customHeight="1">
      <c r="A88" s="516"/>
      <c r="B88" s="541"/>
      <c r="H88" s="542"/>
      <c r="J88" s="542"/>
      <c r="M88" s="542"/>
      <c r="R88" s="542"/>
      <c r="U88" s="542"/>
      <c r="Y88" s="542"/>
      <c r="AC88" s="542"/>
      <c r="AF88" s="542"/>
      <c r="AH88" s="542"/>
      <c r="AJ88" s="542"/>
      <c r="AO88" s="544"/>
    </row>
    <row r="89" ht="15.75" customHeight="1">
      <c r="A89" s="516"/>
      <c r="B89" s="537"/>
      <c r="H89" s="538"/>
      <c r="J89" s="538"/>
      <c r="M89" s="538"/>
      <c r="R89" s="538"/>
      <c r="U89" s="538"/>
      <c r="Y89" s="538"/>
      <c r="AC89" s="538"/>
      <c r="AF89" s="538"/>
      <c r="AH89" s="538"/>
      <c r="AJ89" s="538"/>
      <c r="AO89" s="540"/>
    </row>
    <row r="90" ht="15.75" customHeight="1">
      <c r="A90" s="516"/>
      <c r="B90" s="541"/>
      <c r="H90" s="542"/>
      <c r="J90" s="542"/>
      <c r="M90" s="542"/>
      <c r="R90" s="542"/>
      <c r="U90" s="542"/>
      <c r="Y90" s="542"/>
      <c r="AC90" s="542"/>
      <c r="AF90" s="542"/>
      <c r="AH90" s="542"/>
      <c r="AJ90" s="542"/>
      <c r="AO90" s="544"/>
    </row>
    <row r="91" ht="15.75" customHeight="1">
      <c r="A91" s="516"/>
      <c r="B91" s="537"/>
      <c r="H91" s="538"/>
      <c r="J91" s="538"/>
      <c r="M91" s="538"/>
      <c r="R91" s="538"/>
      <c r="U91" s="538"/>
      <c r="Y91" s="538"/>
      <c r="AC91" s="538"/>
      <c r="AF91" s="538"/>
      <c r="AH91" s="538"/>
      <c r="AJ91" s="538"/>
      <c r="AO91" s="540"/>
    </row>
    <row r="92" ht="15.75" customHeight="1">
      <c r="A92" s="516"/>
      <c r="B92" s="541"/>
      <c r="H92" s="542"/>
      <c r="J92" s="542"/>
      <c r="M92" s="542"/>
      <c r="R92" s="542"/>
      <c r="U92" s="542"/>
      <c r="Y92" s="542"/>
      <c r="AC92" s="542"/>
      <c r="AF92" s="542"/>
      <c r="AH92" s="542"/>
      <c r="AJ92" s="542"/>
      <c r="AO92" s="544"/>
    </row>
    <row r="93" ht="15.75" customHeight="1">
      <c r="A93" s="516"/>
      <c r="B93" s="537"/>
      <c r="H93" s="538"/>
      <c r="J93" s="538"/>
      <c r="M93" s="538"/>
      <c r="R93" s="538"/>
      <c r="U93" s="538"/>
      <c r="Y93" s="538"/>
      <c r="AC93" s="538"/>
      <c r="AF93" s="538"/>
      <c r="AH93" s="538"/>
      <c r="AJ93" s="538"/>
      <c r="AO93" s="540"/>
    </row>
    <row r="94" ht="15.75" customHeight="1">
      <c r="A94" s="516"/>
      <c r="B94" s="541"/>
      <c r="H94" s="542"/>
      <c r="J94" s="542"/>
      <c r="M94" s="542"/>
      <c r="R94" s="542"/>
      <c r="U94" s="542"/>
      <c r="Y94" s="542"/>
      <c r="AC94" s="542"/>
      <c r="AF94" s="542"/>
      <c r="AH94" s="542"/>
      <c r="AJ94" s="542"/>
      <c r="AO94" s="544"/>
    </row>
    <row r="95" ht="15.75" customHeight="1">
      <c r="A95" s="516"/>
      <c r="B95" s="537"/>
      <c r="H95" s="538"/>
      <c r="J95" s="538"/>
      <c r="M95" s="538"/>
      <c r="R95" s="538"/>
      <c r="U95" s="538"/>
      <c r="Y95" s="538"/>
      <c r="AC95" s="538"/>
      <c r="AF95" s="538"/>
      <c r="AH95" s="538"/>
      <c r="AJ95" s="538"/>
      <c r="AO95" s="540"/>
    </row>
    <row r="96" ht="15.75" customHeight="1">
      <c r="A96" s="516"/>
      <c r="B96" s="541"/>
      <c r="H96" s="542"/>
      <c r="J96" s="542"/>
      <c r="M96" s="542"/>
      <c r="R96" s="542"/>
      <c r="U96" s="542"/>
      <c r="Y96" s="542"/>
      <c r="AC96" s="542"/>
      <c r="AF96" s="542"/>
      <c r="AH96" s="542"/>
      <c r="AJ96" s="542"/>
      <c r="AO96" s="544"/>
    </row>
    <row r="97" ht="15.75" customHeight="1">
      <c r="A97" s="516"/>
      <c r="B97" s="537"/>
      <c r="H97" s="538"/>
      <c r="J97" s="538"/>
      <c r="M97" s="538"/>
      <c r="R97" s="538"/>
      <c r="U97" s="538"/>
      <c r="Y97" s="538"/>
      <c r="AC97" s="538"/>
      <c r="AF97" s="538"/>
      <c r="AH97" s="538"/>
      <c r="AJ97" s="538"/>
      <c r="AO97" s="540"/>
    </row>
    <row r="98" ht="15.75" customHeight="1">
      <c r="A98" s="516"/>
      <c r="B98" s="541"/>
      <c r="H98" s="542"/>
      <c r="J98" s="542"/>
      <c r="M98" s="542"/>
      <c r="R98" s="542"/>
      <c r="U98" s="542"/>
      <c r="Y98" s="542"/>
      <c r="AC98" s="542"/>
      <c r="AF98" s="542"/>
      <c r="AH98" s="542"/>
      <c r="AJ98" s="542"/>
      <c r="AO98" s="544"/>
    </row>
    <row r="99" ht="15.75" customHeight="1">
      <c r="A99" s="516"/>
      <c r="B99" s="537"/>
      <c r="H99" s="538"/>
      <c r="J99" s="538"/>
      <c r="M99" s="538"/>
      <c r="R99" s="538"/>
      <c r="U99" s="538"/>
      <c r="Y99" s="538"/>
      <c r="AC99" s="538"/>
      <c r="AF99" s="538"/>
      <c r="AH99" s="538"/>
      <c r="AJ99" s="538"/>
      <c r="AO99" s="540"/>
    </row>
    <row r="100" ht="15.75" customHeight="1">
      <c r="A100" s="516"/>
      <c r="B100" s="541"/>
      <c r="H100" s="542"/>
      <c r="J100" s="542"/>
      <c r="M100" s="542"/>
      <c r="R100" s="542"/>
      <c r="U100" s="542"/>
      <c r="Y100" s="542"/>
      <c r="AC100" s="542"/>
      <c r="AF100" s="542"/>
      <c r="AH100" s="542"/>
      <c r="AJ100" s="542"/>
      <c r="AO100" s="544"/>
    </row>
    <row r="101" ht="15.75" customHeight="1">
      <c r="A101" s="516"/>
      <c r="B101" s="537"/>
      <c r="H101" s="538"/>
      <c r="J101" s="538"/>
      <c r="M101" s="538"/>
      <c r="R101" s="538"/>
      <c r="U101" s="538"/>
      <c r="Y101" s="538"/>
      <c r="AC101" s="538"/>
      <c r="AF101" s="538"/>
      <c r="AH101" s="538"/>
      <c r="AJ101" s="538"/>
      <c r="AO101" s="540"/>
    </row>
    <row r="102" ht="15.75" customHeight="1">
      <c r="A102" s="516"/>
      <c r="B102" s="541"/>
      <c r="H102" s="542"/>
      <c r="J102" s="542"/>
      <c r="M102" s="542"/>
      <c r="R102" s="542"/>
      <c r="U102" s="542"/>
      <c r="Y102" s="542"/>
      <c r="AC102" s="542"/>
      <c r="AF102" s="542"/>
      <c r="AH102" s="542"/>
      <c r="AJ102" s="542"/>
      <c r="AO102" s="544"/>
    </row>
    <row r="103" ht="15.75" customHeight="1">
      <c r="A103" s="516"/>
      <c r="B103" s="537"/>
      <c r="H103" s="538"/>
      <c r="J103" s="538"/>
      <c r="M103" s="538"/>
      <c r="R103" s="538"/>
      <c r="U103" s="538"/>
      <c r="Y103" s="538"/>
      <c r="AC103" s="538"/>
      <c r="AF103" s="538"/>
      <c r="AH103" s="538"/>
      <c r="AJ103" s="538"/>
      <c r="AO103" s="540"/>
    </row>
    <row r="104" ht="15.75" customHeight="1">
      <c r="A104" s="516"/>
      <c r="B104" s="541"/>
      <c r="H104" s="542"/>
      <c r="J104" s="542"/>
      <c r="M104" s="542"/>
      <c r="R104" s="542"/>
      <c r="U104" s="542"/>
      <c r="Y104" s="542"/>
      <c r="AC104" s="542"/>
      <c r="AF104" s="542"/>
      <c r="AH104" s="542"/>
      <c r="AJ104" s="542"/>
      <c r="AO104" s="544"/>
    </row>
    <row r="105" ht="15.75" customHeight="1">
      <c r="A105" s="516"/>
      <c r="B105" s="537"/>
      <c r="H105" s="538"/>
      <c r="J105" s="538"/>
      <c r="M105" s="538"/>
      <c r="R105" s="538"/>
      <c r="U105" s="538"/>
      <c r="Y105" s="538"/>
      <c r="AC105" s="538"/>
      <c r="AF105" s="538"/>
      <c r="AH105" s="538"/>
      <c r="AJ105" s="538"/>
      <c r="AO105" s="540"/>
    </row>
    <row r="106" ht="15.75" customHeight="1">
      <c r="A106" s="516"/>
      <c r="B106" s="541"/>
      <c r="H106" s="542"/>
      <c r="J106" s="542"/>
      <c r="M106" s="542"/>
      <c r="R106" s="542"/>
      <c r="U106" s="542"/>
      <c r="Y106" s="542"/>
      <c r="AC106" s="542"/>
      <c r="AF106" s="542"/>
      <c r="AH106" s="542"/>
      <c r="AJ106" s="542"/>
      <c r="AO106" s="544"/>
    </row>
    <row r="107" ht="15.75" customHeight="1">
      <c r="A107" s="516"/>
      <c r="B107" s="537"/>
      <c r="H107" s="538"/>
      <c r="J107" s="538"/>
      <c r="M107" s="538"/>
      <c r="R107" s="538"/>
      <c r="U107" s="538"/>
      <c r="Y107" s="538"/>
      <c r="AC107" s="538"/>
      <c r="AF107" s="538"/>
      <c r="AH107" s="538"/>
      <c r="AJ107" s="538"/>
      <c r="AO107" s="540"/>
    </row>
    <row r="108" ht="15.75" customHeight="1">
      <c r="A108" s="516"/>
      <c r="B108" s="541"/>
      <c r="H108" s="542"/>
      <c r="J108" s="542"/>
      <c r="M108" s="542"/>
      <c r="R108" s="542"/>
      <c r="U108" s="542"/>
      <c r="Y108" s="542"/>
      <c r="AC108" s="542"/>
      <c r="AF108" s="542"/>
      <c r="AH108" s="542"/>
      <c r="AJ108" s="542"/>
      <c r="AO108" s="544"/>
    </row>
    <row r="109" ht="15.75" customHeight="1">
      <c r="A109" s="516"/>
      <c r="B109" s="537"/>
      <c r="H109" s="538"/>
      <c r="J109" s="538"/>
      <c r="M109" s="538"/>
      <c r="R109" s="538"/>
      <c r="U109" s="538"/>
      <c r="Y109" s="538"/>
      <c r="AC109" s="538"/>
      <c r="AF109" s="538"/>
      <c r="AH109" s="538"/>
      <c r="AJ109" s="538"/>
      <c r="AO109" s="540"/>
    </row>
    <row r="110" ht="15.75" customHeight="1">
      <c r="A110" s="516"/>
      <c r="B110" s="541"/>
      <c r="H110" s="542"/>
      <c r="J110" s="542"/>
      <c r="M110" s="542"/>
      <c r="R110" s="542"/>
      <c r="U110" s="542"/>
      <c r="Y110" s="542"/>
      <c r="AC110" s="542"/>
      <c r="AF110" s="542"/>
      <c r="AH110" s="542"/>
      <c r="AJ110" s="542"/>
      <c r="AO110" s="544"/>
    </row>
    <row r="111" ht="15.75" customHeight="1">
      <c r="A111" s="516"/>
      <c r="B111" s="537"/>
      <c r="H111" s="538"/>
      <c r="J111" s="538"/>
      <c r="M111" s="538"/>
      <c r="R111" s="538"/>
      <c r="U111" s="538"/>
      <c r="Y111" s="538"/>
      <c r="AC111" s="538"/>
      <c r="AF111" s="538"/>
      <c r="AH111" s="538"/>
      <c r="AJ111" s="538"/>
      <c r="AO111" s="540"/>
    </row>
    <row r="112" ht="15.75" customHeight="1">
      <c r="A112" s="516"/>
      <c r="B112" s="541"/>
      <c r="H112" s="542"/>
      <c r="J112" s="542"/>
      <c r="M112" s="542"/>
      <c r="R112" s="542"/>
      <c r="U112" s="542"/>
      <c r="Y112" s="542"/>
      <c r="AC112" s="542"/>
      <c r="AF112" s="542"/>
      <c r="AH112" s="542"/>
      <c r="AJ112" s="542"/>
      <c r="AO112" s="544"/>
    </row>
    <row r="113" ht="15.75" customHeight="1">
      <c r="A113" s="516"/>
      <c r="B113" s="537"/>
      <c r="H113" s="538"/>
      <c r="J113" s="538"/>
      <c r="M113" s="538"/>
      <c r="R113" s="538"/>
      <c r="U113" s="538"/>
      <c r="Y113" s="538"/>
      <c r="AC113" s="538"/>
      <c r="AF113" s="538"/>
      <c r="AH113" s="538"/>
      <c r="AJ113" s="538"/>
      <c r="AO113" s="540"/>
    </row>
    <row r="114" ht="15.75" customHeight="1">
      <c r="A114" s="516"/>
      <c r="B114" s="541"/>
      <c r="H114" s="542"/>
      <c r="J114" s="542"/>
      <c r="M114" s="542"/>
      <c r="R114" s="542"/>
      <c r="U114" s="542"/>
      <c r="Y114" s="542"/>
      <c r="AC114" s="542"/>
      <c r="AF114" s="542"/>
      <c r="AH114" s="542"/>
      <c r="AJ114" s="542"/>
      <c r="AO114" s="544"/>
    </row>
    <row r="115" ht="15.75" customHeight="1">
      <c r="A115" s="516"/>
      <c r="B115" s="537"/>
      <c r="H115" s="538"/>
      <c r="J115" s="538"/>
      <c r="M115" s="538"/>
      <c r="R115" s="538"/>
      <c r="U115" s="538"/>
      <c r="Y115" s="538"/>
      <c r="AC115" s="538"/>
      <c r="AF115" s="538"/>
      <c r="AH115" s="538"/>
      <c r="AJ115" s="538"/>
      <c r="AO115" s="540"/>
    </row>
    <row r="116" ht="15.75" customHeight="1">
      <c r="A116" s="516"/>
      <c r="B116" s="541"/>
      <c r="H116" s="542"/>
      <c r="J116" s="542"/>
      <c r="M116" s="542"/>
      <c r="R116" s="542"/>
      <c r="U116" s="542"/>
      <c r="Y116" s="542"/>
      <c r="AC116" s="542"/>
      <c r="AF116" s="542"/>
      <c r="AH116" s="542"/>
      <c r="AJ116" s="542"/>
      <c r="AO116" s="544"/>
    </row>
    <row r="117" ht="15.75" customHeight="1">
      <c r="A117" s="516"/>
      <c r="B117" s="537"/>
      <c r="H117" s="538"/>
      <c r="J117" s="538"/>
      <c r="M117" s="538"/>
      <c r="R117" s="538"/>
      <c r="U117" s="538"/>
      <c r="Y117" s="538"/>
      <c r="AC117" s="538"/>
      <c r="AF117" s="538"/>
      <c r="AH117" s="538"/>
      <c r="AJ117" s="538"/>
      <c r="AO117" s="540"/>
    </row>
    <row r="118" ht="15.75" customHeight="1">
      <c r="A118" s="516"/>
      <c r="B118" s="541"/>
      <c r="H118" s="542"/>
      <c r="J118" s="542"/>
      <c r="M118" s="542"/>
      <c r="R118" s="542"/>
      <c r="U118" s="542"/>
      <c r="Y118" s="542"/>
      <c r="AC118" s="542"/>
      <c r="AF118" s="542"/>
      <c r="AH118" s="542"/>
      <c r="AJ118" s="542"/>
      <c r="AO118" s="544"/>
    </row>
    <row r="119" ht="15.75" customHeight="1">
      <c r="A119" s="516"/>
      <c r="B119" s="537"/>
      <c r="H119" s="538"/>
      <c r="J119" s="538"/>
      <c r="M119" s="538"/>
      <c r="R119" s="538"/>
      <c r="U119" s="538"/>
      <c r="Y119" s="538"/>
      <c r="AC119" s="538"/>
      <c r="AF119" s="538"/>
      <c r="AH119" s="538"/>
      <c r="AJ119" s="538"/>
      <c r="AO119" s="540"/>
    </row>
    <row r="120" ht="15.75" customHeight="1">
      <c r="A120" s="516"/>
      <c r="B120" s="541"/>
      <c r="H120" s="542"/>
      <c r="J120" s="542"/>
      <c r="M120" s="542"/>
      <c r="R120" s="542"/>
      <c r="U120" s="542"/>
      <c r="Y120" s="542"/>
      <c r="AC120" s="542"/>
      <c r="AF120" s="542"/>
      <c r="AH120" s="542"/>
      <c r="AJ120" s="542"/>
      <c r="AO120" s="544"/>
    </row>
    <row r="121" ht="15.75" customHeight="1">
      <c r="A121" s="516"/>
      <c r="B121" s="537"/>
      <c r="H121" s="538"/>
      <c r="J121" s="538"/>
      <c r="M121" s="538"/>
      <c r="R121" s="538"/>
      <c r="U121" s="538"/>
      <c r="Y121" s="538"/>
      <c r="AC121" s="538"/>
      <c r="AF121" s="538"/>
      <c r="AH121" s="538"/>
      <c r="AJ121" s="538"/>
      <c r="AO121" s="540"/>
    </row>
    <row r="122" ht="15.75" customHeight="1">
      <c r="A122" s="516"/>
      <c r="B122" s="541"/>
      <c r="H122" s="542"/>
      <c r="J122" s="542"/>
      <c r="M122" s="542"/>
      <c r="R122" s="542"/>
      <c r="U122" s="542"/>
      <c r="Y122" s="542"/>
      <c r="AC122" s="542"/>
      <c r="AF122" s="542"/>
      <c r="AH122" s="542"/>
      <c r="AJ122" s="542"/>
      <c r="AO122" s="544"/>
    </row>
    <row r="123" ht="15.75" customHeight="1">
      <c r="A123" s="516"/>
      <c r="B123" s="537"/>
      <c r="H123" s="538"/>
      <c r="J123" s="538"/>
      <c r="M123" s="538"/>
      <c r="R123" s="538"/>
      <c r="U123" s="538"/>
      <c r="Y123" s="538"/>
      <c r="AC123" s="538"/>
      <c r="AF123" s="538"/>
      <c r="AH123" s="538"/>
      <c r="AJ123" s="538"/>
      <c r="AO123" s="540"/>
    </row>
    <row r="124" ht="15.75" customHeight="1">
      <c r="A124" s="516"/>
      <c r="B124" s="541"/>
      <c r="H124" s="542"/>
      <c r="J124" s="542"/>
      <c r="M124" s="542"/>
      <c r="R124" s="542"/>
      <c r="U124" s="542"/>
      <c r="Y124" s="542"/>
      <c r="AC124" s="542"/>
      <c r="AF124" s="542"/>
      <c r="AH124" s="542"/>
      <c r="AJ124" s="542"/>
      <c r="AO124" s="544"/>
    </row>
    <row r="125" ht="15.75" customHeight="1">
      <c r="A125" s="516"/>
      <c r="B125" s="537"/>
      <c r="H125" s="538"/>
      <c r="J125" s="538"/>
      <c r="M125" s="538"/>
      <c r="R125" s="538"/>
      <c r="U125" s="538"/>
      <c r="Y125" s="538"/>
      <c r="AC125" s="538"/>
      <c r="AF125" s="538"/>
      <c r="AH125" s="538"/>
      <c r="AJ125" s="538"/>
      <c r="AO125" s="540"/>
    </row>
    <row r="126" ht="15.75" customHeight="1">
      <c r="A126" s="516"/>
      <c r="B126" s="541"/>
      <c r="H126" s="542"/>
      <c r="J126" s="542"/>
      <c r="M126" s="542"/>
      <c r="R126" s="542"/>
      <c r="U126" s="542"/>
      <c r="Y126" s="542"/>
      <c r="AC126" s="542"/>
      <c r="AF126" s="542"/>
      <c r="AH126" s="542"/>
      <c r="AJ126" s="542"/>
      <c r="AO126" s="544"/>
    </row>
    <row r="127" ht="15.75" customHeight="1">
      <c r="A127" s="516"/>
      <c r="B127" s="537"/>
      <c r="H127" s="538"/>
      <c r="J127" s="538"/>
      <c r="M127" s="538"/>
      <c r="R127" s="538"/>
      <c r="U127" s="538"/>
      <c r="Y127" s="538"/>
      <c r="AC127" s="538"/>
      <c r="AF127" s="538"/>
      <c r="AH127" s="538"/>
      <c r="AJ127" s="538"/>
      <c r="AO127" s="540"/>
    </row>
    <row r="128" ht="15.75" customHeight="1">
      <c r="A128" s="516"/>
      <c r="B128" s="541"/>
      <c r="H128" s="542"/>
      <c r="J128" s="542"/>
      <c r="M128" s="542"/>
      <c r="R128" s="542"/>
      <c r="U128" s="542"/>
      <c r="Y128" s="542"/>
      <c r="AC128" s="542"/>
      <c r="AF128" s="542"/>
      <c r="AH128" s="542"/>
      <c r="AJ128" s="542"/>
      <c r="AO128" s="544"/>
    </row>
    <row r="129" ht="15.75" customHeight="1">
      <c r="A129" s="516"/>
      <c r="B129" s="537"/>
      <c r="H129" s="538"/>
      <c r="J129" s="538"/>
      <c r="M129" s="538"/>
      <c r="R129" s="538"/>
      <c r="U129" s="538"/>
      <c r="Y129" s="538"/>
      <c r="AC129" s="538"/>
      <c r="AF129" s="538"/>
      <c r="AH129" s="538"/>
      <c r="AJ129" s="538"/>
      <c r="AO129" s="540"/>
    </row>
    <row r="130" ht="15.75" customHeight="1">
      <c r="A130" s="516"/>
      <c r="B130" s="541"/>
      <c r="H130" s="542"/>
      <c r="J130" s="542"/>
      <c r="M130" s="542"/>
      <c r="R130" s="542"/>
      <c r="U130" s="542"/>
      <c r="Y130" s="542"/>
      <c r="AC130" s="542"/>
      <c r="AF130" s="542"/>
      <c r="AH130" s="542"/>
      <c r="AJ130" s="542"/>
      <c r="AO130" s="544"/>
    </row>
    <row r="131" ht="15.75" customHeight="1">
      <c r="A131" s="516"/>
      <c r="B131" s="537"/>
      <c r="H131" s="538"/>
      <c r="J131" s="538"/>
      <c r="M131" s="538"/>
      <c r="R131" s="538"/>
      <c r="U131" s="538"/>
      <c r="Y131" s="538"/>
      <c r="AC131" s="538"/>
      <c r="AF131" s="538"/>
      <c r="AH131" s="538"/>
      <c r="AJ131" s="538"/>
      <c r="AO131" s="540"/>
    </row>
    <row r="132" ht="15.75" customHeight="1">
      <c r="A132" s="516"/>
      <c r="B132" s="541"/>
      <c r="H132" s="542"/>
      <c r="J132" s="542"/>
      <c r="M132" s="542"/>
      <c r="R132" s="542"/>
      <c r="U132" s="542"/>
      <c r="Y132" s="542"/>
      <c r="AC132" s="542"/>
      <c r="AF132" s="542"/>
      <c r="AH132" s="542"/>
      <c r="AJ132" s="542"/>
      <c r="AO132" s="544"/>
    </row>
    <row r="133" ht="15.75" customHeight="1">
      <c r="A133" s="516"/>
      <c r="B133" s="537"/>
      <c r="H133" s="538"/>
      <c r="J133" s="538"/>
      <c r="M133" s="538"/>
      <c r="R133" s="538"/>
      <c r="U133" s="538"/>
      <c r="Y133" s="538"/>
      <c r="AC133" s="538"/>
      <c r="AF133" s="538"/>
      <c r="AH133" s="538"/>
      <c r="AJ133" s="538"/>
      <c r="AO133" s="540"/>
    </row>
    <row r="134" ht="15.75" customHeight="1">
      <c r="A134" s="516"/>
      <c r="B134" s="541"/>
      <c r="H134" s="542"/>
      <c r="J134" s="542"/>
      <c r="M134" s="542"/>
      <c r="R134" s="542"/>
      <c r="U134" s="542"/>
      <c r="Y134" s="542"/>
      <c r="AC134" s="542"/>
      <c r="AF134" s="542"/>
      <c r="AH134" s="542"/>
      <c r="AJ134" s="542"/>
      <c r="AO134" s="544"/>
    </row>
    <row r="135" ht="15.75" customHeight="1">
      <c r="A135" s="516"/>
      <c r="B135" s="537"/>
      <c r="H135" s="538"/>
      <c r="J135" s="538"/>
      <c r="M135" s="538"/>
      <c r="R135" s="538"/>
      <c r="U135" s="538"/>
      <c r="Y135" s="538"/>
      <c r="AC135" s="538"/>
      <c r="AF135" s="538"/>
      <c r="AH135" s="538"/>
      <c r="AJ135" s="538"/>
      <c r="AO135" s="540"/>
    </row>
    <row r="136" ht="15.75" customHeight="1">
      <c r="A136" s="516"/>
      <c r="B136" s="541"/>
      <c r="H136" s="542"/>
      <c r="J136" s="542"/>
      <c r="M136" s="542"/>
      <c r="R136" s="542"/>
      <c r="U136" s="542"/>
      <c r="Y136" s="542"/>
      <c r="AC136" s="542"/>
      <c r="AF136" s="542"/>
      <c r="AH136" s="542"/>
      <c r="AJ136" s="542"/>
      <c r="AO136" s="544"/>
    </row>
    <row r="137" ht="15.75" customHeight="1">
      <c r="A137" s="516"/>
      <c r="B137" s="537"/>
      <c r="H137" s="538"/>
      <c r="J137" s="538"/>
      <c r="M137" s="538"/>
      <c r="R137" s="538"/>
      <c r="U137" s="538"/>
      <c r="Y137" s="538"/>
      <c r="AC137" s="538"/>
      <c r="AF137" s="538"/>
      <c r="AH137" s="538"/>
      <c r="AJ137" s="538"/>
      <c r="AO137" s="540"/>
    </row>
    <row r="138" ht="15.75" customHeight="1">
      <c r="A138" s="516"/>
      <c r="B138" s="541"/>
      <c r="H138" s="542"/>
      <c r="J138" s="542"/>
      <c r="M138" s="542"/>
      <c r="R138" s="542"/>
      <c r="U138" s="542"/>
      <c r="Y138" s="542"/>
      <c r="AC138" s="542"/>
      <c r="AF138" s="542"/>
      <c r="AH138" s="542"/>
      <c r="AJ138" s="542"/>
      <c r="AO138" s="544"/>
    </row>
    <row r="139" ht="15.75" customHeight="1">
      <c r="A139" s="516"/>
      <c r="B139" s="537"/>
      <c r="H139" s="538"/>
      <c r="J139" s="538"/>
      <c r="M139" s="538"/>
      <c r="R139" s="538"/>
      <c r="U139" s="538"/>
      <c r="Y139" s="538"/>
      <c r="AC139" s="538"/>
      <c r="AF139" s="538"/>
      <c r="AH139" s="538"/>
      <c r="AJ139" s="538"/>
      <c r="AO139" s="540"/>
    </row>
    <row r="140" ht="15.75" customHeight="1">
      <c r="A140" s="516"/>
      <c r="B140" s="541"/>
      <c r="H140" s="542"/>
      <c r="J140" s="542"/>
      <c r="M140" s="542"/>
      <c r="R140" s="542"/>
      <c r="U140" s="542"/>
      <c r="Y140" s="542"/>
      <c r="AC140" s="542"/>
      <c r="AF140" s="542"/>
      <c r="AH140" s="542"/>
      <c r="AJ140" s="542"/>
      <c r="AO140" s="544"/>
    </row>
    <row r="141" ht="15.75" customHeight="1">
      <c r="A141" s="516"/>
      <c r="B141" s="537"/>
      <c r="H141" s="538"/>
      <c r="J141" s="538"/>
      <c r="M141" s="538"/>
      <c r="R141" s="538"/>
      <c r="U141" s="538"/>
      <c r="Y141" s="538"/>
      <c r="AC141" s="538"/>
      <c r="AF141" s="538"/>
      <c r="AH141" s="538"/>
      <c r="AJ141" s="538"/>
      <c r="AO141" s="540"/>
    </row>
    <row r="142" ht="15.75" customHeight="1">
      <c r="A142" s="516"/>
      <c r="B142" s="541"/>
      <c r="H142" s="542"/>
      <c r="J142" s="542"/>
      <c r="M142" s="542"/>
      <c r="R142" s="542"/>
      <c r="U142" s="542"/>
      <c r="Y142" s="542"/>
      <c r="AC142" s="542"/>
      <c r="AF142" s="542"/>
      <c r="AH142" s="542"/>
      <c r="AJ142" s="542"/>
      <c r="AO142" s="544"/>
    </row>
    <row r="143" ht="15.75" customHeight="1">
      <c r="A143" s="516"/>
      <c r="B143" s="537"/>
      <c r="H143" s="538"/>
      <c r="J143" s="538"/>
      <c r="M143" s="538"/>
      <c r="R143" s="538"/>
      <c r="U143" s="538"/>
      <c r="Y143" s="538"/>
      <c r="AC143" s="538"/>
      <c r="AF143" s="538"/>
      <c r="AH143" s="538"/>
      <c r="AJ143" s="538"/>
      <c r="AO143" s="540"/>
    </row>
    <row r="144" ht="15.75" customHeight="1">
      <c r="A144" s="516"/>
      <c r="B144" s="541"/>
      <c r="H144" s="542"/>
      <c r="J144" s="542"/>
      <c r="M144" s="542"/>
      <c r="R144" s="542"/>
      <c r="U144" s="542"/>
      <c r="Y144" s="542"/>
      <c r="AC144" s="542"/>
      <c r="AF144" s="542"/>
      <c r="AH144" s="542"/>
      <c r="AJ144" s="542"/>
      <c r="AO144" s="544"/>
    </row>
    <row r="145" ht="15.75" customHeight="1">
      <c r="A145" s="516"/>
      <c r="B145" s="537"/>
      <c r="H145" s="538"/>
      <c r="J145" s="538"/>
      <c r="M145" s="538"/>
      <c r="R145" s="538"/>
      <c r="U145" s="538"/>
      <c r="Y145" s="538"/>
      <c r="AC145" s="538"/>
      <c r="AF145" s="538"/>
      <c r="AH145" s="538"/>
      <c r="AJ145" s="538"/>
      <c r="AO145" s="540"/>
    </row>
    <row r="146" ht="15.75" customHeight="1">
      <c r="A146" s="516"/>
      <c r="B146" s="541"/>
      <c r="H146" s="542"/>
      <c r="J146" s="542"/>
      <c r="M146" s="542"/>
      <c r="R146" s="542"/>
      <c r="U146" s="542"/>
      <c r="Y146" s="542"/>
      <c r="AC146" s="542"/>
      <c r="AF146" s="542"/>
      <c r="AH146" s="542"/>
      <c r="AJ146" s="542"/>
      <c r="AO146" s="544"/>
    </row>
    <row r="147" ht="15.75" customHeight="1">
      <c r="A147" s="516"/>
      <c r="B147" s="537"/>
      <c r="H147" s="538"/>
      <c r="J147" s="538"/>
      <c r="M147" s="538"/>
      <c r="R147" s="538"/>
      <c r="U147" s="538"/>
      <c r="Y147" s="538"/>
      <c r="AC147" s="538"/>
      <c r="AF147" s="538"/>
      <c r="AH147" s="538"/>
      <c r="AJ147" s="538"/>
      <c r="AO147" s="540"/>
    </row>
    <row r="148" ht="15.75" customHeight="1">
      <c r="A148" s="516"/>
      <c r="B148" s="541"/>
      <c r="H148" s="542"/>
      <c r="J148" s="542"/>
      <c r="M148" s="542"/>
      <c r="R148" s="542"/>
      <c r="U148" s="542"/>
      <c r="Y148" s="542"/>
      <c r="AC148" s="542"/>
      <c r="AF148" s="542"/>
      <c r="AH148" s="542"/>
      <c r="AJ148" s="542"/>
      <c r="AO148" s="544"/>
    </row>
    <row r="149" ht="15.75" customHeight="1">
      <c r="A149" s="516"/>
      <c r="B149" s="537"/>
      <c r="H149" s="538"/>
      <c r="J149" s="538"/>
      <c r="M149" s="538"/>
      <c r="R149" s="538"/>
      <c r="U149" s="538"/>
      <c r="Y149" s="538"/>
      <c r="AC149" s="538"/>
      <c r="AF149" s="538"/>
      <c r="AH149" s="538"/>
      <c r="AJ149" s="538"/>
      <c r="AO149" s="540"/>
    </row>
    <row r="150" ht="15.75" customHeight="1">
      <c r="A150" s="516"/>
      <c r="B150" s="541"/>
      <c r="H150" s="542"/>
      <c r="J150" s="542"/>
      <c r="M150" s="542"/>
      <c r="R150" s="542"/>
      <c r="U150" s="542"/>
      <c r="Y150" s="542"/>
      <c r="AC150" s="542"/>
      <c r="AF150" s="542"/>
      <c r="AH150" s="542"/>
      <c r="AJ150" s="542"/>
      <c r="AO150" s="544"/>
    </row>
    <row r="151" ht="15.75" customHeight="1">
      <c r="A151" s="516"/>
      <c r="B151" s="537"/>
      <c r="H151" s="538"/>
      <c r="J151" s="538"/>
      <c r="M151" s="538"/>
      <c r="R151" s="538"/>
      <c r="U151" s="538"/>
      <c r="Y151" s="538"/>
      <c r="AC151" s="538"/>
      <c r="AF151" s="538"/>
      <c r="AH151" s="538"/>
      <c r="AJ151" s="538"/>
      <c r="AO151" s="540"/>
    </row>
    <row r="152" ht="15.75" customHeight="1">
      <c r="A152" s="516"/>
      <c r="B152" s="541"/>
      <c r="H152" s="542"/>
      <c r="J152" s="542"/>
      <c r="M152" s="542"/>
      <c r="R152" s="542"/>
      <c r="U152" s="542"/>
      <c r="Y152" s="542"/>
      <c r="AC152" s="542"/>
      <c r="AF152" s="542"/>
      <c r="AH152" s="542"/>
      <c r="AJ152" s="542"/>
      <c r="AO152" s="544"/>
    </row>
    <row r="153" ht="15.75" customHeight="1">
      <c r="A153" s="516"/>
      <c r="B153" s="537"/>
      <c r="H153" s="538"/>
      <c r="J153" s="538"/>
      <c r="M153" s="538"/>
      <c r="R153" s="538"/>
      <c r="U153" s="538"/>
      <c r="Y153" s="538"/>
      <c r="AC153" s="538"/>
      <c r="AF153" s="538"/>
      <c r="AH153" s="538"/>
      <c r="AJ153" s="538"/>
      <c r="AO153" s="540"/>
    </row>
    <row r="154" ht="15.75" customHeight="1">
      <c r="A154" s="516"/>
      <c r="B154" s="541"/>
      <c r="H154" s="542"/>
      <c r="J154" s="542"/>
      <c r="M154" s="542"/>
      <c r="R154" s="542"/>
      <c r="U154" s="542"/>
      <c r="Y154" s="542"/>
      <c r="AC154" s="542"/>
      <c r="AF154" s="542"/>
      <c r="AH154" s="542"/>
      <c r="AJ154" s="542"/>
      <c r="AO154" s="544"/>
    </row>
    <row r="155" ht="15.75" customHeight="1">
      <c r="A155" s="516"/>
      <c r="B155" s="537"/>
      <c r="H155" s="538"/>
      <c r="J155" s="538"/>
      <c r="M155" s="538"/>
      <c r="R155" s="538"/>
      <c r="U155" s="538"/>
      <c r="Y155" s="538"/>
      <c r="AC155" s="538"/>
      <c r="AF155" s="538"/>
      <c r="AH155" s="538"/>
      <c r="AJ155" s="538"/>
      <c r="AO155" s="540"/>
    </row>
    <row r="156" ht="15.75" customHeight="1">
      <c r="A156" s="516"/>
      <c r="B156" s="541"/>
      <c r="H156" s="542"/>
      <c r="J156" s="542"/>
      <c r="M156" s="542"/>
      <c r="R156" s="542"/>
      <c r="U156" s="542"/>
      <c r="Y156" s="542"/>
      <c r="AC156" s="542"/>
      <c r="AF156" s="542"/>
      <c r="AH156" s="542"/>
      <c r="AJ156" s="542"/>
      <c r="AO156" s="544"/>
    </row>
    <row r="157" ht="15.75" customHeight="1">
      <c r="A157" s="516"/>
      <c r="B157" s="537"/>
      <c r="H157" s="538"/>
      <c r="J157" s="538"/>
      <c r="M157" s="538"/>
      <c r="R157" s="538"/>
      <c r="U157" s="538"/>
      <c r="Y157" s="538"/>
      <c r="AC157" s="538"/>
      <c r="AF157" s="538"/>
      <c r="AH157" s="538"/>
      <c r="AJ157" s="538"/>
      <c r="AO157" s="540"/>
    </row>
    <row r="158" ht="15.75" customHeight="1">
      <c r="A158" s="516"/>
      <c r="B158" s="541"/>
      <c r="H158" s="542"/>
      <c r="J158" s="542"/>
      <c r="M158" s="542"/>
      <c r="R158" s="542"/>
      <c r="U158" s="542"/>
      <c r="Y158" s="542"/>
      <c r="AC158" s="542"/>
      <c r="AF158" s="542"/>
      <c r="AH158" s="542"/>
      <c r="AJ158" s="542"/>
      <c r="AO158" s="544"/>
    </row>
    <row r="159" ht="15.75" customHeight="1">
      <c r="A159" s="516"/>
      <c r="B159" s="537"/>
      <c r="H159" s="538"/>
      <c r="J159" s="538"/>
      <c r="M159" s="538"/>
      <c r="R159" s="538"/>
      <c r="U159" s="538"/>
      <c r="Y159" s="538"/>
      <c r="AC159" s="538"/>
      <c r="AF159" s="538"/>
      <c r="AH159" s="538"/>
      <c r="AJ159" s="538"/>
      <c r="AO159" s="540"/>
    </row>
    <row r="160" ht="15.75" customHeight="1">
      <c r="A160" s="516"/>
      <c r="B160" s="541"/>
      <c r="H160" s="542"/>
      <c r="J160" s="542"/>
      <c r="M160" s="542"/>
      <c r="R160" s="542"/>
      <c r="U160" s="542"/>
      <c r="Y160" s="542"/>
      <c r="AC160" s="542"/>
      <c r="AF160" s="542"/>
      <c r="AH160" s="542"/>
      <c r="AJ160" s="542"/>
      <c r="AO160" s="544"/>
    </row>
    <row r="161" ht="15.75" customHeight="1">
      <c r="A161" s="516"/>
      <c r="B161" s="537"/>
      <c r="H161" s="538"/>
      <c r="J161" s="538"/>
      <c r="M161" s="538"/>
      <c r="R161" s="538"/>
      <c r="U161" s="538"/>
      <c r="Y161" s="538"/>
      <c r="AC161" s="538"/>
      <c r="AF161" s="538"/>
      <c r="AH161" s="538"/>
      <c r="AJ161" s="538"/>
      <c r="AO161" s="540"/>
    </row>
    <row r="162" ht="15.75" customHeight="1">
      <c r="A162" s="516"/>
      <c r="B162" s="541"/>
      <c r="H162" s="542"/>
      <c r="J162" s="542"/>
      <c r="M162" s="542"/>
      <c r="R162" s="542"/>
      <c r="U162" s="542"/>
      <c r="Y162" s="542"/>
      <c r="AC162" s="542"/>
      <c r="AF162" s="542"/>
      <c r="AH162" s="542"/>
      <c r="AJ162" s="542"/>
      <c r="AO162" s="544"/>
    </row>
    <row r="163" ht="15.75" customHeight="1">
      <c r="A163" s="516"/>
      <c r="B163" s="537"/>
      <c r="H163" s="538"/>
      <c r="J163" s="538"/>
      <c r="M163" s="538"/>
      <c r="R163" s="538"/>
      <c r="U163" s="538"/>
      <c r="Y163" s="538"/>
      <c r="AC163" s="538"/>
      <c r="AF163" s="538"/>
      <c r="AH163" s="538"/>
      <c r="AJ163" s="538"/>
      <c r="AO163" s="540"/>
    </row>
    <row r="164" ht="15.75" customHeight="1">
      <c r="A164" s="516"/>
      <c r="B164" s="541"/>
      <c r="H164" s="542"/>
      <c r="J164" s="542"/>
      <c r="M164" s="542"/>
      <c r="R164" s="542"/>
      <c r="U164" s="542"/>
      <c r="Y164" s="542"/>
      <c r="AC164" s="542"/>
      <c r="AF164" s="542"/>
      <c r="AH164" s="542"/>
      <c r="AJ164" s="542"/>
      <c r="AO164" s="544"/>
    </row>
    <row r="165" ht="15.75" customHeight="1">
      <c r="A165" s="516"/>
      <c r="B165" s="537"/>
      <c r="H165" s="538"/>
      <c r="J165" s="538"/>
      <c r="M165" s="538"/>
      <c r="R165" s="538"/>
      <c r="U165" s="538"/>
      <c r="Y165" s="538"/>
      <c r="AC165" s="538"/>
      <c r="AF165" s="538"/>
      <c r="AH165" s="538"/>
      <c r="AJ165" s="538"/>
      <c r="AO165" s="540"/>
    </row>
    <row r="166" ht="15.75" customHeight="1">
      <c r="A166" s="516"/>
      <c r="B166" s="541"/>
      <c r="H166" s="542"/>
      <c r="J166" s="542"/>
      <c r="M166" s="542"/>
      <c r="R166" s="542"/>
      <c r="U166" s="542"/>
      <c r="Y166" s="542"/>
      <c r="AC166" s="542"/>
      <c r="AF166" s="542"/>
      <c r="AH166" s="542"/>
      <c r="AJ166" s="542"/>
      <c r="AO166" s="544"/>
    </row>
    <row r="167" ht="15.75" customHeight="1">
      <c r="A167" s="516"/>
      <c r="B167" s="537"/>
      <c r="H167" s="538"/>
      <c r="J167" s="538"/>
      <c r="M167" s="538"/>
      <c r="R167" s="538"/>
      <c r="U167" s="538"/>
      <c r="Y167" s="538"/>
      <c r="AC167" s="538"/>
      <c r="AF167" s="538"/>
      <c r="AH167" s="538"/>
      <c r="AJ167" s="538"/>
      <c r="AO167" s="540"/>
    </row>
    <row r="168" ht="15.75" customHeight="1">
      <c r="A168" s="516"/>
      <c r="B168" s="541"/>
      <c r="H168" s="542"/>
      <c r="J168" s="542"/>
      <c r="M168" s="542"/>
      <c r="R168" s="542"/>
      <c r="U168" s="542"/>
      <c r="Y168" s="542"/>
      <c r="AC168" s="542"/>
      <c r="AF168" s="542"/>
      <c r="AH168" s="542"/>
      <c r="AJ168" s="542"/>
      <c r="AO168" s="544"/>
    </row>
    <row r="169" ht="15.75" customHeight="1">
      <c r="A169" s="516"/>
      <c r="B169" s="537"/>
      <c r="H169" s="538"/>
      <c r="J169" s="538"/>
      <c r="M169" s="538"/>
      <c r="R169" s="538"/>
      <c r="U169" s="538"/>
      <c r="Y169" s="538"/>
      <c r="AC169" s="538"/>
      <c r="AF169" s="538"/>
      <c r="AH169" s="538"/>
      <c r="AJ169" s="538"/>
      <c r="AO169" s="540"/>
    </row>
    <row r="170" ht="15.75" customHeight="1">
      <c r="A170" s="516"/>
      <c r="B170" s="541"/>
      <c r="H170" s="542"/>
      <c r="J170" s="542"/>
      <c r="M170" s="542"/>
      <c r="R170" s="542"/>
      <c r="U170" s="542"/>
      <c r="Y170" s="542"/>
      <c r="AC170" s="542"/>
      <c r="AF170" s="542"/>
      <c r="AH170" s="542"/>
      <c r="AJ170" s="542"/>
      <c r="AO170" s="544"/>
    </row>
    <row r="171" ht="15.75" customHeight="1">
      <c r="A171" s="516"/>
      <c r="B171" s="537"/>
      <c r="H171" s="538"/>
      <c r="J171" s="538"/>
      <c r="M171" s="538"/>
      <c r="R171" s="538"/>
      <c r="U171" s="538"/>
      <c r="Y171" s="538"/>
      <c r="AC171" s="538"/>
      <c r="AF171" s="538"/>
      <c r="AH171" s="538"/>
      <c r="AJ171" s="538"/>
      <c r="AO171" s="540"/>
    </row>
    <row r="172" ht="15.75" customHeight="1">
      <c r="A172" s="516"/>
      <c r="B172" s="541"/>
      <c r="H172" s="542"/>
      <c r="J172" s="542"/>
      <c r="M172" s="542"/>
      <c r="R172" s="542"/>
      <c r="U172" s="542"/>
      <c r="Y172" s="542"/>
      <c r="AC172" s="542"/>
      <c r="AF172" s="542"/>
      <c r="AH172" s="542"/>
      <c r="AJ172" s="542"/>
      <c r="AO172" s="544"/>
    </row>
    <row r="173" ht="15.75" customHeight="1">
      <c r="A173" s="516"/>
      <c r="B173" s="537"/>
      <c r="H173" s="538"/>
      <c r="J173" s="538"/>
      <c r="M173" s="538"/>
      <c r="R173" s="538"/>
      <c r="U173" s="538"/>
      <c r="Y173" s="538"/>
      <c r="AC173" s="538"/>
      <c r="AF173" s="538"/>
      <c r="AH173" s="538"/>
      <c r="AJ173" s="538"/>
      <c r="AO173" s="540"/>
    </row>
    <row r="174" ht="15.75" customHeight="1">
      <c r="A174" s="516"/>
      <c r="B174" s="541"/>
      <c r="H174" s="542"/>
      <c r="J174" s="542"/>
      <c r="M174" s="542"/>
      <c r="R174" s="542"/>
      <c r="U174" s="542"/>
      <c r="Y174" s="542"/>
      <c r="AC174" s="542"/>
      <c r="AF174" s="542"/>
      <c r="AH174" s="542"/>
      <c r="AJ174" s="542"/>
      <c r="AO174" s="544"/>
    </row>
    <row r="175" ht="15.75" customHeight="1">
      <c r="A175" s="516"/>
      <c r="B175" s="537"/>
      <c r="H175" s="538"/>
      <c r="J175" s="538"/>
      <c r="M175" s="538"/>
      <c r="R175" s="538"/>
      <c r="U175" s="538"/>
      <c r="Y175" s="538"/>
      <c r="AC175" s="538"/>
      <c r="AF175" s="538"/>
      <c r="AH175" s="538"/>
      <c r="AJ175" s="538"/>
      <c r="AO175" s="540"/>
    </row>
    <row r="176" ht="15.75" customHeight="1">
      <c r="A176" s="516"/>
      <c r="B176" s="541"/>
      <c r="H176" s="542"/>
      <c r="J176" s="542"/>
      <c r="M176" s="542"/>
      <c r="R176" s="542"/>
      <c r="U176" s="542"/>
      <c r="Y176" s="542"/>
      <c r="AC176" s="542"/>
      <c r="AF176" s="542"/>
      <c r="AH176" s="542"/>
      <c r="AJ176" s="542"/>
      <c r="AO176" s="544"/>
    </row>
    <row r="177" ht="15.75" customHeight="1">
      <c r="A177" s="516"/>
      <c r="B177" s="537"/>
      <c r="H177" s="538"/>
      <c r="J177" s="538"/>
      <c r="M177" s="538"/>
      <c r="R177" s="538"/>
      <c r="U177" s="538"/>
      <c r="Y177" s="538"/>
      <c r="AC177" s="538"/>
      <c r="AF177" s="538"/>
      <c r="AH177" s="538"/>
      <c r="AJ177" s="538"/>
      <c r="AO177" s="540"/>
    </row>
    <row r="178" ht="15.75" customHeight="1">
      <c r="A178" s="516"/>
      <c r="B178" s="541"/>
      <c r="H178" s="542"/>
      <c r="J178" s="542"/>
      <c r="M178" s="542"/>
      <c r="R178" s="542"/>
      <c r="U178" s="542"/>
      <c r="Y178" s="542"/>
      <c r="AC178" s="542"/>
      <c r="AF178" s="542"/>
      <c r="AH178" s="542"/>
      <c r="AJ178" s="542"/>
      <c r="AO178" s="544"/>
    </row>
    <row r="179" ht="15.75" customHeight="1">
      <c r="A179" s="516"/>
      <c r="B179" s="537"/>
      <c r="H179" s="538"/>
      <c r="J179" s="538"/>
      <c r="M179" s="538"/>
      <c r="R179" s="538"/>
      <c r="U179" s="538"/>
      <c r="Y179" s="538"/>
      <c r="AC179" s="538"/>
      <c r="AF179" s="538"/>
      <c r="AH179" s="538"/>
      <c r="AJ179" s="538"/>
      <c r="AO179" s="540"/>
    </row>
    <row r="180" ht="15.75" customHeight="1">
      <c r="A180" s="516"/>
      <c r="B180" s="541"/>
      <c r="H180" s="542"/>
      <c r="J180" s="542"/>
      <c r="M180" s="542"/>
      <c r="R180" s="542"/>
      <c r="U180" s="542"/>
      <c r="Y180" s="542"/>
      <c r="AC180" s="542"/>
      <c r="AF180" s="542"/>
      <c r="AH180" s="542"/>
      <c r="AJ180" s="542"/>
      <c r="AO180" s="544"/>
    </row>
    <row r="181" ht="15.75" customHeight="1">
      <c r="A181" s="516"/>
      <c r="B181" s="537"/>
      <c r="H181" s="538"/>
      <c r="J181" s="538"/>
      <c r="M181" s="538"/>
      <c r="R181" s="538"/>
      <c r="U181" s="538"/>
      <c r="Y181" s="538"/>
      <c r="AC181" s="538"/>
      <c r="AF181" s="538"/>
      <c r="AH181" s="538"/>
      <c r="AJ181" s="538"/>
      <c r="AO181" s="540"/>
    </row>
    <row r="182" ht="15.75" customHeight="1">
      <c r="A182" s="516"/>
      <c r="B182" s="541"/>
      <c r="H182" s="542"/>
      <c r="J182" s="542"/>
      <c r="M182" s="542"/>
      <c r="R182" s="542"/>
      <c r="U182" s="542"/>
      <c r="Y182" s="542"/>
      <c r="AC182" s="542"/>
      <c r="AF182" s="542"/>
      <c r="AH182" s="542"/>
      <c r="AJ182" s="542"/>
      <c r="AO182" s="544"/>
    </row>
    <row r="183" ht="15.75" customHeight="1">
      <c r="A183" s="516"/>
      <c r="B183" s="537"/>
      <c r="H183" s="538"/>
      <c r="J183" s="538"/>
      <c r="M183" s="538"/>
      <c r="R183" s="538"/>
      <c r="U183" s="538"/>
      <c r="Y183" s="538"/>
      <c r="AC183" s="538"/>
      <c r="AF183" s="538"/>
      <c r="AH183" s="538"/>
      <c r="AJ183" s="538"/>
      <c r="AO183" s="540"/>
    </row>
    <row r="184" ht="15.75" customHeight="1">
      <c r="A184" s="516"/>
      <c r="B184" s="541"/>
      <c r="H184" s="542"/>
      <c r="J184" s="542"/>
      <c r="M184" s="542"/>
      <c r="R184" s="542"/>
      <c r="U184" s="542"/>
      <c r="Y184" s="542"/>
      <c r="AC184" s="542"/>
      <c r="AF184" s="542"/>
      <c r="AH184" s="542"/>
      <c r="AJ184" s="542"/>
      <c r="AO184" s="544"/>
    </row>
    <row r="185" ht="15.75" customHeight="1">
      <c r="A185" s="516"/>
      <c r="B185" s="537"/>
      <c r="H185" s="538"/>
      <c r="J185" s="538"/>
      <c r="M185" s="538"/>
      <c r="R185" s="538"/>
      <c r="U185" s="538"/>
      <c r="Y185" s="538"/>
      <c r="AC185" s="538"/>
      <c r="AF185" s="538"/>
      <c r="AH185" s="538"/>
      <c r="AJ185" s="538"/>
      <c r="AO185" s="540"/>
    </row>
    <row r="186" ht="15.75" customHeight="1">
      <c r="A186" s="516"/>
      <c r="B186" s="541"/>
      <c r="H186" s="542"/>
      <c r="J186" s="542"/>
      <c r="M186" s="542"/>
      <c r="R186" s="542"/>
      <c r="U186" s="542"/>
      <c r="Y186" s="542"/>
      <c r="AC186" s="542"/>
      <c r="AF186" s="542"/>
      <c r="AH186" s="542"/>
      <c r="AJ186" s="542"/>
      <c r="AO186" s="544"/>
    </row>
    <row r="187" ht="15.75" customHeight="1">
      <c r="A187" s="516"/>
      <c r="B187" s="537"/>
      <c r="H187" s="538"/>
      <c r="J187" s="538"/>
      <c r="M187" s="538"/>
      <c r="R187" s="538"/>
      <c r="U187" s="538"/>
      <c r="Y187" s="538"/>
      <c r="AC187" s="538"/>
      <c r="AF187" s="538"/>
      <c r="AH187" s="538"/>
      <c r="AJ187" s="538"/>
      <c r="AO187" s="540"/>
    </row>
    <row r="188" ht="15.75" customHeight="1">
      <c r="A188" s="516"/>
      <c r="B188" s="541"/>
      <c r="H188" s="542"/>
      <c r="J188" s="542"/>
      <c r="M188" s="542"/>
      <c r="R188" s="542"/>
      <c r="U188" s="542"/>
      <c r="Y188" s="542"/>
      <c r="AC188" s="542"/>
      <c r="AF188" s="542"/>
      <c r="AH188" s="542"/>
      <c r="AJ188" s="542"/>
      <c r="AO188" s="544"/>
    </row>
    <row r="189" ht="15.75" customHeight="1">
      <c r="A189" s="516"/>
      <c r="B189" s="537"/>
      <c r="H189" s="538"/>
      <c r="J189" s="538"/>
      <c r="M189" s="538"/>
      <c r="R189" s="538"/>
      <c r="U189" s="538"/>
      <c r="Y189" s="538"/>
      <c r="AC189" s="538"/>
      <c r="AF189" s="538"/>
      <c r="AH189" s="538"/>
      <c r="AJ189" s="538"/>
      <c r="AO189" s="540"/>
    </row>
    <row r="190" ht="15.75" customHeight="1">
      <c r="A190" s="516"/>
      <c r="B190" s="541"/>
      <c r="H190" s="542"/>
      <c r="J190" s="542"/>
      <c r="M190" s="542"/>
      <c r="R190" s="542"/>
      <c r="U190" s="542"/>
      <c r="Y190" s="542"/>
      <c r="AC190" s="542"/>
      <c r="AF190" s="542"/>
      <c r="AH190" s="542"/>
      <c r="AJ190" s="542"/>
      <c r="AO190" s="544"/>
    </row>
    <row r="191" ht="15.75" customHeight="1">
      <c r="A191" s="516"/>
      <c r="B191" s="537"/>
      <c r="H191" s="538"/>
      <c r="J191" s="538"/>
      <c r="M191" s="538"/>
      <c r="R191" s="538"/>
      <c r="U191" s="538"/>
      <c r="Y191" s="538"/>
      <c r="AC191" s="538"/>
      <c r="AF191" s="538"/>
      <c r="AH191" s="538"/>
      <c r="AJ191" s="538"/>
      <c r="AO191" s="540"/>
    </row>
    <row r="192" ht="15.75" customHeight="1">
      <c r="A192" s="516"/>
      <c r="B192" s="541"/>
      <c r="H192" s="542"/>
      <c r="J192" s="542"/>
      <c r="M192" s="542"/>
      <c r="R192" s="542"/>
      <c r="U192" s="542"/>
      <c r="Y192" s="542"/>
      <c r="AC192" s="542"/>
      <c r="AF192" s="542"/>
      <c r="AH192" s="542"/>
      <c r="AJ192" s="542"/>
      <c r="AO192" s="544"/>
    </row>
    <row r="193" ht="15.75" customHeight="1">
      <c r="A193" s="516"/>
      <c r="B193" s="537"/>
      <c r="H193" s="538"/>
      <c r="J193" s="538"/>
      <c r="M193" s="538"/>
      <c r="R193" s="538"/>
      <c r="U193" s="538"/>
      <c r="Y193" s="538"/>
      <c r="AC193" s="538"/>
      <c r="AF193" s="538"/>
      <c r="AH193" s="538"/>
      <c r="AJ193" s="538"/>
      <c r="AO193" s="540"/>
    </row>
    <row r="194" ht="15.75" customHeight="1">
      <c r="A194" s="516"/>
      <c r="B194" s="541"/>
      <c r="H194" s="542"/>
      <c r="J194" s="542"/>
      <c r="M194" s="542"/>
      <c r="R194" s="542"/>
      <c r="U194" s="542"/>
      <c r="Y194" s="542"/>
      <c r="AC194" s="542"/>
      <c r="AF194" s="542"/>
      <c r="AH194" s="542"/>
      <c r="AJ194" s="542"/>
      <c r="AO194" s="544"/>
    </row>
    <row r="195" ht="15.75" customHeight="1">
      <c r="A195" s="516"/>
      <c r="B195" s="537"/>
      <c r="H195" s="538"/>
      <c r="J195" s="538"/>
      <c r="M195" s="538"/>
      <c r="R195" s="538"/>
      <c r="U195" s="538"/>
      <c r="Y195" s="538"/>
      <c r="AC195" s="538"/>
      <c r="AF195" s="538"/>
      <c r="AH195" s="538"/>
      <c r="AJ195" s="538"/>
      <c r="AO195" s="540"/>
    </row>
    <row r="196" ht="15.75" customHeight="1">
      <c r="B196" s="553"/>
      <c r="C196" s="554"/>
      <c r="D196" s="554"/>
      <c r="E196" s="554"/>
      <c r="F196" s="554"/>
      <c r="G196" s="554"/>
      <c r="H196" s="554"/>
      <c r="I196" s="554"/>
      <c r="J196" s="554"/>
      <c r="K196" s="554"/>
      <c r="L196" s="554"/>
      <c r="M196" s="554"/>
      <c r="N196" s="554"/>
      <c r="O196" s="554"/>
      <c r="P196" s="554"/>
      <c r="Q196" s="554"/>
      <c r="R196" s="554"/>
      <c r="S196" s="554"/>
      <c r="T196" s="554"/>
      <c r="U196" s="554"/>
      <c r="V196" s="554"/>
      <c r="W196" s="554"/>
      <c r="X196" s="554"/>
      <c r="Y196" s="554"/>
      <c r="Z196" s="554"/>
      <c r="AA196" s="554"/>
      <c r="AB196" s="554"/>
      <c r="AC196" s="554"/>
      <c r="AD196" s="554"/>
      <c r="AE196" s="554"/>
      <c r="AF196" s="554"/>
      <c r="AG196" s="554"/>
      <c r="AH196" s="554"/>
      <c r="AI196" s="554"/>
      <c r="AJ196" s="554"/>
      <c r="AK196" s="554"/>
      <c r="AL196" s="554"/>
      <c r="AM196" s="554"/>
      <c r="AN196" s="554"/>
      <c r="AO196" s="555"/>
    </row>
    <row r="197" ht="15.75" customHeight="1">
      <c r="B197" s="556"/>
      <c r="C197" s="557"/>
      <c r="D197" s="557"/>
      <c r="E197" s="557"/>
      <c r="F197" s="557"/>
      <c r="G197" s="557"/>
      <c r="H197" s="557"/>
      <c r="I197" s="557"/>
      <c r="J197" s="557"/>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8"/>
    </row>
    <row r="198" ht="15.75" customHeight="1">
      <c r="B198" s="553"/>
      <c r="C198" s="554"/>
      <c r="D198" s="554"/>
      <c r="E198" s="554"/>
      <c r="F198" s="554"/>
      <c r="G198" s="554"/>
      <c r="H198" s="554"/>
      <c r="I198" s="554"/>
      <c r="J198" s="554"/>
      <c r="K198" s="554"/>
      <c r="L198" s="554"/>
      <c r="M198" s="554"/>
      <c r="N198" s="554"/>
      <c r="O198" s="554"/>
      <c r="P198" s="554"/>
      <c r="Q198" s="554"/>
      <c r="R198" s="554"/>
      <c r="S198" s="554"/>
      <c r="T198" s="554"/>
      <c r="U198" s="554"/>
      <c r="V198" s="554"/>
      <c r="W198" s="554"/>
      <c r="X198" s="554"/>
      <c r="Y198" s="554"/>
      <c r="Z198" s="554"/>
      <c r="AA198" s="554"/>
      <c r="AB198" s="554"/>
      <c r="AC198" s="554"/>
      <c r="AD198" s="554"/>
      <c r="AE198" s="554"/>
      <c r="AF198" s="554"/>
      <c r="AG198" s="554"/>
      <c r="AH198" s="554"/>
      <c r="AI198" s="554"/>
      <c r="AJ198" s="554"/>
      <c r="AK198" s="554"/>
      <c r="AL198" s="554"/>
      <c r="AM198" s="554"/>
      <c r="AN198" s="554"/>
      <c r="AO198" s="555"/>
    </row>
    <row r="199" ht="15.75" customHeight="1">
      <c r="B199" s="556"/>
      <c r="C199" s="557"/>
      <c r="D199" s="557"/>
      <c r="E199" s="557"/>
      <c r="F199" s="557"/>
      <c r="G199" s="557"/>
      <c r="H199" s="557"/>
      <c r="I199" s="557"/>
      <c r="J199" s="557"/>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8"/>
    </row>
    <row r="200" ht="15.75" customHeight="1">
      <c r="B200" s="553"/>
      <c r="C200" s="554"/>
      <c r="D200" s="554"/>
      <c r="E200" s="554"/>
      <c r="F200" s="554"/>
      <c r="G200" s="554"/>
      <c r="H200" s="554"/>
      <c r="I200" s="554"/>
      <c r="J200" s="554"/>
      <c r="K200" s="554"/>
      <c r="L200" s="554"/>
      <c r="M200" s="554"/>
      <c r="N200" s="554"/>
      <c r="O200" s="554"/>
      <c r="P200" s="554"/>
      <c r="Q200" s="554"/>
      <c r="R200" s="554"/>
      <c r="S200" s="554"/>
      <c r="T200" s="554"/>
      <c r="U200" s="554"/>
      <c r="V200" s="554"/>
      <c r="W200" s="554"/>
      <c r="X200" s="554"/>
      <c r="Y200" s="554"/>
      <c r="Z200" s="554"/>
      <c r="AA200" s="554"/>
      <c r="AB200" s="554"/>
      <c r="AC200" s="554"/>
      <c r="AD200" s="554"/>
      <c r="AE200" s="554"/>
      <c r="AF200" s="554"/>
      <c r="AG200" s="554"/>
      <c r="AH200" s="554"/>
      <c r="AI200" s="554"/>
      <c r="AJ200" s="554"/>
      <c r="AK200" s="554"/>
      <c r="AL200" s="554"/>
      <c r="AM200" s="554"/>
      <c r="AN200" s="554"/>
      <c r="AO200" s="555"/>
    </row>
    <row r="201" ht="15.75" customHeight="1">
      <c r="B201" s="556"/>
      <c r="C201" s="557"/>
      <c r="D201" s="557"/>
      <c r="E201" s="557"/>
      <c r="F201" s="557"/>
      <c r="G201" s="557"/>
      <c r="H201" s="557"/>
      <c r="I201" s="557"/>
      <c r="J201" s="557"/>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8"/>
    </row>
  </sheetData>
  <mergeCells count="2099">
    <mergeCell ref="AC8:AE8"/>
    <mergeCell ref="AF8:AG8"/>
    <mergeCell ref="AH8:AI8"/>
    <mergeCell ref="AJ8:AO8"/>
    <mergeCell ref="B8:G8"/>
    <mergeCell ref="H8:I8"/>
    <mergeCell ref="J8:L8"/>
    <mergeCell ref="M8:Q8"/>
    <mergeCell ref="R8:T8"/>
    <mergeCell ref="U8:X8"/>
    <mergeCell ref="Y8:AB8"/>
    <mergeCell ref="AC9:AE9"/>
    <mergeCell ref="AF9:AG9"/>
    <mergeCell ref="AH9:AI9"/>
    <mergeCell ref="AJ9:AO9"/>
    <mergeCell ref="B9:G9"/>
    <mergeCell ref="H9:I9"/>
    <mergeCell ref="J9:L9"/>
    <mergeCell ref="M9:Q9"/>
    <mergeCell ref="R9:T9"/>
    <mergeCell ref="U9:X9"/>
    <mergeCell ref="Y9:AB9"/>
    <mergeCell ref="AC10:AE10"/>
    <mergeCell ref="AF10:AG10"/>
    <mergeCell ref="AH10:AI10"/>
    <mergeCell ref="AJ10:AO10"/>
    <mergeCell ref="B10:G10"/>
    <mergeCell ref="H10:I10"/>
    <mergeCell ref="J10:L10"/>
    <mergeCell ref="M10:Q10"/>
    <mergeCell ref="R10:T10"/>
    <mergeCell ref="U10:X10"/>
    <mergeCell ref="Y10:AB10"/>
    <mergeCell ref="AC11:AE11"/>
    <mergeCell ref="AF11:AG11"/>
    <mergeCell ref="AH11:AI11"/>
    <mergeCell ref="AJ11:AO11"/>
    <mergeCell ref="B11:G11"/>
    <mergeCell ref="H11:I11"/>
    <mergeCell ref="J11:L11"/>
    <mergeCell ref="M11:Q11"/>
    <mergeCell ref="R11:T11"/>
    <mergeCell ref="U11:X11"/>
    <mergeCell ref="Y11:AB11"/>
    <mergeCell ref="AC12:AE12"/>
    <mergeCell ref="AF12:AG12"/>
    <mergeCell ref="AH12:AI12"/>
    <mergeCell ref="AJ12:AO12"/>
    <mergeCell ref="B12:G12"/>
    <mergeCell ref="H12:I12"/>
    <mergeCell ref="J12:L12"/>
    <mergeCell ref="M12:Q12"/>
    <mergeCell ref="R12:T12"/>
    <mergeCell ref="U12:X12"/>
    <mergeCell ref="Y12:AB12"/>
    <mergeCell ref="AC13:AE13"/>
    <mergeCell ref="AF13:AG13"/>
    <mergeCell ref="AH13:AI13"/>
    <mergeCell ref="AJ13:AO13"/>
    <mergeCell ref="B13:G13"/>
    <mergeCell ref="H13:I13"/>
    <mergeCell ref="J13:L13"/>
    <mergeCell ref="M13:Q13"/>
    <mergeCell ref="R13:T13"/>
    <mergeCell ref="U13:X13"/>
    <mergeCell ref="Y13:AB13"/>
    <mergeCell ref="AC14:AE14"/>
    <mergeCell ref="AF14:AG14"/>
    <mergeCell ref="AH14:AI14"/>
    <mergeCell ref="AJ14:AO14"/>
    <mergeCell ref="B14:G14"/>
    <mergeCell ref="H14:I14"/>
    <mergeCell ref="J14:L14"/>
    <mergeCell ref="M14:Q14"/>
    <mergeCell ref="R14:T14"/>
    <mergeCell ref="U14:X14"/>
    <mergeCell ref="Y14:AB14"/>
    <mergeCell ref="AC15:AE15"/>
    <mergeCell ref="AF15:AG15"/>
    <mergeCell ref="AH15:AI15"/>
    <mergeCell ref="AJ15:AO15"/>
    <mergeCell ref="B15:G15"/>
    <mergeCell ref="H15:I15"/>
    <mergeCell ref="J15:L15"/>
    <mergeCell ref="M15:Q15"/>
    <mergeCell ref="R15:T15"/>
    <mergeCell ref="U15:X15"/>
    <mergeCell ref="Y15:AB15"/>
    <mergeCell ref="AC16:AE16"/>
    <mergeCell ref="AF16:AG16"/>
    <mergeCell ref="AH16:AI16"/>
    <mergeCell ref="AJ16:AO16"/>
    <mergeCell ref="B16:G16"/>
    <mergeCell ref="H16:I16"/>
    <mergeCell ref="J16:L16"/>
    <mergeCell ref="M16:Q16"/>
    <mergeCell ref="R16:T16"/>
    <mergeCell ref="U16:X16"/>
    <mergeCell ref="Y16:AB16"/>
    <mergeCell ref="AC17:AE17"/>
    <mergeCell ref="AF17:AG17"/>
    <mergeCell ref="AH17:AI17"/>
    <mergeCell ref="AJ17:AO17"/>
    <mergeCell ref="B17:G17"/>
    <mergeCell ref="H17:I17"/>
    <mergeCell ref="J17:L17"/>
    <mergeCell ref="M17:Q17"/>
    <mergeCell ref="R17:T17"/>
    <mergeCell ref="U17:X17"/>
    <mergeCell ref="Y17:AB17"/>
    <mergeCell ref="AC18:AE18"/>
    <mergeCell ref="AF18:AG18"/>
    <mergeCell ref="AH18:AI18"/>
    <mergeCell ref="AJ18:AO18"/>
    <mergeCell ref="B18:G18"/>
    <mergeCell ref="H18:I18"/>
    <mergeCell ref="J18:L18"/>
    <mergeCell ref="M18:Q18"/>
    <mergeCell ref="R18:T18"/>
    <mergeCell ref="U18:X18"/>
    <mergeCell ref="Y18:AB18"/>
    <mergeCell ref="AC19:AE19"/>
    <mergeCell ref="AF19:AG19"/>
    <mergeCell ref="AH19:AI19"/>
    <mergeCell ref="AJ19:AO19"/>
    <mergeCell ref="B19:G19"/>
    <mergeCell ref="H19:I19"/>
    <mergeCell ref="J19:L19"/>
    <mergeCell ref="M19:Q19"/>
    <mergeCell ref="R19:T19"/>
    <mergeCell ref="U19:X19"/>
    <mergeCell ref="Y19:AB19"/>
    <mergeCell ref="AC20:AE20"/>
    <mergeCell ref="AF20:AG20"/>
    <mergeCell ref="AH20:AI20"/>
    <mergeCell ref="AJ20:AO20"/>
    <mergeCell ref="B20:G20"/>
    <mergeCell ref="H20:I20"/>
    <mergeCell ref="J20:L20"/>
    <mergeCell ref="M20:Q20"/>
    <mergeCell ref="R20:T20"/>
    <mergeCell ref="U20:X20"/>
    <mergeCell ref="Y20:AB20"/>
    <mergeCell ref="AC21:AE21"/>
    <mergeCell ref="AF21:AG21"/>
    <mergeCell ref="AH21:AI21"/>
    <mergeCell ref="AJ21:AO21"/>
    <mergeCell ref="B21:G21"/>
    <mergeCell ref="H21:I21"/>
    <mergeCell ref="J21:L21"/>
    <mergeCell ref="M21:Q21"/>
    <mergeCell ref="R21:T21"/>
    <mergeCell ref="U21:X21"/>
    <mergeCell ref="Y21:AB21"/>
    <mergeCell ref="AC22:AE22"/>
    <mergeCell ref="AF22:AG22"/>
    <mergeCell ref="AH22:AI22"/>
    <mergeCell ref="AJ22:AO22"/>
    <mergeCell ref="B22:G22"/>
    <mergeCell ref="H22:I22"/>
    <mergeCell ref="J22:L22"/>
    <mergeCell ref="M22:Q22"/>
    <mergeCell ref="R22:T22"/>
    <mergeCell ref="U22:X22"/>
    <mergeCell ref="Y22:AB22"/>
    <mergeCell ref="AC23:AE23"/>
    <mergeCell ref="AF23:AG23"/>
    <mergeCell ref="AH23:AI23"/>
    <mergeCell ref="AJ23:AO23"/>
    <mergeCell ref="B23:G23"/>
    <mergeCell ref="H23:I23"/>
    <mergeCell ref="J23:L23"/>
    <mergeCell ref="M23:Q23"/>
    <mergeCell ref="R23:T23"/>
    <mergeCell ref="U23:X23"/>
    <mergeCell ref="Y23:AB23"/>
    <mergeCell ref="AC24:AE24"/>
    <mergeCell ref="AF24:AG24"/>
    <mergeCell ref="AH24:AI24"/>
    <mergeCell ref="AJ24:AO24"/>
    <mergeCell ref="B24:G24"/>
    <mergeCell ref="H24:I24"/>
    <mergeCell ref="J24:L24"/>
    <mergeCell ref="M24:Q24"/>
    <mergeCell ref="R24:T24"/>
    <mergeCell ref="U24:X24"/>
    <mergeCell ref="Y24:AB24"/>
    <mergeCell ref="AC25:AE25"/>
    <mergeCell ref="AF25:AG25"/>
    <mergeCell ref="AH25:AI25"/>
    <mergeCell ref="AJ25:AO25"/>
    <mergeCell ref="B25:G25"/>
    <mergeCell ref="H25:I25"/>
    <mergeCell ref="J25:L25"/>
    <mergeCell ref="M25:Q25"/>
    <mergeCell ref="R25:T25"/>
    <mergeCell ref="U25:X25"/>
    <mergeCell ref="Y25:AB25"/>
    <mergeCell ref="AC26:AE26"/>
    <mergeCell ref="AF26:AG26"/>
    <mergeCell ref="AH26:AI26"/>
    <mergeCell ref="AJ26:AO26"/>
    <mergeCell ref="B26:G26"/>
    <mergeCell ref="H26:I26"/>
    <mergeCell ref="J26:L26"/>
    <mergeCell ref="M26:Q26"/>
    <mergeCell ref="R26:T26"/>
    <mergeCell ref="U26:X26"/>
    <mergeCell ref="Y26:AB26"/>
    <mergeCell ref="AC27:AE27"/>
    <mergeCell ref="AF27:AG27"/>
    <mergeCell ref="AH27:AI27"/>
    <mergeCell ref="AJ27:AO27"/>
    <mergeCell ref="B27:G27"/>
    <mergeCell ref="H27:I27"/>
    <mergeCell ref="J27:L27"/>
    <mergeCell ref="M27:Q27"/>
    <mergeCell ref="R27:T27"/>
    <mergeCell ref="U27:X27"/>
    <mergeCell ref="Y27:AB27"/>
    <mergeCell ref="AC28:AE28"/>
    <mergeCell ref="AF28:AG28"/>
    <mergeCell ref="AH28:AI28"/>
    <mergeCell ref="AJ28:AO28"/>
    <mergeCell ref="B28:G28"/>
    <mergeCell ref="H28:I28"/>
    <mergeCell ref="J28:L28"/>
    <mergeCell ref="M28:Q28"/>
    <mergeCell ref="R28:T28"/>
    <mergeCell ref="U28:X28"/>
    <mergeCell ref="Y28:AB28"/>
    <mergeCell ref="AC29:AE29"/>
    <mergeCell ref="AF29:AG29"/>
    <mergeCell ref="AH29:AI29"/>
    <mergeCell ref="AJ29:AO29"/>
    <mergeCell ref="B29:G29"/>
    <mergeCell ref="H29:I29"/>
    <mergeCell ref="J29:L29"/>
    <mergeCell ref="M29:Q29"/>
    <mergeCell ref="R29:T29"/>
    <mergeCell ref="U29:X29"/>
    <mergeCell ref="Y29:AB29"/>
    <mergeCell ref="AC30:AE30"/>
    <mergeCell ref="AF30:AG30"/>
    <mergeCell ref="AH30:AI30"/>
    <mergeCell ref="AJ30:AO30"/>
    <mergeCell ref="B30:G30"/>
    <mergeCell ref="H30:I30"/>
    <mergeCell ref="J30:L30"/>
    <mergeCell ref="M30:Q30"/>
    <mergeCell ref="R30:T30"/>
    <mergeCell ref="U30:X30"/>
    <mergeCell ref="Y30:AB30"/>
    <mergeCell ref="AC31:AE31"/>
    <mergeCell ref="AF31:AG31"/>
    <mergeCell ref="AH31:AI31"/>
    <mergeCell ref="AJ31:AO31"/>
    <mergeCell ref="B31:G31"/>
    <mergeCell ref="H31:I31"/>
    <mergeCell ref="J31:L31"/>
    <mergeCell ref="M31:Q31"/>
    <mergeCell ref="R31:T31"/>
    <mergeCell ref="U31:X31"/>
    <mergeCell ref="Y31:AB31"/>
    <mergeCell ref="AC32:AE32"/>
    <mergeCell ref="AF32:AG32"/>
    <mergeCell ref="AH32:AI32"/>
    <mergeCell ref="AJ32:AO32"/>
    <mergeCell ref="B32:G32"/>
    <mergeCell ref="H32:I32"/>
    <mergeCell ref="J32:L32"/>
    <mergeCell ref="M32:Q32"/>
    <mergeCell ref="R32:T32"/>
    <mergeCell ref="U32:X32"/>
    <mergeCell ref="Y32:AB32"/>
    <mergeCell ref="AC33:AE33"/>
    <mergeCell ref="AF33:AG33"/>
    <mergeCell ref="AH33:AI33"/>
    <mergeCell ref="AJ33:AO33"/>
    <mergeCell ref="B33:G33"/>
    <mergeCell ref="H33:I33"/>
    <mergeCell ref="J33:L33"/>
    <mergeCell ref="M33:Q33"/>
    <mergeCell ref="R33:T33"/>
    <mergeCell ref="U33:X33"/>
    <mergeCell ref="Y33:AB33"/>
    <mergeCell ref="AC34:AE34"/>
    <mergeCell ref="AF34:AG34"/>
    <mergeCell ref="AH34:AI34"/>
    <mergeCell ref="AJ34:AO34"/>
    <mergeCell ref="B34:G34"/>
    <mergeCell ref="H34:I34"/>
    <mergeCell ref="J34:L34"/>
    <mergeCell ref="M34:Q34"/>
    <mergeCell ref="R34:T34"/>
    <mergeCell ref="U34:X34"/>
    <mergeCell ref="Y34:AB34"/>
    <mergeCell ref="AC35:AE35"/>
    <mergeCell ref="AF35:AG35"/>
    <mergeCell ref="AH35:AI35"/>
    <mergeCell ref="AJ35:AO35"/>
    <mergeCell ref="B35:G35"/>
    <mergeCell ref="H35:I35"/>
    <mergeCell ref="J35:L35"/>
    <mergeCell ref="M35:Q35"/>
    <mergeCell ref="R35:T35"/>
    <mergeCell ref="U35:X35"/>
    <mergeCell ref="Y35:AB35"/>
    <mergeCell ref="AC36:AE36"/>
    <mergeCell ref="AF36:AG36"/>
    <mergeCell ref="AH36:AI36"/>
    <mergeCell ref="AJ36:AO36"/>
    <mergeCell ref="B36:G36"/>
    <mergeCell ref="H36:I36"/>
    <mergeCell ref="J36:L36"/>
    <mergeCell ref="M36:Q36"/>
    <mergeCell ref="R36:T36"/>
    <mergeCell ref="U36:X36"/>
    <mergeCell ref="Y36:AB36"/>
    <mergeCell ref="AC37:AE37"/>
    <mergeCell ref="AF37:AG37"/>
    <mergeCell ref="AH37:AI37"/>
    <mergeCell ref="AJ37:AO37"/>
    <mergeCell ref="B37:G37"/>
    <mergeCell ref="H37:I37"/>
    <mergeCell ref="J37:L37"/>
    <mergeCell ref="M37:Q37"/>
    <mergeCell ref="R37:T37"/>
    <mergeCell ref="U37:X37"/>
    <mergeCell ref="Y37:AB37"/>
    <mergeCell ref="AC38:AE38"/>
    <mergeCell ref="AF38:AG38"/>
    <mergeCell ref="AH38:AI38"/>
    <mergeCell ref="AJ38:AO38"/>
    <mergeCell ref="B38:G38"/>
    <mergeCell ref="H38:I38"/>
    <mergeCell ref="J38:L38"/>
    <mergeCell ref="M38:Q38"/>
    <mergeCell ref="R38:T38"/>
    <mergeCell ref="U38:X38"/>
    <mergeCell ref="Y38:AB38"/>
    <mergeCell ref="AC39:AE39"/>
    <mergeCell ref="AF39:AG39"/>
    <mergeCell ref="AH39:AI39"/>
    <mergeCell ref="AJ39:AO39"/>
    <mergeCell ref="B39:G39"/>
    <mergeCell ref="H39:I39"/>
    <mergeCell ref="J39:L39"/>
    <mergeCell ref="M39:Q39"/>
    <mergeCell ref="R39:T39"/>
    <mergeCell ref="U39:X39"/>
    <mergeCell ref="Y39:AB39"/>
    <mergeCell ref="AC40:AE40"/>
    <mergeCell ref="AF40:AG40"/>
    <mergeCell ref="AH40:AI40"/>
    <mergeCell ref="AJ40:AO40"/>
    <mergeCell ref="B40:G40"/>
    <mergeCell ref="H40:I40"/>
    <mergeCell ref="J40:L40"/>
    <mergeCell ref="M40:Q40"/>
    <mergeCell ref="R40:T40"/>
    <mergeCell ref="U40:X40"/>
    <mergeCell ref="Y40:AB40"/>
    <mergeCell ref="AC41:AE41"/>
    <mergeCell ref="AF41:AG41"/>
    <mergeCell ref="AH41:AI41"/>
    <mergeCell ref="AJ41:AO41"/>
    <mergeCell ref="B41:G41"/>
    <mergeCell ref="H41:I41"/>
    <mergeCell ref="J41:L41"/>
    <mergeCell ref="M41:Q41"/>
    <mergeCell ref="R41:T41"/>
    <mergeCell ref="U41:X41"/>
    <mergeCell ref="Y41:AB41"/>
    <mergeCell ref="AC42:AE42"/>
    <mergeCell ref="AF42:AG42"/>
    <mergeCell ref="AH42:AI42"/>
    <mergeCell ref="AJ42:AO42"/>
    <mergeCell ref="B42:G42"/>
    <mergeCell ref="H42:I42"/>
    <mergeCell ref="J42:L42"/>
    <mergeCell ref="M42:Q42"/>
    <mergeCell ref="R42:T42"/>
    <mergeCell ref="U42:X42"/>
    <mergeCell ref="Y42:AB42"/>
    <mergeCell ref="AC43:AE43"/>
    <mergeCell ref="AF43:AG43"/>
    <mergeCell ref="AH43:AI43"/>
    <mergeCell ref="AJ43:AO43"/>
    <mergeCell ref="B43:G43"/>
    <mergeCell ref="H43:I43"/>
    <mergeCell ref="J43:L43"/>
    <mergeCell ref="M43:Q43"/>
    <mergeCell ref="R43:T43"/>
    <mergeCell ref="U43:X43"/>
    <mergeCell ref="Y43:AB43"/>
    <mergeCell ref="AC44:AE44"/>
    <mergeCell ref="AF44:AG44"/>
    <mergeCell ref="AH44:AI44"/>
    <mergeCell ref="AJ44:AO44"/>
    <mergeCell ref="B44:G44"/>
    <mergeCell ref="H44:I44"/>
    <mergeCell ref="J44:L44"/>
    <mergeCell ref="M44:Q44"/>
    <mergeCell ref="R44:T44"/>
    <mergeCell ref="U44:X44"/>
    <mergeCell ref="Y44:AB44"/>
    <mergeCell ref="AC45:AE45"/>
    <mergeCell ref="AF45:AG45"/>
    <mergeCell ref="AH45:AI45"/>
    <mergeCell ref="AJ45:AO45"/>
    <mergeCell ref="B45:G45"/>
    <mergeCell ref="H45:I45"/>
    <mergeCell ref="J45:L45"/>
    <mergeCell ref="M45:Q45"/>
    <mergeCell ref="R45:T45"/>
    <mergeCell ref="U45:X45"/>
    <mergeCell ref="Y45:AB45"/>
    <mergeCell ref="AC46:AE46"/>
    <mergeCell ref="AF46:AG46"/>
    <mergeCell ref="AH46:AI46"/>
    <mergeCell ref="AJ46:AO46"/>
    <mergeCell ref="B46:G46"/>
    <mergeCell ref="H46:I46"/>
    <mergeCell ref="J46:L46"/>
    <mergeCell ref="M46:Q46"/>
    <mergeCell ref="R46:T46"/>
    <mergeCell ref="U46:X46"/>
    <mergeCell ref="Y46:AB46"/>
    <mergeCell ref="AC47:AE47"/>
    <mergeCell ref="AF47:AG47"/>
    <mergeCell ref="AH47:AI47"/>
    <mergeCell ref="AJ47:AO47"/>
    <mergeCell ref="B47:G47"/>
    <mergeCell ref="H47:I47"/>
    <mergeCell ref="J47:L47"/>
    <mergeCell ref="M47:Q47"/>
    <mergeCell ref="R47:T47"/>
    <mergeCell ref="U47:X47"/>
    <mergeCell ref="Y47:AB47"/>
    <mergeCell ref="AC48:AE48"/>
    <mergeCell ref="AF48:AG48"/>
    <mergeCell ref="AH48:AI48"/>
    <mergeCell ref="AJ48:AO48"/>
    <mergeCell ref="B48:G48"/>
    <mergeCell ref="H48:I48"/>
    <mergeCell ref="J48:L48"/>
    <mergeCell ref="M48:Q48"/>
    <mergeCell ref="R48:T48"/>
    <mergeCell ref="U48:X48"/>
    <mergeCell ref="Y48:AB48"/>
    <mergeCell ref="AC49:AE49"/>
    <mergeCell ref="AF49:AG49"/>
    <mergeCell ref="AH49:AI49"/>
    <mergeCell ref="AJ49:AO49"/>
    <mergeCell ref="B49:G49"/>
    <mergeCell ref="H49:I49"/>
    <mergeCell ref="J49:L49"/>
    <mergeCell ref="M49:Q49"/>
    <mergeCell ref="R49:T49"/>
    <mergeCell ref="U49:X49"/>
    <mergeCell ref="Y49:AB49"/>
    <mergeCell ref="AC50:AE50"/>
    <mergeCell ref="AF50:AG50"/>
    <mergeCell ref="AH50:AI50"/>
    <mergeCell ref="AJ50:AO50"/>
    <mergeCell ref="B50:G50"/>
    <mergeCell ref="H50:I50"/>
    <mergeCell ref="J50:L50"/>
    <mergeCell ref="M50:Q50"/>
    <mergeCell ref="R50:T50"/>
    <mergeCell ref="U50:X50"/>
    <mergeCell ref="Y50:AB50"/>
    <mergeCell ref="AC51:AE51"/>
    <mergeCell ref="AF51:AG51"/>
    <mergeCell ref="AH51:AI51"/>
    <mergeCell ref="AJ51:AO51"/>
    <mergeCell ref="B51:G51"/>
    <mergeCell ref="H51:I51"/>
    <mergeCell ref="J51:L51"/>
    <mergeCell ref="M51:Q51"/>
    <mergeCell ref="R51:T51"/>
    <mergeCell ref="U51:X51"/>
    <mergeCell ref="Y51:AB51"/>
    <mergeCell ref="AC52:AE52"/>
    <mergeCell ref="AF52:AG52"/>
    <mergeCell ref="AH52:AI52"/>
    <mergeCell ref="AJ52:AO52"/>
    <mergeCell ref="B52:G52"/>
    <mergeCell ref="H52:I52"/>
    <mergeCell ref="J52:L52"/>
    <mergeCell ref="M52:Q52"/>
    <mergeCell ref="R52:T52"/>
    <mergeCell ref="U52:X52"/>
    <mergeCell ref="Y52:AB52"/>
    <mergeCell ref="AC53:AE53"/>
    <mergeCell ref="AF53:AG53"/>
    <mergeCell ref="AH53:AI53"/>
    <mergeCell ref="AJ53:AO53"/>
    <mergeCell ref="B53:G53"/>
    <mergeCell ref="H53:I53"/>
    <mergeCell ref="J53:L53"/>
    <mergeCell ref="M53:Q53"/>
    <mergeCell ref="R53:T53"/>
    <mergeCell ref="U53:X53"/>
    <mergeCell ref="Y53:AB53"/>
    <mergeCell ref="AC54:AE54"/>
    <mergeCell ref="AF54:AG54"/>
    <mergeCell ref="AH54:AI54"/>
    <mergeCell ref="AJ54:AO54"/>
    <mergeCell ref="B54:G54"/>
    <mergeCell ref="H54:I54"/>
    <mergeCell ref="J54:L54"/>
    <mergeCell ref="M54:Q54"/>
    <mergeCell ref="R54:T54"/>
    <mergeCell ref="U54:X54"/>
    <mergeCell ref="Y54:AB54"/>
    <mergeCell ref="AC55:AE55"/>
    <mergeCell ref="AF55:AG55"/>
    <mergeCell ref="AH55:AI55"/>
    <mergeCell ref="AJ55:AO55"/>
    <mergeCell ref="B55:G55"/>
    <mergeCell ref="H55:I55"/>
    <mergeCell ref="J55:L55"/>
    <mergeCell ref="M55:Q55"/>
    <mergeCell ref="R55:T55"/>
    <mergeCell ref="U55:X55"/>
    <mergeCell ref="Y55:AB55"/>
    <mergeCell ref="AC56:AE56"/>
    <mergeCell ref="AF56:AG56"/>
    <mergeCell ref="AH56:AI56"/>
    <mergeCell ref="AJ56:AO56"/>
    <mergeCell ref="B56:G56"/>
    <mergeCell ref="H56:I56"/>
    <mergeCell ref="J56:L56"/>
    <mergeCell ref="M56:Q56"/>
    <mergeCell ref="R56:T56"/>
    <mergeCell ref="U56:X56"/>
    <mergeCell ref="Y56:AB56"/>
    <mergeCell ref="AC57:AE57"/>
    <mergeCell ref="AF57:AG57"/>
    <mergeCell ref="AH57:AI57"/>
    <mergeCell ref="AJ57:AO57"/>
    <mergeCell ref="B57:G57"/>
    <mergeCell ref="H57:I57"/>
    <mergeCell ref="J57:L57"/>
    <mergeCell ref="M57:Q57"/>
    <mergeCell ref="R57:T57"/>
    <mergeCell ref="U57:X57"/>
    <mergeCell ref="Y57:AB57"/>
    <mergeCell ref="AC58:AE58"/>
    <mergeCell ref="AF58:AG58"/>
    <mergeCell ref="AH58:AI58"/>
    <mergeCell ref="AJ58:AO58"/>
    <mergeCell ref="B58:G58"/>
    <mergeCell ref="H58:I58"/>
    <mergeCell ref="J58:L58"/>
    <mergeCell ref="M58:Q58"/>
    <mergeCell ref="R58:T58"/>
    <mergeCell ref="U58:X58"/>
    <mergeCell ref="Y58:AB58"/>
    <mergeCell ref="AC59:AE59"/>
    <mergeCell ref="AF59:AG59"/>
    <mergeCell ref="AH59:AI59"/>
    <mergeCell ref="AJ59:AO59"/>
    <mergeCell ref="B59:G59"/>
    <mergeCell ref="H59:I59"/>
    <mergeCell ref="J59:L59"/>
    <mergeCell ref="M59:Q59"/>
    <mergeCell ref="R59:T59"/>
    <mergeCell ref="U59:X59"/>
    <mergeCell ref="Y59:AB59"/>
    <mergeCell ref="AC60:AE60"/>
    <mergeCell ref="AF60:AG60"/>
    <mergeCell ref="AH60:AI60"/>
    <mergeCell ref="AJ60:AO60"/>
    <mergeCell ref="B60:G60"/>
    <mergeCell ref="H60:I60"/>
    <mergeCell ref="J60:L60"/>
    <mergeCell ref="M60:Q60"/>
    <mergeCell ref="R60:T60"/>
    <mergeCell ref="U60:X60"/>
    <mergeCell ref="Y60:AB60"/>
    <mergeCell ref="AC61:AE61"/>
    <mergeCell ref="AF61:AG61"/>
    <mergeCell ref="AH61:AI61"/>
    <mergeCell ref="AJ61:AO61"/>
    <mergeCell ref="B61:G61"/>
    <mergeCell ref="H61:I61"/>
    <mergeCell ref="J61:L61"/>
    <mergeCell ref="M61:Q61"/>
    <mergeCell ref="R61:T61"/>
    <mergeCell ref="U61:X61"/>
    <mergeCell ref="Y61:AB61"/>
    <mergeCell ref="AC62:AE62"/>
    <mergeCell ref="AF62:AG62"/>
    <mergeCell ref="AH62:AI62"/>
    <mergeCell ref="AJ62:AO62"/>
    <mergeCell ref="B62:G62"/>
    <mergeCell ref="H62:I62"/>
    <mergeCell ref="J62:L62"/>
    <mergeCell ref="M62:Q62"/>
    <mergeCell ref="R62:T62"/>
    <mergeCell ref="U62:X62"/>
    <mergeCell ref="Y62:AB62"/>
    <mergeCell ref="AC63:AE63"/>
    <mergeCell ref="AF63:AG63"/>
    <mergeCell ref="AH63:AI63"/>
    <mergeCell ref="AJ63:AO63"/>
    <mergeCell ref="B63:G63"/>
    <mergeCell ref="H63:I63"/>
    <mergeCell ref="J63:L63"/>
    <mergeCell ref="M63:Q63"/>
    <mergeCell ref="R63:T63"/>
    <mergeCell ref="U63:X63"/>
    <mergeCell ref="Y63:AB63"/>
    <mergeCell ref="AC64:AE64"/>
    <mergeCell ref="AF64:AG64"/>
    <mergeCell ref="AH64:AI64"/>
    <mergeCell ref="AJ64:AO64"/>
    <mergeCell ref="B64:G64"/>
    <mergeCell ref="H64:I64"/>
    <mergeCell ref="J64:L64"/>
    <mergeCell ref="M64:Q64"/>
    <mergeCell ref="R64:T64"/>
    <mergeCell ref="U64:X64"/>
    <mergeCell ref="Y64:AB64"/>
    <mergeCell ref="AC65:AE65"/>
    <mergeCell ref="AF65:AG65"/>
    <mergeCell ref="AH65:AI65"/>
    <mergeCell ref="AJ65:AO65"/>
    <mergeCell ref="B65:G65"/>
    <mergeCell ref="H65:I65"/>
    <mergeCell ref="J65:L65"/>
    <mergeCell ref="M65:Q65"/>
    <mergeCell ref="R65:T65"/>
    <mergeCell ref="U65:X65"/>
    <mergeCell ref="Y65:AB65"/>
    <mergeCell ref="AC66:AE66"/>
    <mergeCell ref="AF66:AG66"/>
    <mergeCell ref="AH66:AI66"/>
    <mergeCell ref="AJ66:AO66"/>
    <mergeCell ref="B66:G66"/>
    <mergeCell ref="H66:I66"/>
    <mergeCell ref="J66:L66"/>
    <mergeCell ref="M66:Q66"/>
    <mergeCell ref="R66:T66"/>
    <mergeCell ref="U66:X66"/>
    <mergeCell ref="Y66:AB66"/>
    <mergeCell ref="AC67:AE67"/>
    <mergeCell ref="AF67:AG67"/>
    <mergeCell ref="AH67:AI67"/>
    <mergeCell ref="AJ67:AO67"/>
    <mergeCell ref="B67:G67"/>
    <mergeCell ref="H67:I67"/>
    <mergeCell ref="J67:L67"/>
    <mergeCell ref="M67:Q67"/>
    <mergeCell ref="R67:T67"/>
    <mergeCell ref="U67:X67"/>
    <mergeCell ref="Y67:AB67"/>
    <mergeCell ref="AC68:AE68"/>
    <mergeCell ref="AF68:AG68"/>
    <mergeCell ref="AH68:AI68"/>
    <mergeCell ref="AJ68:AO68"/>
    <mergeCell ref="B68:G68"/>
    <mergeCell ref="H68:I68"/>
    <mergeCell ref="J68:L68"/>
    <mergeCell ref="M68:Q68"/>
    <mergeCell ref="R68:T68"/>
    <mergeCell ref="U68:X68"/>
    <mergeCell ref="Y68:AB68"/>
    <mergeCell ref="AC69:AE69"/>
    <mergeCell ref="AF69:AG69"/>
    <mergeCell ref="AH69:AI69"/>
    <mergeCell ref="AJ69:AO69"/>
    <mergeCell ref="B69:G69"/>
    <mergeCell ref="H69:I69"/>
    <mergeCell ref="J69:L69"/>
    <mergeCell ref="M69:Q69"/>
    <mergeCell ref="R69:T69"/>
    <mergeCell ref="U69:X69"/>
    <mergeCell ref="Y69:AB69"/>
    <mergeCell ref="AC70:AE70"/>
    <mergeCell ref="AF70:AG70"/>
    <mergeCell ref="AH70:AI70"/>
    <mergeCell ref="AJ70:AO70"/>
    <mergeCell ref="B70:G70"/>
    <mergeCell ref="H70:I70"/>
    <mergeCell ref="J70:L70"/>
    <mergeCell ref="M70:Q70"/>
    <mergeCell ref="R70:T70"/>
    <mergeCell ref="U70:X70"/>
    <mergeCell ref="Y70:AB70"/>
    <mergeCell ref="AC71:AE71"/>
    <mergeCell ref="AF71:AG71"/>
    <mergeCell ref="AH71:AI71"/>
    <mergeCell ref="AJ71:AO71"/>
    <mergeCell ref="B71:G71"/>
    <mergeCell ref="H71:I71"/>
    <mergeCell ref="J71:L71"/>
    <mergeCell ref="M71:Q71"/>
    <mergeCell ref="R71:T71"/>
    <mergeCell ref="U71:X71"/>
    <mergeCell ref="Y71:AB71"/>
    <mergeCell ref="AC72:AE72"/>
    <mergeCell ref="AF72:AG72"/>
    <mergeCell ref="AH72:AI72"/>
    <mergeCell ref="AJ72:AO72"/>
    <mergeCell ref="B72:G72"/>
    <mergeCell ref="H72:I72"/>
    <mergeCell ref="J72:L72"/>
    <mergeCell ref="M72:Q72"/>
    <mergeCell ref="R72:T72"/>
    <mergeCell ref="U72:X72"/>
    <mergeCell ref="Y72:AB72"/>
    <mergeCell ref="AC73:AE73"/>
    <mergeCell ref="AF73:AG73"/>
    <mergeCell ref="AH73:AI73"/>
    <mergeCell ref="AJ73:AO73"/>
    <mergeCell ref="B73:G73"/>
    <mergeCell ref="H73:I73"/>
    <mergeCell ref="J73:L73"/>
    <mergeCell ref="M73:Q73"/>
    <mergeCell ref="R73:T73"/>
    <mergeCell ref="U73:X73"/>
    <mergeCell ref="Y73:AB73"/>
    <mergeCell ref="AC74:AE74"/>
    <mergeCell ref="AF74:AG74"/>
    <mergeCell ref="AH74:AI74"/>
    <mergeCell ref="AJ74:AO74"/>
    <mergeCell ref="B74:G74"/>
    <mergeCell ref="H74:I74"/>
    <mergeCell ref="J74:L74"/>
    <mergeCell ref="M74:Q74"/>
    <mergeCell ref="R74:T74"/>
    <mergeCell ref="U74:X74"/>
    <mergeCell ref="Y74:AB74"/>
    <mergeCell ref="AC75:AE75"/>
    <mergeCell ref="AF75:AG75"/>
    <mergeCell ref="AH75:AI75"/>
    <mergeCell ref="AJ75:AO75"/>
    <mergeCell ref="B75:G75"/>
    <mergeCell ref="H75:I75"/>
    <mergeCell ref="J75:L75"/>
    <mergeCell ref="M75:Q75"/>
    <mergeCell ref="R75:T75"/>
    <mergeCell ref="U75:X75"/>
    <mergeCell ref="Y75:AB75"/>
    <mergeCell ref="AC76:AE76"/>
    <mergeCell ref="AF76:AG76"/>
    <mergeCell ref="AH76:AI76"/>
    <mergeCell ref="AJ76:AO76"/>
    <mergeCell ref="B76:G76"/>
    <mergeCell ref="H76:I76"/>
    <mergeCell ref="J76:L76"/>
    <mergeCell ref="M76:Q76"/>
    <mergeCell ref="R76:T76"/>
    <mergeCell ref="U76:X76"/>
    <mergeCell ref="Y76:AB76"/>
    <mergeCell ref="AC77:AE77"/>
    <mergeCell ref="AF77:AG77"/>
    <mergeCell ref="AH77:AI77"/>
    <mergeCell ref="AJ77:AO77"/>
    <mergeCell ref="B77:G77"/>
    <mergeCell ref="H77:I77"/>
    <mergeCell ref="J77:L77"/>
    <mergeCell ref="M77:Q77"/>
    <mergeCell ref="R77:T77"/>
    <mergeCell ref="U77:X77"/>
    <mergeCell ref="Y77:AB77"/>
    <mergeCell ref="AC78:AE78"/>
    <mergeCell ref="AF78:AG78"/>
    <mergeCell ref="AH78:AI78"/>
    <mergeCell ref="AJ78:AO78"/>
    <mergeCell ref="B78:G78"/>
    <mergeCell ref="H78:I78"/>
    <mergeCell ref="J78:L78"/>
    <mergeCell ref="M78:Q78"/>
    <mergeCell ref="R78:T78"/>
    <mergeCell ref="U78:X78"/>
    <mergeCell ref="Y78:AB78"/>
    <mergeCell ref="AC79:AE79"/>
    <mergeCell ref="AF79:AG79"/>
    <mergeCell ref="AH79:AI79"/>
    <mergeCell ref="AJ79:AO79"/>
    <mergeCell ref="B79:G79"/>
    <mergeCell ref="H79:I79"/>
    <mergeCell ref="J79:L79"/>
    <mergeCell ref="M79:Q79"/>
    <mergeCell ref="R79:T79"/>
    <mergeCell ref="U79:X79"/>
    <mergeCell ref="Y79:AB79"/>
    <mergeCell ref="AC80:AE80"/>
    <mergeCell ref="AF80:AG80"/>
    <mergeCell ref="AH80:AI80"/>
    <mergeCell ref="AJ80:AO80"/>
    <mergeCell ref="B80:G80"/>
    <mergeCell ref="H80:I80"/>
    <mergeCell ref="J80:L80"/>
    <mergeCell ref="M80:Q80"/>
    <mergeCell ref="R80:T80"/>
    <mergeCell ref="U80:X80"/>
    <mergeCell ref="Y80:AB80"/>
    <mergeCell ref="AC81:AE81"/>
    <mergeCell ref="AF81:AG81"/>
    <mergeCell ref="AH81:AI81"/>
    <mergeCell ref="AJ81:AO81"/>
    <mergeCell ref="B81:G81"/>
    <mergeCell ref="H81:I81"/>
    <mergeCell ref="J81:L81"/>
    <mergeCell ref="M81:Q81"/>
    <mergeCell ref="R81:T81"/>
    <mergeCell ref="U81:X81"/>
    <mergeCell ref="Y81:AB81"/>
    <mergeCell ref="AC82:AE82"/>
    <mergeCell ref="AF82:AG82"/>
    <mergeCell ref="AH82:AI82"/>
    <mergeCell ref="AJ82:AO82"/>
    <mergeCell ref="B82:G82"/>
    <mergeCell ref="H82:I82"/>
    <mergeCell ref="J82:L82"/>
    <mergeCell ref="M82:Q82"/>
    <mergeCell ref="R82:T82"/>
    <mergeCell ref="U82:X82"/>
    <mergeCell ref="Y82:AB82"/>
    <mergeCell ref="AC83:AE83"/>
    <mergeCell ref="AF83:AG83"/>
    <mergeCell ref="AH83:AI83"/>
    <mergeCell ref="AJ83:AO83"/>
    <mergeCell ref="B83:G83"/>
    <mergeCell ref="H83:I83"/>
    <mergeCell ref="J83:L83"/>
    <mergeCell ref="M83:Q83"/>
    <mergeCell ref="R83:T83"/>
    <mergeCell ref="U83:X83"/>
    <mergeCell ref="Y83:AB83"/>
    <mergeCell ref="AC84:AE84"/>
    <mergeCell ref="AF84:AG84"/>
    <mergeCell ref="AH84:AI84"/>
    <mergeCell ref="AJ84:AO84"/>
    <mergeCell ref="B84:G84"/>
    <mergeCell ref="H84:I84"/>
    <mergeCell ref="J84:L84"/>
    <mergeCell ref="M84:Q84"/>
    <mergeCell ref="R84:T84"/>
    <mergeCell ref="U84:X84"/>
    <mergeCell ref="Y84:AB84"/>
    <mergeCell ref="AC85:AE85"/>
    <mergeCell ref="AF85:AG85"/>
    <mergeCell ref="AH85:AI85"/>
    <mergeCell ref="AJ85:AO85"/>
    <mergeCell ref="B85:G85"/>
    <mergeCell ref="H85:I85"/>
    <mergeCell ref="J85:L85"/>
    <mergeCell ref="M85:Q85"/>
    <mergeCell ref="R85:T85"/>
    <mergeCell ref="U85:X85"/>
    <mergeCell ref="Y85:AB85"/>
    <mergeCell ref="AC86:AE86"/>
    <mergeCell ref="AF86:AG86"/>
    <mergeCell ref="AH86:AI86"/>
    <mergeCell ref="AJ86:AO86"/>
    <mergeCell ref="B86:G86"/>
    <mergeCell ref="H86:I86"/>
    <mergeCell ref="J86:L86"/>
    <mergeCell ref="M86:Q86"/>
    <mergeCell ref="R86:T86"/>
    <mergeCell ref="U86:X86"/>
    <mergeCell ref="Y86:AB86"/>
    <mergeCell ref="AC87:AE87"/>
    <mergeCell ref="AF87:AG87"/>
    <mergeCell ref="AH87:AI87"/>
    <mergeCell ref="AJ87:AO87"/>
    <mergeCell ref="B87:G87"/>
    <mergeCell ref="H87:I87"/>
    <mergeCell ref="J87:L87"/>
    <mergeCell ref="M87:Q87"/>
    <mergeCell ref="R87:T87"/>
    <mergeCell ref="U87:X87"/>
    <mergeCell ref="Y87:AB87"/>
    <mergeCell ref="AC88:AE88"/>
    <mergeCell ref="AF88:AG88"/>
    <mergeCell ref="AH88:AI88"/>
    <mergeCell ref="AJ88:AO88"/>
    <mergeCell ref="B88:G88"/>
    <mergeCell ref="H88:I88"/>
    <mergeCell ref="J88:L88"/>
    <mergeCell ref="M88:Q88"/>
    <mergeCell ref="R88:T88"/>
    <mergeCell ref="U88:X88"/>
    <mergeCell ref="Y88:AB88"/>
    <mergeCell ref="AC89:AE89"/>
    <mergeCell ref="AF89:AG89"/>
    <mergeCell ref="AH89:AI89"/>
    <mergeCell ref="AJ89:AO89"/>
    <mergeCell ref="B89:G89"/>
    <mergeCell ref="H89:I89"/>
    <mergeCell ref="J89:L89"/>
    <mergeCell ref="M89:Q89"/>
    <mergeCell ref="R89:T89"/>
    <mergeCell ref="U89:X89"/>
    <mergeCell ref="Y89:AB89"/>
    <mergeCell ref="AC90:AE90"/>
    <mergeCell ref="AF90:AG90"/>
    <mergeCell ref="AH90:AI90"/>
    <mergeCell ref="AJ90:AO90"/>
    <mergeCell ref="B90:G90"/>
    <mergeCell ref="H90:I90"/>
    <mergeCell ref="J90:L90"/>
    <mergeCell ref="M90:Q90"/>
    <mergeCell ref="R90:T90"/>
    <mergeCell ref="U90:X90"/>
    <mergeCell ref="Y90:AB90"/>
    <mergeCell ref="AC91:AE91"/>
    <mergeCell ref="AF91:AG91"/>
    <mergeCell ref="AH91:AI91"/>
    <mergeCell ref="AJ91:AO91"/>
    <mergeCell ref="B91:G91"/>
    <mergeCell ref="H91:I91"/>
    <mergeCell ref="J91:L91"/>
    <mergeCell ref="M91:Q91"/>
    <mergeCell ref="R91:T91"/>
    <mergeCell ref="U91:X91"/>
    <mergeCell ref="Y91:AB91"/>
    <mergeCell ref="AC92:AE92"/>
    <mergeCell ref="AF92:AG92"/>
    <mergeCell ref="AH92:AI92"/>
    <mergeCell ref="AJ92:AO92"/>
    <mergeCell ref="B92:G92"/>
    <mergeCell ref="H92:I92"/>
    <mergeCell ref="J92:L92"/>
    <mergeCell ref="M92:Q92"/>
    <mergeCell ref="R92:T92"/>
    <mergeCell ref="U92:X92"/>
    <mergeCell ref="Y92:AB92"/>
    <mergeCell ref="AC93:AE93"/>
    <mergeCell ref="AF93:AG93"/>
    <mergeCell ref="AH93:AI93"/>
    <mergeCell ref="AJ93:AO93"/>
    <mergeCell ref="B93:G93"/>
    <mergeCell ref="H93:I93"/>
    <mergeCell ref="J93:L93"/>
    <mergeCell ref="M93:Q93"/>
    <mergeCell ref="R93:T93"/>
    <mergeCell ref="U93:X93"/>
    <mergeCell ref="Y93:AB93"/>
    <mergeCell ref="AC94:AE94"/>
    <mergeCell ref="AF94:AG94"/>
    <mergeCell ref="AH94:AI94"/>
    <mergeCell ref="AJ94:AO94"/>
    <mergeCell ref="B94:G94"/>
    <mergeCell ref="H94:I94"/>
    <mergeCell ref="J94:L94"/>
    <mergeCell ref="M94:Q94"/>
    <mergeCell ref="R94:T94"/>
    <mergeCell ref="U94:X94"/>
    <mergeCell ref="Y94:AB94"/>
    <mergeCell ref="AC95:AE95"/>
    <mergeCell ref="AF95:AG95"/>
    <mergeCell ref="AH95:AI95"/>
    <mergeCell ref="AJ95:AO95"/>
    <mergeCell ref="B95:G95"/>
    <mergeCell ref="H95:I95"/>
    <mergeCell ref="J95:L95"/>
    <mergeCell ref="M95:Q95"/>
    <mergeCell ref="R95:T95"/>
    <mergeCell ref="U95:X95"/>
    <mergeCell ref="Y95:AB95"/>
    <mergeCell ref="AC96:AE96"/>
    <mergeCell ref="AF96:AG96"/>
    <mergeCell ref="AH96:AI96"/>
    <mergeCell ref="AJ96:AO96"/>
    <mergeCell ref="B96:G96"/>
    <mergeCell ref="H96:I96"/>
    <mergeCell ref="J96:L96"/>
    <mergeCell ref="M96:Q96"/>
    <mergeCell ref="R96:T96"/>
    <mergeCell ref="U96:X96"/>
    <mergeCell ref="Y96:AB96"/>
    <mergeCell ref="AC97:AE97"/>
    <mergeCell ref="AF97:AG97"/>
    <mergeCell ref="AH97:AI97"/>
    <mergeCell ref="AJ97:AO97"/>
    <mergeCell ref="B97:G97"/>
    <mergeCell ref="H97:I97"/>
    <mergeCell ref="J97:L97"/>
    <mergeCell ref="M97:Q97"/>
    <mergeCell ref="R97:T97"/>
    <mergeCell ref="U97:X97"/>
    <mergeCell ref="Y97:AB97"/>
    <mergeCell ref="AC98:AE98"/>
    <mergeCell ref="AF98:AG98"/>
    <mergeCell ref="AH98:AI98"/>
    <mergeCell ref="AJ98:AO98"/>
    <mergeCell ref="B98:G98"/>
    <mergeCell ref="H98:I98"/>
    <mergeCell ref="J98:L98"/>
    <mergeCell ref="M98:Q98"/>
    <mergeCell ref="R98:T98"/>
    <mergeCell ref="U98:X98"/>
    <mergeCell ref="Y98:AB98"/>
    <mergeCell ref="AC99:AE99"/>
    <mergeCell ref="AF99:AG99"/>
    <mergeCell ref="AH99:AI99"/>
    <mergeCell ref="AJ99:AO99"/>
    <mergeCell ref="B99:G99"/>
    <mergeCell ref="H99:I99"/>
    <mergeCell ref="J99:L99"/>
    <mergeCell ref="M99:Q99"/>
    <mergeCell ref="R99:T99"/>
    <mergeCell ref="U99:X99"/>
    <mergeCell ref="Y99:AB99"/>
    <mergeCell ref="AC100:AE100"/>
    <mergeCell ref="AF100:AG100"/>
    <mergeCell ref="AH100:AI100"/>
    <mergeCell ref="AJ100:AO100"/>
    <mergeCell ref="B100:G100"/>
    <mergeCell ref="H100:I100"/>
    <mergeCell ref="J100:L100"/>
    <mergeCell ref="M100:Q100"/>
    <mergeCell ref="R100:T100"/>
    <mergeCell ref="U100:X100"/>
    <mergeCell ref="Y100:AB100"/>
    <mergeCell ref="AC101:AE101"/>
    <mergeCell ref="AF101:AG101"/>
    <mergeCell ref="AH101:AI101"/>
    <mergeCell ref="AJ101:AO101"/>
    <mergeCell ref="B101:G101"/>
    <mergeCell ref="H101:I101"/>
    <mergeCell ref="J101:L101"/>
    <mergeCell ref="M101:Q101"/>
    <mergeCell ref="R101:T101"/>
    <mergeCell ref="U101:X101"/>
    <mergeCell ref="Y101:AB101"/>
    <mergeCell ref="AC102:AE102"/>
    <mergeCell ref="AF102:AG102"/>
    <mergeCell ref="AH102:AI102"/>
    <mergeCell ref="AJ102:AO102"/>
    <mergeCell ref="B102:G102"/>
    <mergeCell ref="H102:I102"/>
    <mergeCell ref="J102:L102"/>
    <mergeCell ref="M102:Q102"/>
    <mergeCell ref="R102:T102"/>
    <mergeCell ref="U102:X102"/>
    <mergeCell ref="Y102:AB102"/>
    <mergeCell ref="AC103:AE103"/>
    <mergeCell ref="AF103:AG103"/>
    <mergeCell ref="AH103:AI103"/>
    <mergeCell ref="AJ103:AO103"/>
    <mergeCell ref="B103:G103"/>
    <mergeCell ref="H103:I103"/>
    <mergeCell ref="J103:L103"/>
    <mergeCell ref="M103:Q103"/>
    <mergeCell ref="R103:T103"/>
    <mergeCell ref="U103:X103"/>
    <mergeCell ref="Y103:AB103"/>
    <mergeCell ref="AC104:AE104"/>
    <mergeCell ref="AF104:AG104"/>
    <mergeCell ref="AH104:AI104"/>
    <mergeCell ref="AJ104:AO104"/>
    <mergeCell ref="B104:G104"/>
    <mergeCell ref="H104:I104"/>
    <mergeCell ref="J104:L104"/>
    <mergeCell ref="M104:Q104"/>
    <mergeCell ref="R104:T104"/>
    <mergeCell ref="U104:X104"/>
    <mergeCell ref="Y104:AB104"/>
    <mergeCell ref="AC105:AE105"/>
    <mergeCell ref="AF105:AG105"/>
    <mergeCell ref="AH105:AI105"/>
    <mergeCell ref="AJ105:AO105"/>
    <mergeCell ref="B105:G105"/>
    <mergeCell ref="H105:I105"/>
    <mergeCell ref="J105:L105"/>
    <mergeCell ref="M105:Q105"/>
    <mergeCell ref="R105:T105"/>
    <mergeCell ref="U105:X105"/>
    <mergeCell ref="Y105:AB105"/>
    <mergeCell ref="AC155:AE155"/>
    <mergeCell ref="AF155:AG155"/>
    <mergeCell ref="AH155:AI155"/>
    <mergeCell ref="AJ155:AO155"/>
    <mergeCell ref="B155:G155"/>
    <mergeCell ref="H155:I155"/>
    <mergeCell ref="J155:L155"/>
    <mergeCell ref="M155:Q155"/>
    <mergeCell ref="R155:T155"/>
    <mergeCell ref="U155:X155"/>
    <mergeCell ref="Y155:AB155"/>
    <mergeCell ref="AC156:AE156"/>
    <mergeCell ref="AF156:AG156"/>
    <mergeCell ref="AH156:AI156"/>
    <mergeCell ref="AJ156:AO156"/>
    <mergeCell ref="B156:G156"/>
    <mergeCell ref="H156:I156"/>
    <mergeCell ref="J156:L156"/>
    <mergeCell ref="M156:Q156"/>
    <mergeCell ref="R156:T156"/>
    <mergeCell ref="U156:X156"/>
    <mergeCell ref="Y156:AB156"/>
    <mergeCell ref="AC157:AE157"/>
    <mergeCell ref="AF157:AG157"/>
    <mergeCell ref="AH157:AI157"/>
    <mergeCell ref="AJ157:AO157"/>
    <mergeCell ref="B157:G157"/>
    <mergeCell ref="H157:I157"/>
    <mergeCell ref="J157:L157"/>
    <mergeCell ref="M157:Q157"/>
    <mergeCell ref="R157:T157"/>
    <mergeCell ref="U157:X157"/>
    <mergeCell ref="Y157:AB157"/>
    <mergeCell ref="AC158:AE158"/>
    <mergeCell ref="AF158:AG158"/>
    <mergeCell ref="AH158:AI158"/>
    <mergeCell ref="AJ158:AO158"/>
    <mergeCell ref="B158:G158"/>
    <mergeCell ref="H158:I158"/>
    <mergeCell ref="J158:L158"/>
    <mergeCell ref="M158:Q158"/>
    <mergeCell ref="R158:T158"/>
    <mergeCell ref="U158:X158"/>
    <mergeCell ref="Y158:AB158"/>
    <mergeCell ref="AC159:AE159"/>
    <mergeCell ref="AF159:AG159"/>
    <mergeCell ref="AH159:AI159"/>
    <mergeCell ref="AJ159:AO159"/>
    <mergeCell ref="B159:G159"/>
    <mergeCell ref="H159:I159"/>
    <mergeCell ref="J159:L159"/>
    <mergeCell ref="M159:Q159"/>
    <mergeCell ref="R159:T159"/>
    <mergeCell ref="U159:X159"/>
    <mergeCell ref="Y159:AB159"/>
    <mergeCell ref="AC160:AE160"/>
    <mergeCell ref="AF160:AG160"/>
    <mergeCell ref="AH160:AI160"/>
    <mergeCell ref="AJ160:AO160"/>
    <mergeCell ref="B160:G160"/>
    <mergeCell ref="H160:I160"/>
    <mergeCell ref="J160:L160"/>
    <mergeCell ref="M160:Q160"/>
    <mergeCell ref="R160:T160"/>
    <mergeCell ref="U160:X160"/>
    <mergeCell ref="Y160:AB160"/>
    <mergeCell ref="AC161:AE161"/>
    <mergeCell ref="AF161:AG161"/>
    <mergeCell ref="AH161:AI161"/>
    <mergeCell ref="AJ161:AO161"/>
    <mergeCell ref="B161:G161"/>
    <mergeCell ref="H161:I161"/>
    <mergeCell ref="J161:L161"/>
    <mergeCell ref="M161:Q161"/>
    <mergeCell ref="R161:T161"/>
    <mergeCell ref="U161:X161"/>
    <mergeCell ref="Y161:AB161"/>
    <mergeCell ref="AC162:AE162"/>
    <mergeCell ref="AF162:AG162"/>
    <mergeCell ref="AH162:AI162"/>
    <mergeCell ref="AJ162:AO162"/>
    <mergeCell ref="B162:G162"/>
    <mergeCell ref="H162:I162"/>
    <mergeCell ref="J162:L162"/>
    <mergeCell ref="M162:Q162"/>
    <mergeCell ref="R162:T162"/>
    <mergeCell ref="U162:X162"/>
    <mergeCell ref="Y162:AB162"/>
    <mergeCell ref="AC163:AE163"/>
    <mergeCell ref="AF163:AG163"/>
    <mergeCell ref="AH163:AI163"/>
    <mergeCell ref="AJ163:AO163"/>
    <mergeCell ref="B163:G163"/>
    <mergeCell ref="H163:I163"/>
    <mergeCell ref="J163:L163"/>
    <mergeCell ref="M163:Q163"/>
    <mergeCell ref="R163:T163"/>
    <mergeCell ref="U163:X163"/>
    <mergeCell ref="Y163:AB163"/>
    <mergeCell ref="AC164:AE164"/>
    <mergeCell ref="AF164:AG164"/>
    <mergeCell ref="AH164:AI164"/>
    <mergeCell ref="AJ164:AO164"/>
    <mergeCell ref="B164:G164"/>
    <mergeCell ref="H164:I164"/>
    <mergeCell ref="J164:L164"/>
    <mergeCell ref="M164:Q164"/>
    <mergeCell ref="R164:T164"/>
    <mergeCell ref="U164:X164"/>
    <mergeCell ref="Y164:AB164"/>
    <mergeCell ref="AC165:AE165"/>
    <mergeCell ref="AF165:AG165"/>
    <mergeCell ref="AH165:AI165"/>
    <mergeCell ref="AJ165:AO165"/>
    <mergeCell ref="B165:G165"/>
    <mergeCell ref="H165:I165"/>
    <mergeCell ref="J165:L165"/>
    <mergeCell ref="M165:Q165"/>
    <mergeCell ref="R165:T165"/>
    <mergeCell ref="U165:X165"/>
    <mergeCell ref="Y165:AB165"/>
    <mergeCell ref="AC166:AE166"/>
    <mergeCell ref="AF166:AG166"/>
    <mergeCell ref="AH166:AI166"/>
    <mergeCell ref="AJ166:AO166"/>
    <mergeCell ref="B166:G166"/>
    <mergeCell ref="H166:I166"/>
    <mergeCell ref="J166:L166"/>
    <mergeCell ref="M166:Q166"/>
    <mergeCell ref="R166:T166"/>
    <mergeCell ref="U166:X166"/>
    <mergeCell ref="Y166:AB166"/>
    <mergeCell ref="AC167:AE167"/>
    <mergeCell ref="AF167:AG167"/>
    <mergeCell ref="AH167:AI167"/>
    <mergeCell ref="AJ167:AO167"/>
    <mergeCell ref="B167:G167"/>
    <mergeCell ref="H167:I167"/>
    <mergeCell ref="J167:L167"/>
    <mergeCell ref="M167:Q167"/>
    <mergeCell ref="R167:T167"/>
    <mergeCell ref="U167:X167"/>
    <mergeCell ref="Y167:AB167"/>
    <mergeCell ref="AC168:AE168"/>
    <mergeCell ref="AF168:AG168"/>
    <mergeCell ref="AH168:AI168"/>
    <mergeCell ref="AJ168:AO168"/>
    <mergeCell ref="B168:G168"/>
    <mergeCell ref="H168:I168"/>
    <mergeCell ref="J168:L168"/>
    <mergeCell ref="M168:Q168"/>
    <mergeCell ref="R168:T168"/>
    <mergeCell ref="U168:X168"/>
    <mergeCell ref="Y168:AB168"/>
    <mergeCell ref="AC169:AE169"/>
    <mergeCell ref="AF169:AG169"/>
    <mergeCell ref="AH169:AI169"/>
    <mergeCell ref="AJ169:AO169"/>
    <mergeCell ref="B169:G169"/>
    <mergeCell ref="H169:I169"/>
    <mergeCell ref="J169:L169"/>
    <mergeCell ref="M169:Q169"/>
    <mergeCell ref="R169:T169"/>
    <mergeCell ref="U169:X169"/>
    <mergeCell ref="Y169:AB169"/>
    <mergeCell ref="AC170:AE170"/>
    <mergeCell ref="AF170:AG170"/>
    <mergeCell ref="AH170:AI170"/>
    <mergeCell ref="AJ170:AO170"/>
    <mergeCell ref="B170:G170"/>
    <mergeCell ref="H170:I170"/>
    <mergeCell ref="J170:L170"/>
    <mergeCell ref="M170:Q170"/>
    <mergeCell ref="R170:T170"/>
    <mergeCell ref="U170:X170"/>
    <mergeCell ref="Y170:AB170"/>
    <mergeCell ref="AC171:AE171"/>
    <mergeCell ref="AF171:AG171"/>
    <mergeCell ref="AH171:AI171"/>
    <mergeCell ref="AJ171:AO171"/>
    <mergeCell ref="B171:G171"/>
    <mergeCell ref="H171:I171"/>
    <mergeCell ref="J171:L171"/>
    <mergeCell ref="M171:Q171"/>
    <mergeCell ref="R171:T171"/>
    <mergeCell ref="U171:X171"/>
    <mergeCell ref="Y171:AB171"/>
    <mergeCell ref="AC172:AE172"/>
    <mergeCell ref="AF172:AG172"/>
    <mergeCell ref="AH172:AI172"/>
    <mergeCell ref="AJ172:AO172"/>
    <mergeCell ref="B172:G172"/>
    <mergeCell ref="H172:I172"/>
    <mergeCell ref="J172:L172"/>
    <mergeCell ref="M172:Q172"/>
    <mergeCell ref="R172:T172"/>
    <mergeCell ref="U172:X172"/>
    <mergeCell ref="Y172:AB172"/>
    <mergeCell ref="AC173:AE173"/>
    <mergeCell ref="AF173:AG173"/>
    <mergeCell ref="AH173:AI173"/>
    <mergeCell ref="AJ173:AO173"/>
    <mergeCell ref="B173:G173"/>
    <mergeCell ref="H173:I173"/>
    <mergeCell ref="J173:L173"/>
    <mergeCell ref="M173:Q173"/>
    <mergeCell ref="R173:T173"/>
    <mergeCell ref="U173:X173"/>
    <mergeCell ref="Y173:AB173"/>
    <mergeCell ref="AC174:AE174"/>
    <mergeCell ref="AF174:AG174"/>
    <mergeCell ref="AH174:AI174"/>
    <mergeCell ref="AJ174:AO174"/>
    <mergeCell ref="B174:G174"/>
    <mergeCell ref="H174:I174"/>
    <mergeCell ref="J174:L174"/>
    <mergeCell ref="M174:Q174"/>
    <mergeCell ref="R174:T174"/>
    <mergeCell ref="U174:X174"/>
    <mergeCell ref="Y174:AB174"/>
    <mergeCell ref="AC175:AE175"/>
    <mergeCell ref="AF175:AG175"/>
    <mergeCell ref="AH175:AI175"/>
    <mergeCell ref="AJ175:AO175"/>
    <mergeCell ref="B175:G175"/>
    <mergeCell ref="H175:I175"/>
    <mergeCell ref="J175:L175"/>
    <mergeCell ref="M175:Q175"/>
    <mergeCell ref="R175:T175"/>
    <mergeCell ref="U175:X175"/>
    <mergeCell ref="Y175:AB175"/>
    <mergeCell ref="AC176:AE176"/>
    <mergeCell ref="AF176:AG176"/>
    <mergeCell ref="AH176:AI176"/>
    <mergeCell ref="AJ176:AO176"/>
    <mergeCell ref="B176:G176"/>
    <mergeCell ref="H176:I176"/>
    <mergeCell ref="J176:L176"/>
    <mergeCell ref="M176:Q176"/>
    <mergeCell ref="R176:T176"/>
    <mergeCell ref="U176:X176"/>
    <mergeCell ref="Y176:AB176"/>
    <mergeCell ref="AC177:AE177"/>
    <mergeCell ref="AF177:AG177"/>
    <mergeCell ref="AH177:AI177"/>
    <mergeCell ref="AJ177:AO177"/>
    <mergeCell ref="B177:G177"/>
    <mergeCell ref="H177:I177"/>
    <mergeCell ref="J177:L177"/>
    <mergeCell ref="M177:Q177"/>
    <mergeCell ref="R177:T177"/>
    <mergeCell ref="U177:X177"/>
    <mergeCell ref="Y177:AB177"/>
    <mergeCell ref="AC178:AE178"/>
    <mergeCell ref="AF178:AG178"/>
    <mergeCell ref="AH178:AI178"/>
    <mergeCell ref="AJ178:AO178"/>
    <mergeCell ref="B178:G178"/>
    <mergeCell ref="H178:I178"/>
    <mergeCell ref="J178:L178"/>
    <mergeCell ref="M178:Q178"/>
    <mergeCell ref="R178:T178"/>
    <mergeCell ref="U178:X178"/>
    <mergeCell ref="Y178:AB178"/>
    <mergeCell ref="AC179:AE179"/>
    <mergeCell ref="AF179:AG179"/>
    <mergeCell ref="AH179:AI179"/>
    <mergeCell ref="AJ179:AO179"/>
    <mergeCell ref="B179:G179"/>
    <mergeCell ref="H179:I179"/>
    <mergeCell ref="J179:L179"/>
    <mergeCell ref="M179:Q179"/>
    <mergeCell ref="R179:T179"/>
    <mergeCell ref="U179:X179"/>
    <mergeCell ref="Y179:AB179"/>
    <mergeCell ref="AC180:AE180"/>
    <mergeCell ref="AF180:AG180"/>
    <mergeCell ref="AH180:AI180"/>
    <mergeCell ref="AJ180:AO180"/>
    <mergeCell ref="B180:G180"/>
    <mergeCell ref="H180:I180"/>
    <mergeCell ref="J180:L180"/>
    <mergeCell ref="M180:Q180"/>
    <mergeCell ref="R180:T180"/>
    <mergeCell ref="U180:X180"/>
    <mergeCell ref="Y180:AB180"/>
    <mergeCell ref="AC181:AE181"/>
    <mergeCell ref="AF181:AG181"/>
    <mergeCell ref="AH181:AI181"/>
    <mergeCell ref="AJ181:AO181"/>
    <mergeCell ref="B181:G181"/>
    <mergeCell ref="H181:I181"/>
    <mergeCell ref="J181:L181"/>
    <mergeCell ref="M181:Q181"/>
    <mergeCell ref="R181:T181"/>
    <mergeCell ref="U181:X181"/>
    <mergeCell ref="Y181:AB181"/>
    <mergeCell ref="AC182:AE182"/>
    <mergeCell ref="AF182:AG182"/>
    <mergeCell ref="AH182:AI182"/>
    <mergeCell ref="AJ182:AO182"/>
    <mergeCell ref="B182:G182"/>
    <mergeCell ref="H182:I182"/>
    <mergeCell ref="J182:L182"/>
    <mergeCell ref="M182:Q182"/>
    <mergeCell ref="R182:T182"/>
    <mergeCell ref="U182:X182"/>
    <mergeCell ref="Y182:AB182"/>
    <mergeCell ref="AC190:AE190"/>
    <mergeCell ref="AF190:AG190"/>
    <mergeCell ref="AH190:AI190"/>
    <mergeCell ref="AJ190:AO190"/>
    <mergeCell ref="B190:G190"/>
    <mergeCell ref="H190:I190"/>
    <mergeCell ref="J190:L190"/>
    <mergeCell ref="M190:Q190"/>
    <mergeCell ref="R190:T190"/>
    <mergeCell ref="U190:X190"/>
    <mergeCell ref="Y190:AB190"/>
    <mergeCell ref="AC191:AE191"/>
    <mergeCell ref="AF191:AG191"/>
    <mergeCell ref="AH191:AI191"/>
    <mergeCell ref="AJ191:AO191"/>
    <mergeCell ref="B191:G191"/>
    <mergeCell ref="H191:I191"/>
    <mergeCell ref="J191:L191"/>
    <mergeCell ref="M191:Q191"/>
    <mergeCell ref="R191:T191"/>
    <mergeCell ref="U191:X191"/>
    <mergeCell ref="Y191:AB191"/>
    <mergeCell ref="AC192:AE192"/>
    <mergeCell ref="AF192:AG192"/>
    <mergeCell ref="AH192:AI192"/>
    <mergeCell ref="AJ192:AO192"/>
    <mergeCell ref="B192:G192"/>
    <mergeCell ref="H192:I192"/>
    <mergeCell ref="J192:L192"/>
    <mergeCell ref="M192:Q192"/>
    <mergeCell ref="R192:T192"/>
    <mergeCell ref="U192:X192"/>
    <mergeCell ref="Y192:AB192"/>
    <mergeCell ref="AC193:AE193"/>
    <mergeCell ref="AF193:AG193"/>
    <mergeCell ref="AH193:AI193"/>
    <mergeCell ref="AJ193:AO193"/>
    <mergeCell ref="B193:G193"/>
    <mergeCell ref="H193:I193"/>
    <mergeCell ref="J193:L193"/>
    <mergeCell ref="M193:Q193"/>
    <mergeCell ref="R193:T193"/>
    <mergeCell ref="U193:X193"/>
    <mergeCell ref="Y193:AB193"/>
    <mergeCell ref="AC194:AE194"/>
    <mergeCell ref="AF194:AG194"/>
    <mergeCell ref="AH194:AI194"/>
    <mergeCell ref="AJ194:AO194"/>
    <mergeCell ref="B194:G194"/>
    <mergeCell ref="H194:I194"/>
    <mergeCell ref="J194:L194"/>
    <mergeCell ref="M194:Q194"/>
    <mergeCell ref="R194:T194"/>
    <mergeCell ref="U194:X194"/>
    <mergeCell ref="Y194:AB194"/>
    <mergeCell ref="P2:AA3"/>
    <mergeCell ref="P4:AA4"/>
    <mergeCell ref="O1:O4"/>
    <mergeCell ref="P1:AA1"/>
    <mergeCell ref="AB1:AB4"/>
    <mergeCell ref="B2:N2"/>
    <mergeCell ref="AC2:AO2"/>
    <mergeCell ref="B3:N4"/>
    <mergeCell ref="AC3:AO4"/>
    <mergeCell ref="AC5:AE6"/>
    <mergeCell ref="AF5:AG6"/>
    <mergeCell ref="AH5:AI6"/>
    <mergeCell ref="AJ5:AO6"/>
    <mergeCell ref="B5:G6"/>
    <mergeCell ref="H5:I6"/>
    <mergeCell ref="J5:L6"/>
    <mergeCell ref="M5:Q6"/>
    <mergeCell ref="R5:T6"/>
    <mergeCell ref="U5:X6"/>
    <mergeCell ref="Y5:AB6"/>
    <mergeCell ref="AC7:AE7"/>
    <mergeCell ref="AF7:AG7"/>
    <mergeCell ref="AH7:AI7"/>
    <mergeCell ref="AJ7:AO7"/>
    <mergeCell ref="B7:G7"/>
    <mergeCell ref="H7:I7"/>
    <mergeCell ref="J7:L7"/>
    <mergeCell ref="M7:Q7"/>
    <mergeCell ref="R7:T7"/>
    <mergeCell ref="U7:X7"/>
    <mergeCell ref="Y7:AB7"/>
    <mergeCell ref="AC195:AE195"/>
    <mergeCell ref="AF195:AG195"/>
    <mergeCell ref="AH195:AI195"/>
    <mergeCell ref="AJ195:AO195"/>
    <mergeCell ref="B195:G195"/>
    <mergeCell ref="H195:I195"/>
    <mergeCell ref="J195:L195"/>
    <mergeCell ref="M195:Q195"/>
    <mergeCell ref="R195:T195"/>
    <mergeCell ref="U195:X195"/>
    <mergeCell ref="Y195:AB195"/>
    <mergeCell ref="AC183:AE183"/>
    <mergeCell ref="AF183:AG183"/>
    <mergeCell ref="AH183:AI183"/>
    <mergeCell ref="AJ183:AO183"/>
    <mergeCell ref="B183:G183"/>
    <mergeCell ref="H183:I183"/>
    <mergeCell ref="J183:L183"/>
    <mergeCell ref="M183:Q183"/>
    <mergeCell ref="R183:T183"/>
    <mergeCell ref="U183:X183"/>
    <mergeCell ref="Y183:AB183"/>
    <mergeCell ref="AC184:AE184"/>
    <mergeCell ref="AF184:AG184"/>
    <mergeCell ref="AH184:AI184"/>
    <mergeCell ref="AJ184:AO184"/>
    <mergeCell ref="B184:G184"/>
    <mergeCell ref="H184:I184"/>
    <mergeCell ref="J184:L184"/>
    <mergeCell ref="M184:Q184"/>
    <mergeCell ref="R184:T184"/>
    <mergeCell ref="U184:X184"/>
    <mergeCell ref="Y184:AB184"/>
    <mergeCell ref="AC185:AE185"/>
    <mergeCell ref="AF185:AG185"/>
    <mergeCell ref="AH185:AI185"/>
    <mergeCell ref="AJ185:AO185"/>
    <mergeCell ref="B185:G185"/>
    <mergeCell ref="H185:I185"/>
    <mergeCell ref="J185:L185"/>
    <mergeCell ref="M185:Q185"/>
    <mergeCell ref="R185:T185"/>
    <mergeCell ref="U185:X185"/>
    <mergeCell ref="Y185:AB185"/>
    <mergeCell ref="AC186:AE186"/>
    <mergeCell ref="AF186:AG186"/>
    <mergeCell ref="AH186:AI186"/>
    <mergeCell ref="AJ186:AO186"/>
    <mergeCell ref="B186:G186"/>
    <mergeCell ref="H186:I186"/>
    <mergeCell ref="J186:L186"/>
    <mergeCell ref="M186:Q186"/>
    <mergeCell ref="R186:T186"/>
    <mergeCell ref="U186:X186"/>
    <mergeCell ref="Y186:AB186"/>
    <mergeCell ref="AC187:AE187"/>
    <mergeCell ref="AF187:AG187"/>
    <mergeCell ref="AH187:AI187"/>
    <mergeCell ref="AJ187:AO187"/>
    <mergeCell ref="B187:G187"/>
    <mergeCell ref="H187:I187"/>
    <mergeCell ref="J187:L187"/>
    <mergeCell ref="M187:Q187"/>
    <mergeCell ref="R187:T187"/>
    <mergeCell ref="U187:X187"/>
    <mergeCell ref="Y187:AB187"/>
    <mergeCell ref="AC188:AE188"/>
    <mergeCell ref="AF188:AG188"/>
    <mergeCell ref="AH188:AI188"/>
    <mergeCell ref="AJ188:AO188"/>
    <mergeCell ref="B188:G188"/>
    <mergeCell ref="H188:I188"/>
    <mergeCell ref="J188:L188"/>
    <mergeCell ref="M188:Q188"/>
    <mergeCell ref="R188:T188"/>
    <mergeCell ref="U188:X188"/>
    <mergeCell ref="Y188:AB188"/>
    <mergeCell ref="AC189:AE189"/>
    <mergeCell ref="AF189:AG189"/>
    <mergeCell ref="AH189:AI189"/>
    <mergeCell ref="AJ189:AO189"/>
    <mergeCell ref="B189:G189"/>
    <mergeCell ref="H189:I189"/>
    <mergeCell ref="J189:L189"/>
    <mergeCell ref="M189:Q189"/>
    <mergeCell ref="R189:T189"/>
    <mergeCell ref="U189:X189"/>
    <mergeCell ref="Y189:AB189"/>
    <mergeCell ref="AC106:AE106"/>
    <mergeCell ref="AF106:AG106"/>
    <mergeCell ref="AH106:AI106"/>
    <mergeCell ref="AJ106:AO106"/>
    <mergeCell ref="B106:G106"/>
    <mergeCell ref="H106:I106"/>
    <mergeCell ref="J106:L106"/>
    <mergeCell ref="M106:Q106"/>
    <mergeCell ref="R106:T106"/>
    <mergeCell ref="U106:X106"/>
    <mergeCell ref="Y106:AB106"/>
    <mergeCell ref="AC107:AE107"/>
    <mergeCell ref="AF107:AG107"/>
    <mergeCell ref="AH107:AI107"/>
    <mergeCell ref="AJ107:AO107"/>
    <mergeCell ref="B107:G107"/>
    <mergeCell ref="H107:I107"/>
    <mergeCell ref="J107:L107"/>
    <mergeCell ref="M107:Q107"/>
    <mergeCell ref="R107:T107"/>
    <mergeCell ref="U107:X107"/>
    <mergeCell ref="Y107:AB107"/>
    <mergeCell ref="AC108:AE108"/>
    <mergeCell ref="AF108:AG108"/>
    <mergeCell ref="AH108:AI108"/>
    <mergeCell ref="AJ108:AO108"/>
    <mergeCell ref="B108:G108"/>
    <mergeCell ref="H108:I108"/>
    <mergeCell ref="J108:L108"/>
    <mergeCell ref="M108:Q108"/>
    <mergeCell ref="R108:T108"/>
    <mergeCell ref="U108:X108"/>
    <mergeCell ref="Y108:AB108"/>
    <mergeCell ref="AC109:AE109"/>
    <mergeCell ref="AF109:AG109"/>
    <mergeCell ref="AH109:AI109"/>
    <mergeCell ref="AJ109:AO109"/>
    <mergeCell ref="B109:G109"/>
    <mergeCell ref="H109:I109"/>
    <mergeCell ref="J109:L109"/>
    <mergeCell ref="M109:Q109"/>
    <mergeCell ref="R109:T109"/>
    <mergeCell ref="U109:X109"/>
    <mergeCell ref="Y109:AB109"/>
    <mergeCell ref="AC110:AE110"/>
    <mergeCell ref="AF110:AG110"/>
    <mergeCell ref="AH110:AI110"/>
    <mergeCell ref="AJ110:AO110"/>
    <mergeCell ref="B110:G110"/>
    <mergeCell ref="H110:I110"/>
    <mergeCell ref="J110:L110"/>
    <mergeCell ref="M110:Q110"/>
    <mergeCell ref="R110:T110"/>
    <mergeCell ref="U110:X110"/>
    <mergeCell ref="Y110:AB110"/>
    <mergeCell ref="AC111:AE111"/>
    <mergeCell ref="AF111:AG111"/>
    <mergeCell ref="AH111:AI111"/>
    <mergeCell ref="AJ111:AO111"/>
    <mergeCell ref="B111:G111"/>
    <mergeCell ref="H111:I111"/>
    <mergeCell ref="J111:L111"/>
    <mergeCell ref="M111:Q111"/>
    <mergeCell ref="R111:T111"/>
    <mergeCell ref="U111:X111"/>
    <mergeCell ref="Y111:AB111"/>
    <mergeCell ref="AC112:AE112"/>
    <mergeCell ref="AF112:AG112"/>
    <mergeCell ref="AH112:AI112"/>
    <mergeCell ref="AJ112:AO112"/>
    <mergeCell ref="B112:G112"/>
    <mergeCell ref="H112:I112"/>
    <mergeCell ref="J112:L112"/>
    <mergeCell ref="M112:Q112"/>
    <mergeCell ref="R112:T112"/>
    <mergeCell ref="U112:X112"/>
    <mergeCell ref="Y112:AB112"/>
    <mergeCell ref="AC113:AE113"/>
    <mergeCell ref="AF113:AG113"/>
    <mergeCell ref="AH113:AI113"/>
    <mergeCell ref="AJ113:AO113"/>
    <mergeCell ref="B113:G113"/>
    <mergeCell ref="H113:I113"/>
    <mergeCell ref="J113:L113"/>
    <mergeCell ref="M113:Q113"/>
    <mergeCell ref="R113:T113"/>
    <mergeCell ref="U113:X113"/>
    <mergeCell ref="Y113:AB113"/>
    <mergeCell ref="AC114:AE114"/>
    <mergeCell ref="AF114:AG114"/>
    <mergeCell ref="AH114:AI114"/>
    <mergeCell ref="AJ114:AO114"/>
    <mergeCell ref="B114:G114"/>
    <mergeCell ref="H114:I114"/>
    <mergeCell ref="J114:L114"/>
    <mergeCell ref="M114:Q114"/>
    <mergeCell ref="R114:T114"/>
    <mergeCell ref="U114:X114"/>
    <mergeCell ref="Y114:AB114"/>
    <mergeCell ref="AC115:AE115"/>
    <mergeCell ref="AF115:AG115"/>
    <mergeCell ref="AH115:AI115"/>
    <mergeCell ref="AJ115:AO115"/>
    <mergeCell ref="B115:G115"/>
    <mergeCell ref="H115:I115"/>
    <mergeCell ref="J115:L115"/>
    <mergeCell ref="M115:Q115"/>
    <mergeCell ref="R115:T115"/>
    <mergeCell ref="U115:X115"/>
    <mergeCell ref="Y115:AB115"/>
    <mergeCell ref="AC116:AE116"/>
    <mergeCell ref="AF116:AG116"/>
    <mergeCell ref="AH116:AI116"/>
    <mergeCell ref="AJ116:AO116"/>
    <mergeCell ref="B116:G116"/>
    <mergeCell ref="H116:I116"/>
    <mergeCell ref="J116:L116"/>
    <mergeCell ref="M116:Q116"/>
    <mergeCell ref="R116:T116"/>
    <mergeCell ref="U116:X116"/>
    <mergeCell ref="Y116:AB116"/>
    <mergeCell ref="AC117:AE117"/>
    <mergeCell ref="AF117:AG117"/>
    <mergeCell ref="AH117:AI117"/>
    <mergeCell ref="AJ117:AO117"/>
    <mergeCell ref="B117:G117"/>
    <mergeCell ref="H117:I117"/>
    <mergeCell ref="J117:L117"/>
    <mergeCell ref="M117:Q117"/>
    <mergeCell ref="R117:T117"/>
    <mergeCell ref="U117:X117"/>
    <mergeCell ref="Y117:AB117"/>
    <mergeCell ref="AC118:AE118"/>
    <mergeCell ref="AF118:AG118"/>
    <mergeCell ref="AH118:AI118"/>
    <mergeCell ref="AJ118:AO118"/>
    <mergeCell ref="B118:G118"/>
    <mergeCell ref="H118:I118"/>
    <mergeCell ref="J118:L118"/>
    <mergeCell ref="M118:Q118"/>
    <mergeCell ref="R118:T118"/>
    <mergeCell ref="U118:X118"/>
    <mergeCell ref="Y118:AB118"/>
    <mergeCell ref="AC119:AE119"/>
    <mergeCell ref="AF119:AG119"/>
    <mergeCell ref="AH119:AI119"/>
    <mergeCell ref="AJ119:AO119"/>
    <mergeCell ref="B119:G119"/>
    <mergeCell ref="H119:I119"/>
    <mergeCell ref="J119:L119"/>
    <mergeCell ref="M119:Q119"/>
    <mergeCell ref="R119:T119"/>
    <mergeCell ref="U119:X119"/>
    <mergeCell ref="Y119:AB119"/>
    <mergeCell ref="AC120:AE120"/>
    <mergeCell ref="AF120:AG120"/>
    <mergeCell ref="AH120:AI120"/>
    <mergeCell ref="AJ120:AO120"/>
    <mergeCell ref="B120:G120"/>
    <mergeCell ref="H120:I120"/>
    <mergeCell ref="J120:L120"/>
    <mergeCell ref="M120:Q120"/>
    <mergeCell ref="R120:T120"/>
    <mergeCell ref="U120:X120"/>
    <mergeCell ref="Y120:AB120"/>
    <mergeCell ref="AC121:AE121"/>
    <mergeCell ref="AF121:AG121"/>
    <mergeCell ref="AH121:AI121"/>
    <mergeCell ref="AJ121:AO121"/>
    <mergeCell ref="B121:G121"/>
    <mergeCell ref="H121:I121"/>
    <mergeCell ref="J121:L121"/>
    <mergeCell ref="M121:Q121"/>
    <mergeCell ref="R121:T121"/>
    <mergeCell ref="U121:X121"/>
    <mergeCell ref="Y121:AB121"/>
    <mergeCell ref="AC122:AE122"/>
    <mergeCell ref="AF122:AG122"/>
    <mergeCell ref="AH122:AI122"/>
    <mergeCell ref="AJ122:AO122"/>
    <mergeCell ref="B122:G122"/>
    <mergeCell ref="H122:I122"/>
    <mergeCell ref="J122:L122"/>
    <mergeCell ref="M122:Q122"/>
    <mergeCell ref="R122:T122"/>
    <mergeCell ref="U122:X122"/>
    <mergeCell ref="Y122:AB122"/>
    <mergeCell ref="AC123:AE123"/>
    <mergeCell ref="AF123:AG123"/>
    <mergeCell ref="AH123:AI123"/>
    <mergeCell ref="AJ123:AO123"/>
    <mergeCell ref="B123:G123"/>
    <mergeCell ref="H123:I123"/>
    <mergeCell ref="J123:L123"/>
    <mergeCell ref="M123:Q123"/>
    <mergeCell ref="R123:T123"/>
    <mergeCell ref="U123:X123"/>
    <mergeCell ref="Y123:AB123"/>
    <mergeCell ref="AC124:AE124"/>
    <mergeCell ref="AF124:AG124"/>
    <mergeCell ref="AH124:AI124"/>
    <mergeCell ref="AJ124:AO124"/>
    <mergeCell ref="B124:G124"/>
    <mergeCell ref="H124:I124"/>
    <mergeCell ref="J124:L124"/>
    <mergeCell ref="M124:Q124"/>
    <mergeCell ref="R124:T124"/>
    <mergeCell ref="U124:X124"/>
    <mergeCell ref="Y124:AB124"/>
    <mergeCell ref="AC125:AE125"/>
    <mergeCell ref="AF125:AG125"/>
    <mergeCell ref="AH125:AI125"/>
    <mergeCell ref="AJ125:AO125"/>
    <mergeCell ref="B125:G125"/>
    <mergeCell ref="H125:I125"/>
    <mergeCell ref="J125:L125"/>
    <mergeCell ref="M125:Q125"/>
    <mergeCell ref="R125:T125"/>
    <mergeCell ref="U125:X125"/>
    <mergeCell ref="Y125:AB125"/>
    <mergeCell ref="AC126:AE126"/>
    <mergeCell ref="AF126:AG126"/>
    <mergeCell ref="AH126:AI126"/>
    <mergeCell ref="AJ126:AO126"/>
    <mergeCell ref="B126:G126"/>
    <mergeCell ref="H126:I126"/>
    <mergeCell ref="J126:L126"/>
    <mergeCell ref="M126:Q126"/>
    <mergeCell ref="R126:T126"/>
    <mergeCell ref="U126:X126"/>
    <mergeCell ref="Y126:AB126"/>
    <mergeCell ref="AC127:AE127"/>
    <mergeCell ref="AF127:AG127"/>
    <mergeCell ref="AH127:AI127"/>
    <mergeCell ref="AJ127:AO127"/>
    <mergeCell ref="B127:G127"/>
    <mergeCell ref="H127:I127"/>
    <mergeCell ref="J127:L127"/>
    <mergeCell ref="M127:Q127"/>
    <mergeCell ref="R127:T127"/>
    <mergeCell ref="U127:X127"/>
    <mergeCell ref="Y127:AB127"/>
    <mergeCell ref="AC128:AE128"/>
    <mergeCell ref="AF128:AG128"/>
    <mergeCell ref="AH128:AI128"/>
    <mergeCell ref="AJ128:AO128"/>
    <mergeCell ref="B128:G128"/>
    <mergeCell ref="H128:I128"/>
    <mergeCell ref="J128:L128"/>
    <mergeCell ref="M128:Q128"/>
    <mergeCell ref="R128:T128"/>
    <mergeCell ref="U128:X128"/>
    <mergeCell ref="Y128:AB128"/>
    <mergeCell ref="AC129:AE129"/>
    <mergeCell ref="AF129:AG129"/>
    <mergeCell ref="AH129:AI129"/>
    <mergeCell ref="AJ129:AO129"/>
    <mergeCell ref="B129:G129"/>
    <mergeCell ref="H129:I129"/>
    <mergeCell ref="J129:L129"/>
    <mergeCell ref="M129:Q129"/>
    <mergeCell ref="R129:T129"/>
    <mergeCell ref="U129:X129"/>
    <mergeCell ref="Y129:AB129"/>
    <mergeCell ref="AC130:AE130"/>
    <mergeCell ref="AF130:AG130"/>
    <mergeCell ref="AH130:AI130"/>
    <mergeCell ref="AJ130:AO130"/>
    <mergeCell ref="B130:G130"/>
    <mergeCell ref="H130:I130"/>
    <mergeCell ref="J130:L130"/>
    <mergeCell ref="M130:Q130"/>
    <mergeCell ref="R130:T130"/>
    <mergeCell ref="U130:X130"/>
    <mergeCell ref="Y130:AB130"/>
    <mergeCell ref="AC131:AE131"/>
    <mergeCell ref="AF131:AG131"/>
    <mergeCell ref="AH131:AI131"/>
    <mergeCell ref="AJ131:AO131"/>
    <mergeCell ref="B131:G131"/>
    <mergeCell ref="H131:I131"/>
    <mergeCell ref="J131:L131"/>
    <mergeCell ref="M131:Q131"/>
    <mergeCell ref="R131:T131"/>
    <mergeCell ref="U131:X131"/>
    <mergeCell ref="Y131:AB131"/>
    <mergeCell ref="AC132:AE132"/>
    <mergeCell ref="AF132:AG132"/>
    <mergeCell ref="AH132:AI132"/>
    <mergeCell ref="AJ132:AO132"/>
    <mergeCell ref="B132:G132"/>
    <mergeCell ref="H132:I132"/>
    <mergeCell ref="J132:L132"/>
    <mergeCell ref="M132:Q132"/>
    <mergeCell ref="R132:T132"/>
    <mergeCell ref="U132:X132"/>
    <mergeCell ref="Y132:AB132"/>
    <mergeCell ref="AC133:AE133"/>
    <mergeCell ref="AF133:AG133"/>
    <mergeCell ref="AH133:AI133"/>
    <mergeCell ref="AJ133:AO133"/>
    <mergeCell ref="B133:G133"/>
    <mergeCell ref="H133:I133"/>
    <mergeCell ref="J133:L133"/>
    <mergeCell ref="M133:Q133"/>
    <mergeCell ref="R133:T133"/>
    <mergeCell ref="U133:X133"/>
    <mergeCell ref="Y133:AB133"/>
    <mergeCell ref="AC134:AE134"/>
    <mergeCell ref="AF134:AG134"/>
    <mergeCell ref="AH134:AI134"/>
    <mergeCell ref="AJ134:AO134"/>
    <mergeCell ref="B134:G134"/>
    <mergeCell ref="H134:I134"/>
    <mergeCell ref="J134:L134"/>
    <mergeCell ref="M134:Q134"/>
    <mergeCell ref="R134:T134"/>
    <mergeCell ref="U134:X134"/>
    <mergeCell ref="Y134:AB134"/>
    <mergeCell ref="AC135:AE135"/>
    <mergeCell ref="AF135:AG135"/>
    <mergeCell ref="AH135:AI135"/>
    <mergeCell ref="AJ135:AO135"/>
    <mergeCell ref="B135:G135"/>
    <mergeCell ref="H135:I135"/>
    <mergeCell ref="J135:L135"/>
    <mergeCell ref="M135:Q135"/>
    <mergeCell ref="R135:T135"/>
    <mergeCell ref="U135:X135"/>
    <mergeCell ref="Y135:AB135"/>
    <mergeCell ref="AC136:AE136"/>
    <mergeCell ref="AF136:AG136"/>
    <mergeCell ref="AH136:AI136"/>
    <mergeCell ref="AJ136:AO136"/>
    <mergeCell ref="B136:G136"/>
    <mergeCell ref="H136:I136"/>
    <mergeCell ref="J136:L136"/>
    <mergeCell ref="M136:Q136"/>
    <mergeCell ref="R136:T136"/>
    <mergeCell ref="U136:X136"/>
    <mergeCell ref="Y136:AB136"/>
    <mergeCell ref="AC137:AE137"/>
    <mergeCell ref="AF137:AG137"/>
    <mergeCell ref="AH137:AI137"/>
    <mergeCell ref="AJ137:AO137"/>
    <mergeCell ref="B137:G137"/>
    <mergeCell ref="H137:I137"/>
    <mergeCell ref="J137:L137"/>
    <mergeCell ref="M137:Q137"/>
    <mergeCell ref="R137:T137"/>
    <mergeCell ref="U137:X137"/>
    <mergeCell ref="Y137:AB137"/>
    <mergeCell ref="AC138:AE138"/>
    <mergeCell ref="AF138:AG138"/>
    <mergeCell ref="AH138:AI138"/>
    <mergeCell ref="AJ138:AO138"/>
    <mergeCell ref="B138:G138"/>
    <mergeCell ref="H138:I138"/>
    <mergeCell ref="J138:L138"/>
    <mergeCell ref="M138:Q138"/>
    <mergeCell ref="R138:T138"/>
    <mergeCell ref="U138:X138"/>
    <mergeCell ref="Y138:AB138"/>
    <mergeCell ref="AC139:AE139"/>
    <mergeCell ref="AF139:AG139"/>
    <mergeCell ref="AH139:AI139"/>
    <mergeCell ref="AJ139:AO139"/>
    <mergeCell ref="B139:G139"/>
    <mergeCell ref="H139:I139"/>
    <mergeCell ref="J139:L139"/>
    <mergeCell ref="M139:Q139"/>
    <mergeCell ref="R139:T139"/>
    <mergeCell ref="U139:X139"/>
    <mergeCell ref="Y139:AB139"/>
    <mergeCell ref="AC140:AE140"/>
    <mergeCell ref="AF140:AG140"/>
    <mergeCell ref="AH140:AI140"/>
    <mergeCell ref="AJ140:AO140"/>
    <mergeCell ref="B140:G140"/>
    <mergeCell ref="H140:I140"/>
    <mergeCell ref="J140:L140"/>
    <mergeCell ref="M140:Q140"/>
    <mergeCell ref="R140:T140"/>
    <mergeCell ref="U140:X140"/>
    <mergeCell ref="Y140:AB140"/>
    <mergeCell ref="AC141:AE141"/>
    <mergeCell ref="AF141:AG141"/>
    <mergeCell ref="AH141:AI141"/>
    <mergeCell ref="AJ141:AO141"/>
    <mergeCell ref="B141:G141"/>
    <mergeCell ref="H141:I141"/>
    <mergeCell ref="J141:L141"/>
    <mergeCell ref="M141:Q141"/>
    <mergeCell ref="R141:T141"/>
    <mergeCell ref="U141:X141"/>
    <mergeCell ref="Y141:AB141"/>
    <mergeCell ref="AC142:AE142"/>
    <mergeCell ref="AF142:AG142"/>
    <mergeCell ref="AH142:AI142"/>
    <mergeCell ref="AJ142:AO142"/>
    <mergeCell ref="B142:G142"/>
    <mergeCell ref="H142:I142"/>
    <mergeCell ref="J142:L142"/>
    <mergeCell ref="M142:Q142"/>
    <mergeCell ref="R142:T142"/>
    <mergeCell ref="U142:X142"/>
    <mergeCell ref="Y142:AB142"/>
    <mergeCell ref="AC143:AE143"/>
    <mergeCell ref="AF143:AG143"/>
    <mergeCell ref="AH143:AI143"/>
    <mergeCell ref="AJ143:AO143"/>
    <mergeCell ref="B143:G143"/>
    <mergeCell ref="H143:I143"/>
    <mergeCell ref="J143:L143"/>
    <mergeCell ref="M143:Q143"/>
    <mergeCell ref="R143:T143"/>
    <mergeCell ref="U143:X143"/>
    <mergeCell ref="Y143:AB143"/>
    <mergeCell ref="AC144:AE144"/>
    <mergeCell ref="AF144:AG144"/>
    <mergeCell ref="AH144:AI144"/>
    <mergeCell ref="AJ144:AO144"/>
    <mergeCell ref="B144:G144"/>
    <mergeCell ref="H144:I144"/>
    <mergeCell ref="J144:L144"/>
    <mergeCell ref="M144:Q144"/>
    <mergeCell ref="R144:T144"/>
    <mergeCell ref="U144:X144"/>
    <mergeCell ref="Y144:AB144"/>
    <mergeCell ref="AC145:AE145"/>
    <mergeCell ref="AF145:AG145"/>
    <mergeCell ref="AH145:AI145"/>
    <mergeCell ref="AJ145:AO145"/>
    <mergeCell ref="B145:G145"/>
    <mergeCell ref="H145:I145"/>
    <mergeCell ref="J145:L145"/>
    <mergeCell ref="M145:Q145"/>
    <mergeCell ref="R145:T145"/>
    <mergeCell ref="U145:X145"/>
    <mergeCell ref="Y145:AB145"/>
    <mergeCell ref="AC146:AE146"/>
    <mergeCell ref="AF146:AG146"/>
    <mergeCell ref="AH146:AI146"/>
    <mergeCell ref="AJ146:AO146"/>
    <mergeCell ref="B146:G146"/>
    <mergeCell ref="H146:I146"/>
    <mergeCell ref="J146:L146"/>
    <mergeCell ref="M146:Q146"/>
    <mergeCell ref="R146:T146"/>
    <mergeCell ref="U146:X146"/>
    <mergeCell ref="Y146:AB146"/>
    <mergeCell ref="AC147:AE147"/>
    <mergeCell ref="AF147:AG147"/>
    <mergeCell ref="AH147:AI147"/>
    <mergeCell ref="AJ147:AO147"/>
    <mergeCell ref="B147:G147"/>
    <mergeCell ref="H147:I147"/>
    <mergeCell ref="J147:L147"/>
    <mergeCell ref="M147:Q147"/>
    <mergeCell ref="R147:T147"/>
    <mergeCell ref="U147:X147"/>
    <mergeCell ref="Y147:AB147"/>
    <mergeCell ref="AC148:AE148"/>
    <mergeCell ref="AF148:AG148"/>
    <mergeCell ref="AH148:AI148"/>
    <mergeCell ref="AJ148:AO148"/>
    <mergeCell ref="B148:G148"/>
    <mergeCell ref="H148:I148"/>
    <mergeCell ref="J148:L148"/>
    <mergeCell ref="M148:Q148"/>
    <mergeCell ref="R148:T148"/>
    <mergeCell ref="U148:X148"/>
    <mergeCell ref="Y148:AB148"/>
    <mergeCell ref="AC149:AE149"/>
    <mergeCell ref="AF149:AG149"/>
    <mergeCell ref="AH149:AI149"/>
    <mergeCell ref="AJ149:AO149"/>
    <mergeCell ref="B149:G149"/>
    <mergeCell ref="H149:I149"/>
    <mergeCell ref="J149:L149"/>
    <mergeCell ref="M149:Q149"/>
    <mergeCell ref="R149:T149"/>
    <mergeCell ref="U149:X149"/>
    <mergeCell ref="Y149:AB149"/>
    <mergeCell ref="AC150:AE150"/>
    <mergeCell ref="AF150:AG150"/>
    <mergeCell ref="AH150:AI150"/>
    <mergeCell ref="AJ150:AO150"/>
    <mergeCell ref="B150:G150"/>
    <mergeCell ref="H150:I150"/>
    <mergeCell ref="J150:L150"/>
    <mergeCell ref="M150:Q150"/>
    <mergeCell ref="R150:T150"/>
    <mergeCell ref="U150:X150"/>
    <mergeCell ref="Y150:AB150"/>
    <mergeCell ref="AC151:AE151"/>
    <mergeCell ref="AF151:AG151"/>
    <mergeCell ref="AH151:AI151"/>
    <mergeCell ref="AJ151:AO151"/>
    <mergeCell ref="B151:G151"/>
    <mergeCell ref="H151:I151"/>
    <mergeCell ref="J151:L151"/>
    <mergeCell ref="M151:Q151"/>
    <mergeCell ref="R151:T151"/>
    <mergeCell ref="U151:X151"/>
    <mergeCell ref="Y151:AB151"/>
    <mergeCell ref="AC152:AE152"/>
    <mergeCell ref="AF152:AG152"/>
    <mergeCell ref="AH152:AI152"/>
    <mergeCell ref="AJ152:AO152"/>
    <mergeCell ref="B152:G152"/>
    <mergeCell ref="H152:I152"/>
    <mergeCell ref="J152:L152"/>
    <mergeCell ref="M152:Q152"/>
    <mergeCell ref="R152:T152"/>
    <mergeCell ref="U152:X152"/>
    <mergeCell ref="Y152:AB152"/>
    <mergeCell ref="AC153:AE153"/>
    <mergeCell ref="AF153:AG153"/>
    <mergeCell ref="AH153:AI153"/>
    <mergeCell ref="AJ153:AO153"/>
    <mergeCell ref="B153:G153"/>
    <mergeCell ref="H153:I153"/>
    <mergeCell ref="J153:L153"/>
    <mergeCell ref="M153:Q153"/>
    <mergeCell ref="R153:T153"/>
    <mergeCell ref="U153:X153"/>
    <mergeCell ref="Y153:AB153"/>
    <mergeCell ref="AC154:AE154"/>
    <mergeCell ref="AF154:AG154"/>
    <mergeCell ref="AH154:AI154"/>
    <mergeCell ref="AJ154:AO154"/>
    <mergeCell ref="B154:G154"/>
    <mergeCell ref="H154:I154"/>
    <mergeCell ref="J154:L154"/>
    <mergeCell ref="M154:Q154"/>
    <mergeCell ref="R154:T154"/>
    <mergeCell ref="U154:X154"/>
    <mergeCell ref="Y154:AB154"/>
  </mergeCells>
  <conditionalFormatting sqref="H45:AO201">
    <cfRule type="expression" dxfId="43" priority="1">
      <formula>and($B45&lt;&gt;"",H45="")</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16"/>
      <c r="B1" s="517"/>
      <c r="C1" s="517"/>
      <c r="D1" s="517"/>
      <c r="E1" s="517"/>
      <c r="F1" s="517"/>
      <c r="G1" s="517"/>
      <c r="H1" s="518"/>
      <c r="I1" s="518"/>
      <c r="J1" s="518"/>
      <c r="K1" s="518"/>
      <c r="L1" s="517"/>
      <c r="M1" s="517"/>
      <c r="N1" s="517"/>
      <c r="O1" s="519" t="str">
        <f>IMAGE("http://i.imgur.com/4gaCjL0.png",2)</f>
        <v/>
      </c>
      <c r="P1" s="520" t="str">
        <f>IMAGE("https://i.imgur.com/IxRRFOd.png",2)</f>
        <v/>
      </c>
      <c r="AB1" s="521" t="str">
        <f>IMAGE("http://i.imgur.com/GYlWKEy.png",2)</f>
        <v/>
      </c>
      <c r="AC1" s="518"/>
      <c r="AD1" s="518"/>
      <c r="AE1" s="517"/>
      <c r="AF1" s="517"/>
      <c r="AG1" s="517"/>
      <c r="AH1" s="517"/>
      <c r="AI1" s="518"/>
      <c r="AJ1" s="517"/>
      <c r="AK1" s="517"/>
      <c r="AL1" s="517"/>
      <c r="AM1" s="517"/>
      <c r="AN1" s="522"/>
      <c r="AO1" s="522"/>
      <c r="AP1" s="516"/>
    </row>
    <row r="2" ht="15.75" customHeight="1">
      <c r="A2" s="516"/>
      <c r="B2" s="524" t="str">
        <f>IMAGE("http://i.imgur.com/txQSaWP.png",4,20,400)</f>
        <v/>
      </c>
      <c r="P2" s="525" t="s">
        <v>539</v>
      </c>
      <c r="Q2" s="25"/>
      <c r="R2" s="25"/>
      <c r="S2" s="25"/>
      <c r="T2" s="25"/>
      <c r="U2" s="25"/>
      <c r="V2" s="25"/>
      <c r="W2" s="25"/>
      <c r="X2" s="25"/>
      <c r="Y2" s="25"/>
      <c r="Z2" s="25"/>
      <c r="AA2" s="25"/>
      <c r="AC2" s="526" t="str">
        <f>IMAGE("http://i.imgur.com/txQSaWP.png",4,20,400)</f>
        <v/>
      </c>
      <c r="AP2" s="550"/>
    </row>
    <row r="3" ht="15.75" customHeight="1">
      <c r="A3" s="516"/>
      <c r="B3" s="528" t="s">
        <v>540</v>
      </c>
      <c r="P3" s="31"/>
      <c r="Q3" s="31"/>
      <c r="R3" s="31"/>
      <c r="S3" s="31"/>
      <c r="T3" s="31"/>
      <c r="U3" s="31"/>
      <c r="V3" s="31"/>
      <c r="W3" s="31"/>
      <c r="X3" s="31"/>
      <c r="Y3" s="31"/>
      <c r="Z3" s="31"/>
      <c r="AA3" s="31"/>
      <c r="AC3" s="529" t="s">
        <v>541</v>
      </c>
      <c r="AO3" s="11"/>
      <c r="AP3" s="516"/>
    </row>
    <row r="4" ht="15.75" customHeight="1">
      <c r="A4" s="516"/>
      <c r="B4" s="27"/>
      <c r="P4" s="522" t="str">
        <f>IMAGE("http://i.imgur.com/7WHiYi1.png",2)</f>
        <v/>
      </c>
      <c r="AO4" s="11"/>
      <c r="AP4" s="516"/>
    </row>
    <row r="5" ht="15.75" customHeight="1">
      <c r="A5" s="516"/>
      <c r="B5" s="551" t="s">
        <v>542</v>
      </c>
      <c r="C5" s="531"/>
      <c r="D5" s="531"/>
      <c r="E5" s="531"/>
      <c r="F5" s="552" t="s">
        <v>543</v>
      </c>
      <c r="G5" s="531"/>
      <c r="H5" s="531"/>
      <c r="I5" s="552" t="s">
        <v>544</v>
      </c>
      <c r="J5" s="531"/>
      <c r="K5" s="552" t="s">
        <v>360</v>
      </c>
      <c r="L5" s="531"/>
      <c r="M5" s="531"/>
      <c r="N5" s="552" t="s">
        <v>545</v>
      </c>
      <c r="O5" s="531"/>
      <c r="P5" s="552" t="s">
        <v>546</v>
      </c>
      <c r="Q5" s="531"/>
      <c r="R5" s="531"/>
      <c r="S5" s="531"/>
      <c r="T5" s="531"/>
      <c r="U5" s="531"/>
      <c r="V5" s="531"/>
      <c r="W5" s="531"/>
      <c r="X5" s="552" t="s">
        <v>547</v>
      </c>
      <c r="Y5" s="531"/>
      <c r="Z5" s="531"/>
      <c r="AA5" s="552" t="s">
        <v>548</v>
      </c>
      <c r="AB5" s="531"/>
      <c r="AC5" s="531"/>
      <c r="AD5" s="531"/>
      <c r="AE5" s="552" t="s">
        <v>549</v>
      </c>
      <c r="AF5" s="531"/>
      <c r="AG5" s="531"/>
      <c r="AH5" s="531"/>
      <c r="AI5" s="531"/>
      <c r="AJ5" s="552" t="s">
        <v>550</v>
      </c>
      <c r="AK5" s="531"/>
      <c r="AL5" s="531"/>
      <c r="AM5" s="531"/>
      <c r="AN5" s="531"/>
      <c r="AO5" s="533"/>
    </row>
    <row r="6" ht="15.75" customHeight="1">
      <c r="A6" s="516"/>
      <c r="B6" s="534"/>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c r="AM6" s="535"/>
      <c r="AN6" s="535"/>
      <c r="AO6" s="536"/>
    </row>
    <row r="7" ht="15.75" customHeight="1">
      <c r="A7" s="516"/>
      <c r="B7" s="537" t="s">
        <v>551</v>
      </c>
      <c r="F7" s="538" t="s">
        <v>552</v>
      </c>
      <c r="I7" s="538" t="s">
        <v>32</v>
      </c>
      <c r="K7" s="538">
        <v>25.0</v>
      </c>
      <c r="N7" s="538">
        <v>1.0</v>
      </c>
      <c r="P7" s="538" t="s">
        <v>553</v>
      </c>
      <c r="X7" s="538" t="s">
        <v>554</v>
      </c>
      <c r="AA7" s="538" t="s">
        <v>32</v>
      </c>
      <c r="AE7" s="538" t="s">
        <v>555</v>
      </c>
      <c r="AJ7" s="538" t="s">
        <v>556</v>
      </c>
      <c r="AO7" s="540"/>
    </row>
    <row r="8" ht="15.75" customHeight="1">
      <c r="A8" s="516"/>
      <c r="B8" s="541"/>
      <c r="F8" s="542"/>
      <c r="I8" s="542"/>
      <c r="K8" s="542"/>
      <c r="N8" s="542"/>
      <c r="P8" s="542"/>
      <c r="X8" s="542"/>
      <c r="AA8" s="542"/>
      <c r="AE8" s="542"/>
      <c r="AJ8" s="542"/>
      <c r="AO8" s="544"/>
    </row>
    <row r="9" ht="15.75" customHeight="1">
      <c r="A9" s="516"/>
      <c r="B9" s="537" t="s">
        <v>557</v>
      </c>
      <c r="F9" s="538" t="s">
        <v>558</v>
      </c>
      <c r="I9" s="538" t="s">
        <v>32</v>
      </c>
      <c r="K9" s="538">
        <v>30.0</v>
      </c>
      <c r="N9" s="538" t="s">
        <v>32</v>
      </c>
      <c r="P9" s="538" t="s">
        <v>32</v>
      </c>
      <c r="X9" s="545" t="s">
        <v>559</v>
      </c>
      <c r="AA9" s="538" t="s">
        <v>32</v>
      </c>
      <c r="AE9" s="538" t="s">
        <v>560</v>
      </c>
      <c r="AJ9" s="538" t="s">
        <v>561</v>
      </c>
      <c r="AO9" s="540"/>
    </row>
    <row r="10" ht="15.75" customHeight="1">
      <c r="A10" s="516"/>
      <c r="B10" s="541"/>
      <c r="F10" s="542"/>
      <c r="I10" s="542"/>
      <c r="K10" s="542"/>
      <c r="N10" s="542"/>
      <c r="P10" s="542"/>
      <c r="X10" s="542"/>
      <c r="AA10" s="542"/>
      <c r="AE10" s="542"/>
      <c r="AJ10" s="542"/>
      <c r="AO10" s="544"/>
    </row>
    <row r="11" ht="15.75" customHeight="1">
      <c r="A11" s="516"/>
      <c r="B11" s="537"/>
      <c r="F11" s="538"/>
      <c r="I11" s="538"/>
      <c r="K11" s="538"/>
      <c r="N11" s="538"/>
      <c r="P11" s="538"/>
      <c r="X11" s="538"/>
      <c r="AA11" s="538"/>
      <c r="AE11" s="538"/>
      <c r="AJ11" s="538"/>
      <c r="AO11" s="540"/>
    </row>
    <row r="12" ht="15.75" customHeight="1">
      <c r="A12" s="516"/>
      <c r="B12" s="541" t="s">
        <v>562</v>
      </c>
      <c r="F12" s="542" t="s">
        <v>563</v>
      </c>
      <c r="I12" s="542" t="s">
        <v>32</v>
      </c>
      <c r="K12" s="542">
        <v>25.0</v>
      </c>
      <c r="N12" s="542" t="s">
        <v>32</v>
      </c>
      <c r="P12" s="542" t="s">
        <v>32</v>
      </c>
      <c r="X12" s="542" t="s">
        <v>564</v>
      </c>
      <c r="AA12" s="542" t="s">
        <v>32</v>
      </c>
      <c r="AE12" s="542" t="s">
        <v>32</v>
      </c>
      <c r="AJ12" s="542" t="s">
        <v>32</v>
      </c>
      <c r="AO12" s="544"/>
    </row>
    <row r="13" ht="15.75" customHeight="1">
      <c r="A13" s="516"/>
      <c r="B13" s="537"/>
      <c r="F13" s="538"/>
      <c r="I13" s="538"/>
      <c r="K13" s="538"/>
      <c r="N13" s="538"/>
      <c r="P13" s="538"/>
      <c r="X13" s="538"/>
      <c r="AA13" s="538"/>
      <c r="AE13" s="538"/>
      <c r="AJ13" s="538"/>
      <c r="AO13" s="540"/>
    </row>
    <row r="14" ht="15.75" customHeight="1">
      <c r="A14" s="516"/>
      <c r="B14" s="541" t="s">
        <v>565</v>
      </c>
      <c r="F14" s="542" t="s">
        <v>566</v>
      </c>
      <c r="I14" s="542" t="s">
        <v>32</v>
      </c>
      <c r="K14" s="542">
        <v>30.0</v>
      </c>
      <c r="N14" s="542" t="s">
        <v>32</v>
      </c>
      <c r="P14" s="542" t="s">
        <v>32</v>
      </c>
      <c r="X14" s="542" t="s">
        <v>567</v>
      </c>
      <c r="AA14" s="542" t="s">
        <v>32</v>
      </c>
      <c r="AE14" s="542" t="s">
        <v>32</v>
      </c>
      <c r="AJ14" s="542" t="s">
        <v>32</v>
      </c>
      <c r="AO14" s="544"/>
    </row>
    <row r="15" ht="15.75" customHeight="1">
      <c r="A15" s="516"/>
      <c r="B15" s="537"/>
      <c r="F15" s="538"/>
      <c r="I15" s="538"/>
      <c r="K15" s="538"/>
      <c r="N15" s="538"/>
      <c r="P15" s="538"/>
      <c r="X15" s="538"/>
      <c r="AA15" s="538"/>
      <c r="AE15" s="538"/>
      <c r="AJ15" s="538"/>
      <c r="AO15" s="540"/>
    </row>
    <row r="16" ht="15.75" customHeight="1">
      <c r="A16" s="516"/>
      <c r="B16" s="541" t="s">
        <v>568</v>
      </c>
      <c r="F16" s="542" t="s">
        <v>569</v>
      </c>
      <c r="I16" s="542" t="str">
        <f>"1"&amp;if(isnumber(find("dragon hide",feats)),"3","0")&amp;"+dex"</f>
        <v>10+dex</v>
      </c>
      <c r="K16" s="542">
        <v>30.0</v>
      </c>
      <c r="N16" s="542" t="s">
        <v>32</v>
      </c>
      <c r="P16" s="542" t="s">
        <v>570</v>
      </c>
      <c r="X16" s="542" t="s">
        <v>571</v>
      </c>
      <c r="AA16" s="542" t="str">
        <f>if(isnumber(find("dragon hide",feats)),"Claw 1d4 slashing","-")</f>
        <v>-</v>
      </c>
      <c r="AE16" s="542" t="s">
        <v>32</v>
      </c>
      <c r="AJ16" s="542" t="s">
        <v>32</v>
      </c>
      <c r="AO16" s="544"/>
    </row>
    <row r="17" ht="15.75" customHeight="1">
      <c r="A17" s="516"/>
      <c r="B17" s="537" t="s">
        <v>572</v>
      </c>
      <c r="F17" s="538" t="s">
        <v>569</v>
      </c>
      <c r="I17" s="538" t="str">
        <f>"1"&amp;if(isnumber(find("dragon hide",feats)),"3","0")&amp;"+dex"</f>
        <v>10+dex</v>
      </c>
      <c r="K17" s="538">
        <v>30.0</v>
      </c>
      <c r="N17" s="538" t="s">
        <v>32</v>
      </c>
      <c r="P17" s="538" t="s">
        <v>573</v>
      </c>
      <c r="X17" s="538" t="s">
        <v>571</v>
      </c>
      <c r="AA17" s="538" t="str">
        <f>if(isnumber(find("dragon hide",feats)),"Claw 1d4 slashing","-")</f>
        <v>-</v>
      </c>
      <c r="AE17" s="538" t="s">
        <v>32</v>
      </c>
      <c r="AJ17" s="538" t="s">
        <v>32</v>
      </c>
      <c r="AO17" s="540"/>
    </row>
    <row r="18" ht="15.75" customHeight="1">
      <c r="A18" s="516"/>
      <c r="B18" s="541" t="s">
        <v>574</v>
      </c>
      <c r="F18" s="542" t="s">
        <v>569</v>
      </c>
      <c r="I18" s="542" t="str">
        <f>"1"&amp;if(isnumber(find("dragon hide",feats)),"3","0")&amp;"+dex"</f>
        <v>10+dex</v>
      </c>
      <c r="K18" s="542">
        <v>30.0</v>
      </c>
      <c r="N18" s="542" t="s">
        <v>32</v>
      </c>
      <c r="P18" s="542" t="s">
        <v>575</v>
      </c>
      <c r="X18" s="542" t="s">
        <v>571</v>
      </c>
      <c r="AA18" s="542" t="str">
        <f>if(isnumber(find("dragon hide",feats)),"Claw 1d4 slashing","-")</f>
        <v>-</v>
      </c>
      <c r="AE18" s="542" t="s">
        <v>32</v>
      </c>
      <c r="AJ18" s="542" t="s">
        <v>32</v>
      </c>
      <c r="AO18" s="544"/>
    </row>
    <row r="19" ht="15.75" customHeight="1">
      <c r="A19" s="516"/>
      <c r="B19" s="537" t="s">
        <v>576</v>
      </c>
      <c r="F19" s="538" t="s">
        <v>569</v>
      </c>
      <c r="I19" s="538" t="str">
        <f>"1"&amp;if(isnumber(find("dragon hide",feats)),"3","0")&amp;"+dex"</f>
        <v>10+dex</v>
      </c>
      <c r="K19" s="538">
        <v>30.0</v>
      </c>
      <c r="N19" s="538" t="s">
        <v>32</v>
      </c>
      <c r="P19" s="545" t="s">
        <v>573</v>
      </c>
      <c r="X19" s="538" t="s">
        <v>571</v>
      </c>
      <c r="AA19" s="538" t="str">
        <f>if(isnumber(find("dragon hide",feats)),"Claw 1d4 slashing","-")</f>
        <v>-</v>
      </c>
      <c r="AE19" s="538" t="s">
        <v>32</v>
      </c>
      <c r="AJ19" s="538" t="s">
        <v>32</v>
      </c>
      <c r="AO19" s="540"/>
    </row>
    <row r="20" ht="15.75" customHeight="1">
      <c r="A20" s="516"/>
      <c r="B20" s="541" t="s">
        <v>577</v>
      </c>
      <c r="F20" s="542" t="s">
        <v>569</v>
      </c>
      <c r="I20" s="542" t="str">
        <f>"1"&amp;if(isnumber(find("dragon hide",feats)),"3","0")&amp;"+dex"</f>
        <v>10+dex</v>
      </c>
      <c r="K20" s="542">
        <v>30.0</v>
      </c>
      <c r="N20" s="542" t="s">
        <v>32</v>
      </c>
      <c r="P20" s="542" t="s">
        <v>570</v>
      </c>
      <c r="X20" s="542" t="s">
        <v>571</v>
      </c>
      <c r="AA20" s="542" t="str">
        <f>if(isnumber(find("dragon hide",feats)),"Claw 1d4 slashing","-")</f>
        <v>-</v>
      </c>
      <c r="AE20" s="542" t="s">
        <v>32</v>
      </c>
      <c r="AJ20" s="542" t="s">
        <v>32</v>
      </c>
      <c r="AO20" s="544"/>
    </row>
    <row r="21" ht="15.75" customHeight="1">
      <c r="A21" s="516"/>
      <c r="B21" s="537" t="s">
        <v>578</v>
      </c>
      <c r="F21" s="538" t="s">
        <v>569</v>
      </c>
      <c r="I21" s="538" t="str">
        <f>"1"&amp;if(isnumber(find("dragon hide",feats)),"3","0")&amp;"+dex"</f>
        <v>10+dex</v>
      </c>
      <c r="K21" s="538">
        <v>30.0</v>
      </c>
      <c r="N21" s="538" t="s">
        <v>32</v>
      </c>
      <c r="P21" s="538" t="s">
        <v>575</v>
      </c>
      <c r="X21" s="538" t="s">
        <v>571</v>
      </c>
      <c r="AA21" s="538" t="str">
        <f>if(isnumber(find("dragon hide",feats)),"Claw 1d4 slashing","-")</f>
        <v>-</v>
      </c>
      <c r="AE21" s="538" t="s">
        <v>32</v>
      </c>
      <c r="AJ21" s="538" t="s">
        <v>32</v>
      </c>
      <c r="AO21" s="540"/>
    </row>
    <row r="22" ht="15.75" customHeight="1">
      <c r="A22" s="516"/>
      <c r="B22" s="541" t="s">
        <v>579</v>
      </c>
      <c r="F22" s="542" t="s">
        <v>569</v>
      </c>
      <c r="I22" s="542" t="str">
        <f>"1"&amp;if(isnumber(find("dragon hide",feats)),"3","0")&amp;"+dex"</f>
        <v>10+dex</v>
      </c>
      <c r="K22" s="542">
        <v>30.0</v>
      </c>
      <c r="N22" s="542" t="s">
        <v>32</v>
      </c>
      <c r="P22" s="542" t="s">
        <v>580</v>
      </c>
      <c r="X22" s="542" t="s">
        <v>571</v>
      </c>
      <c r="AA22" s="542" t="str">
        <f>if(isnumber(find("dragon hide",feats)),"Claw 1d4 slashing","-")</f>
        <v>-</v>
      </c>
      <c r="AE22" s="542" t="s">
        <v>32</v>
      </c>
      <c r="AJ22" s="542" t="s">
        <v>32</v>
      </c>
      <c r="AO22" s="544"/>
    </row>
    <row r="23" ht="15.75" customHeight="1">
      <c r="A23" s="516"/>
      <c r="B23" s="537" t="s">
        <v>581</v>
      </c>
      <c r="F23" s="538" t="s">
        <v>569</v>
      </c>
      <c r="I23" s="538" t="str">
        <f>"1"&amp;if(isnumber(find("dragon hide",feats)),"3","0")&amp;"+dex"</f>
        <v>10+dex</v>
      </c>
      <c r="K23" s="538">
        <v>30.0</v>
      </c>
      <c r="N23" s="538" t="s">
        <v>32</v>
      </c>
      <c r="P23" s="538" t="s">
        <v>575</v>
      </c>
      <c r="X23" s="538" t="s">
        <v>571</v>
      </c>
      <c r="AA23" s="538" t="str">
        <f>if(isnumber(find("dragon hide",feats)),"Claw 1d4 slashing","-")</f>
        <v>-</v>
      </c>
      <c r="AE23" s="538" t="s">
        <v>32</v>
      </c>
      <c r="AJ23" s="538" t="s">
        <v>32</v>
      </c>
      <c r="AO23" s="540"/>
    </row>
    <row r="24" ht="15.75" customHeight="1">
      <c r="A24" s="516"/>
      <c r="B24" s="541" t="s">
        <v>582</v>
      </c>
      <c r="F24" s="542" t="s">
        <v>569</v>
      </c>
      <c r="I24" s="542" t="str">
        <f>"1"&amp;if(isnumber(find("dragon hide",feats)),"3","0")&amp;"+dex"</f>
        <v>10+dex</v>
      </c>
      <c r="K24" s="542">
        <v>30.0</v>
      </c>
      <c r="N24" s="542" t="s">
        <v>32</v>
      </c>
      <c r="P24" s="542" t="s">
        <v>583</v>
      </c>
      <c r="X24" s="542" t="s">
        <v>571</v>
      </c>
      <c r="AA24" s="542" t="str">
        <f>if(isnumber(find("dragon hide",feats)),"Claw 1d4 slashing","-")</f>
        <v>-</v>
      </c>
      <c r="AE24" s="542" t="s">
        <v>32</v>
      </c>
      <c r="AJ24" s="542" t="s">
        <v>32</v>
      </c>
      <c r="AO24" s="544"/>
    </row>
    <row r="25" ht="15.75" customHeight="1">
      <c r="A25" s="516"/>
      <c r="B25" s="537" t="s">
        <v>584</v>
      </c>
      <c r="F25" s="538" t="s">
        <v>569</v>
      </c>
      <c r="I25" s="538" t="str">
        <f>"1"&amp;if(isnumber(find("dragon hide",feats)),"3","0")&amp;"+dex"</f>
        <v>10+dex</v>
      </c>
      <c r="K25" s="538">
        <v>30.0</v>
      </c>
      <c r="N25" s="538" t="s">
        <v>32</v>
      </c>
      <c r="P25" s="538" t="s">
        <v>583</v>
      </c>
      <c r="X25" s="538" t="s">
        <v>571</v>
      </c>
      <c r="AA25" s="538" t="str">
        <f>if(isnumber(find("dragon hide",feats)),"Claw 1d4 slashing","-")</f>
        <v>-</v>
      </c>
      <c r="AE25" s="538" t="s">
        <v>32</v>
      </c>
      <c r="AJ25" s="538" t="s">
        <v>32</v>
      </c>
      <c r="AO25" s="540"/>
    </row>
    <row r="26" ht="15.75" customHeight="1">
      <c r="A26" s="516"/>
      <c r="B26" s="541"/>
      <c r="F26" s="542"/>
      <c r="I26" s="542"/>
      <c r="K26" s="542"/>
      <c r="N26" s="542"/>
      <c r="P26" s="542"/>
      <c r="X26" s="542"/>
      <c r="AA26" s="542"/>
      <c r="AE26" s="542"/>
      <c r="AJ26" s="542"/>
      <c r="AO26" s="544"/>
    </row>
    <row r="27" ht="15.75" customHeight="1">
      <c r="A27" s="516"/>
      <c r="B27" s="537" t="s">
        <v>585</v>
      </c>
      <c r="F27" s="538" t="s">
        <v>586</v>
      </c>
      <c r="I27" s="538" t="s">
        <v>32</v>
      </c>
      <c r="K27" s="538">
        <v>25.0</v>
      </c>
      <c r="N27" s="538" t="s">
        <v>32</v>
      </c>
      <c r="P27" s="538" t="s">
        <v>32</v>
      </c>
      <c r="X27" s="538" t="s">
        <v>587</v>
      </c>
      <c r="AA27" s="538" t="s">
        <v>32</v>
      </c>
      <c r="AE27" s="538" t="s">
        <v>32</v>
      </c>
      <c r="AJ27" s="538" t="s">
        <v>588</v>
      </c>
      <c r="AO27" s="540"/>
    </row>
    <row r="28" ht="15.75" customHeight="1">
      <c r="A28" s="516"/>
      <c r="B28" s="541" t="s">
        <v>589</v>
      </c>
      <c r="F28" s="542" t="s">
        <v>590</v>
      </c>
      <c r="I28" s="542" t="s">
        <v>32</v>
      </c>
      <c r="K28" s="542">
        <v>30.0</v>
      </c>
      <c r="N28" s="542" t="s">
        <v>32</v>
      </c>
      <c r="P28" s="542" t="s">
        <v>32</v>
      </c>
      <c r="X28" s="542" t="s">
        <v>559</v>
      </c>
      <c r="AA28" s="542" t="s">
        <v>32</v>
      </c>
      <c r="AE28" s="542" t="s">
        <v>32</v>
      </c>
      <c r="AJ28" s="542" t="s">
        <v>591</v>
      </c>
      <c r="AO28" s="544"/>
    </row>
    <row r="29" ht="15.75" customHeight="1">
      <c r="A29" s="516"/>
      <c r="B29" s="537" t="s">
        <v>592</v>
      </c>
      <c r="F29" s="538" t="s">
        <v>593</v>
      </c>
      <c r="I29" s="538" t="s">
        <v>32</v>
      </c>
      <c r="K29" s="538">
        <v>30.0</v>
      </c>
      <c r="N29" s="538" t="s">
        <v>594</v>
      </c>
      <c r="P29" s="538" t="s">
        <v>32</v>
      </c>
      <c r="X29" s="538" t="s">
        <v>595</v>
      </c>
      <c r="AA29" s="538" t="s">
        <v>32</v>
      </c>
      <c r="AE29" s="538" t="s">
        <v>32</v>
      </c>
      <c r="AJ29" s="538" t="s">
        <v>596</v>
      </c>
      <c r="AO29" s="540"/>
    </row>
    <row r="30" ht="15.75" customHeight="1">
      <c r="A30" s="516"/>
      <c r="B30" s="541" t="s">
        <v>597</v>
      </c>
      <c r="F30" s="542" t="s">
        <v>598</v>
      </c>
      <c r="I30" s="542" t="s">
        <v>32</v>
      </c>
      <c r="K30" s="542">
        <v>30.0</v>
      </c>
      <c r="N30" s="542" t="s">
        <v>32</v>
      </c>
      <c r="P30" s="542" t="str">
        <f>"Hellish Resistance
You have resistance to Fire damage."&amp;if(isnumber(find("infernal constitution",feats)),"
Infernal Constitution
You have resistance to Cold and Poison damage.","")</f>
        <v>Hellish Resistance
You have resistance to Fire damage.</v>
      </c>
      <c r="X30" s="542" t="s">
        <v>599</v>
      </c>
      <c r="AA30" s="542" t="s">
        <v>32</v>
      </c>
      <c r="AE30" s="542" t="s">
        <v>32</v>
      </c>
      <c r="AJ30" s="542" t="s">
        <v>32</v>
      </c>
      <c r="AO30" s="544"/>
    </row>
    <row r="31" ht="15.75" customHeight="1">
      <c r="A31" s="516"/>
      <c r="B31" s="547" t="s">
        <v>8</v>
      </c>
      <c r="F31" s="545" t="s">
        <v>586</v>
      </c>
      <c r="I31" s="545" t="s">
        <v>32</v>
      </c>
      <c r="K31" s="545">
        <v>30.0</v>
      </c>
      <c r="N31" s="538" t="s">
        <v>32</v>
      </c>
      <c r="P31" s="538" t="s">
        <v>32</v>
      </c>
      <c r="X31" s="545" t="s">
        <v>600</v>
      </c>
      <c r="AA31" s="538" t="s">
        <v>32</v>
      </c>
      <c r="AE31" s="538" t="s">
        <v>560</v>
      </c>
      <c r="AJ31" s="538" t="s">
        <v>561</v>
      </c>
      <c r="AO31" s="540"/>
    </row>
    <row r="32" ht="15.75" customHeight="1">
      <c r="A32" s="516"/>
      <c r="B32" s="541"/>
      <c r="F32" s="542"/>
      <c r="I32" s="542"/>
      <c r="K32" s="542"/>
      <c r="N32" s="542"/>
      <c r="P32" s="542"/>
      <c r="X32" s="542"/>
      <c r="AA32" s="542"/>
      <c r="AE32" s="542"/>
      <c r="AJ32" s="542"/>
      <c r="AO32" s="544"/>
    </row>
    <row r="33" ht="15.75" customHeight="1">
      <c r="A33" s="516"/>
      <c r="B33" s="537"/>
      <c r="F33" s="538"/>
      <c r="I33" s="538"/>
      <c r="K33" s="538"/>
      <c r="N33" s="538"/>
      <c r="P33" s="538"/>
      <c r="X33" s="538"/>
      <c r="AA33" s="538"/>
      <c r="AE33" s="538"/>
      <c r="AJ33" s="538"/>
      <c r="AO33" s="540"/>
    </row>
    <row r="34" ht="15.75" customHeight="1">
      <c r="A34" s="516"/>
      <c r="B34" s="541"/>
      <c r="F34" s="542"/>
      <c r="I34" s="542"/>
      <c r="K34" s="542"/>
      <c r="N34" s="542"/>
      <c r="P34" s="542"/>
      <c r="X34" s="542"/>
      <c r="AA34" s="542"/>
      <c r="AE34" s="542"/>
      <c r="AJ34" s="542"/>
      <c r="AO34" s="544"/>
    </row>
    <row r="35" ht="15.75" customHeight="1">
      <c r="A35" s="516"/>
      <c r="B35" s="537"/>
      <c r="F35" s="538"/>
      <c r="I35" s="538"/>
      <c r="K35" s="538"/>
      <c r="N35" s="538"/>
      <c r="P35" s="538"/>
      <c r="X35" s="538"/>
      <c r="AA35" s="538"/>
      <c r="AE35" s="538"/>
      <c r="AJ35" s="538"/>
      <c r="AO35" s="540"/>
    </row>
    <row r="36" ht="15.75" customHeight="1">
      <c r="A36" s="516"/>
      <c r="B36" s="541"/>
      <c r="F36" s="542"/>
      <c r="I36" s="542"/>
      <c r="K36" s="542"/>
      <c r="N36" s="542"/>
      <c r="P36" s="542"/>
      <c r="X36" s="542"/>
      <c r="AA36" s="542"/>
      <c r="AE36" s="542"/>
      <c r="AJ36" s="542"/>
      <c r="AO36" s="544"/>
    </row>
    <row r="37" ht="15.75" customHeight="1">
      <c r="A37" s="516"/>
      <c r="B37" s="537"/>
      <c r="F37" s="538"/>
      <c r="I37" s="538"/>
      <c r="K37" s="538"/>
      <c r="N37" s="538"/>
      <c r="P37" s="538"/>
      <c r="X37" s="538"/>
      <c r="AA37" s="538"/>
      <c r="AE37" s="538"/>
      <c r="AJ37" s="538"/>
      <c r="AO37" s="540"/>
    </row>
    <row r="38" ht="15.75" customHeight="1">
      <c r="A38" s="516"/>
      <c r="B38" s="541"/>
      <c r="F38" s="542"/>
      <c r="I38" s="542"/>
      <c r="K38" s="542"/>
      <c r="N38" s="542"/>
      <c r="P38" s="542"/>
      <c r="X38" s="542"/>
      <c r="AA38" s="542"/>
      <c r="AE38" s="542"/>
      <c r="AJ38" s="542"/>
      <c r="AO38" s="544"/>
    </row>
    <row r="39" ht="15.75" customHeight="1">
      <c r="A39" s="516"/>
      <c r="B39" s="537"/>
      <c r="F39" s="538"/>
      <c r="I39" s="538"/>
      <c r="K39" s="538"/>
      <c r="N39" s="538"/>
      <c r="P39" s="538"/>
      <c r="X39" s="538"/>
      <c r="AA39" s="538"/>
      <c r="AE39" s="538"/>
      <c r="AJ39" s="538"/>
      <c r="AO39" s="540"/>
    </row>
    <row r="40" ht="15.75" customHeight="1">
      <c r="A40" s="516"/>
      <c r="B40" s="541"/>
      <c r="F40" s="542"/>
      <c r="I40" s="542"/>
      <c r="K40" s="542"/>
      <c r="N40" s="542"/>
      <c r="P40" s="542"/>
      <c r="X40" s="542"/>
      <c r="AA40" s="542"/>
      <c r="AE40" s="542"/>
      <c r="AJ40" s="542"/>
      <c r="AO40" s="544"/>
    </row>
    <row r="41" ht="15.75" customHeight="1">
      <c r="A41" s="516"/>
      <c r="B41" s="537"/>
      <c r="F41" s="538"/>
      <c r="I41" s="538"/>
      <c r="K41" s="538"/>
      <c r="N41" s="538"/>
      <c r="P41" s="538"/>
      <c r="X41" s="538"/>
      <c r="AA41" s="538"/>
      <c r="AE41" s="538"/>
      <c r="AJ41" s="538"/>
      <c r="AO41" s="540"/>
    </row>
    <row r="42" ht="15.75" customHeight="1">
      <c r="A42" s="516"/>
      <c r="B42" s="541"/>
      <c r="F42" s="542"/>
      <c r="I42" s="542"/>
      <c r="K42" s="542"/>
      <c r="N42" s="542"/>
      <c r="P42" s="542"/>
      <c r="X42" s="542"/>
      <c r="AA42" s="542"/>
      <c r="AE42" s="542"/>
      <c r="AJ42" s="542"/>
      <c r="AO42" s="544"/>
    </row>
    <row r="43" ht="15.75" customHeight="1">
      <c r="A43" s="516"/>
      <c r="B43" s="537"/>
      <c r="F43" s="538"/>
      <c r="I43" s="538"/>
      <c r="K43" s="538"/>
      <c r="N43" s="538"/>
      <c r="P43" s="538"/>
      <c r="X43" s="538"/>
      <c r="AA43" s="538"/>
      <c r="AE43" s="538"/>
      <c r="AJ43" s="538"/>
      <c r="AO43" s="540"/>
    </row>
    <row r="44" ht="15.75" customHeight="1">
      <c r="A44" s="516"/>
      <c r="B44" s="541"/>
      <c r="F44" s="542"/>
      <c r="I44" s="542"/>
      <c r="K44" s="542"/>
      <c r="N44" s="542"/>
      <c r="P44" s="542"/>
      <c r="X44" s="542"/>
      <c r="AA44" s="542"/>
      <c r="AE44" s="542"/>
      <c r="AJ44" s="542"/>
      <c r="AO44" s="544"/>
    </row>
    <row r="45" ht="15.75" customHeight="1">
      <c r="A45" s="516"/>
      <c r="B45" s="537"/>
      <c r="F45" s="538"/>
      <c r="I45" s="538"/>
      <c r="K45" s="538"/>
      <c r="N45" s="538"/>
      <c r="P45" s="538"/>
      <c r="X45" s="538"/>
      <c r="AA45" s="538"/>
      <c r="AE45" s="538"/>
      <c r="AJ45" s="538"/>
      <c r="AO45" s="540"/>
    </row>
    <row r="46" ht="15.75" customHeight="1">
      <c r="A46" s="516"/>
      <c r="B46" s="541"/>
      <c r="F46" s="542"/>
      <c r="I46" s="542"/>
      <c r="K46" s="542"/>
      <c r="N46" s="542"/>
      <c r="P46" s="542"/>
      <c r="X46" s="542"/>
      <c r="AA46" s="542"/>
      <c r="AE46" s="542"/>
      <c r="AJ46" s="542"/>
      <c r="AO46" s="544"/>
    </row>
    <row r="47" ht="15.75" customHeight="1">
      <c r="A47" s="516"/>
      <c r="B47" s="537"/>
      <c r="F47" s="538"/>
      <c r="I47" s="538"/>
      <c r="K47" s="538"/>
      <c r="N47" s="538"/>
      <c r="P47" s="538"/>
      <c r="X47" s="538"/>
      <c r="AA47" s="538"/>
      <c r="AE47" s="538"/>
      <c r="AJ47" s="538"/>
      <c r="AO47" s="540"/>
    </row>
    <row r="48" ht="15.75" customHeight="1">
      <c r="A48" s="516"/>
      <c r="B48" s="541"/>
      <c r="F48" s="546"/>
      <c r="I48" s="542"/>
      <c r="K48" s="542"/>
      <c r="N48" s="542"/>
      <c r="P48" s="542"/>
      <c r="X48" s="542"/>
      <c r="AA48" s="542"/>
      <c r="AE48" s="542"/>
      <c r="AJ48" s="542"/>
      <c r="AO48" s="544"/>
    </row>
    <row r="49" ht="15.75" customHeight="1">
      <c r="A49" s="516"/>
      <c r="B49" s="537"/>
      <c r="F49" s="538"/>
      <c r="I49" s="538"/>
      <c r="K49" s="538"/>
      <c r="N49" s="538"/>
      <c r="P49" s="538"/>
      <c r="X49" s="538"/>
      <c r="AA49" s="538"/>
      <c r="AE49" s="538"/>
      <c r="AJ49" s="538"/>
      <c r="AO49" s="540"/>
    </row>
    <row r="50" ht="15.75" customHeight="1">
      <c r="A50" s="516"/>
      <c r="B50" s="541"/>
      <c r="F50" s="542"/>
      <c r="I50" s="542"/>
      <c r="K50" s="542"/>
      <c r="N50" s="542"/>
      <c r="P50" s="542"/>
      <c r="X50" s="542"/>
      <c r="AA50" s="542"/>
      <c r="AE50" s="542"/>
      <c r="AJ50" s="542"/>
      <c r="AO50" s="544"/>
    </row>
    <row r="51" ht="15.75" customHeight="1">
      <c r="A51" s="516"/>
      <c r="B51" s="537"/>
      <c r="F51" s="538"/>
      <c r="I51" s="538"/>
      <c r="K51" s="538"/>
      <c r="N51" s="538"/>
      <c r="P51" s="538"/>
      <c r="X51" s="538"/>
      <c r="AA51" s="538"/>
      <c r="AE51" s="538"/>
      <c r="AJ51" s="538"/>
      <c r="AO51" s="540"/>
    </row>
    <row r="52" ht="15.75" customHeight="1">
      <c r="A52" s="516"/>
      <c r="B52" s="541"/>
      <c r="F52" s="542"/>
      <c r="I52" s="542"/>
      <c r="K52" s="542"/>
      <c r="N52" s="542"/>
      <c r="P52" s="542"/>
      <c r="X52" s="542"/>
      <c r="AA52" s="542"/>
      <c r="AE52" s="542"/>
      <c r="AJ52" s="542"/>
      <c r="AO52" s="544"/>
    </row>
    <row r="53" ht="15.75" customHeight="1">
      <c r="A53" s="516"/>
      <c r="B53" s="537"/>
      <c r="F53" s="538"/>
      <c r="I53" s="538"/>
      <c r="K53" s="538"/>
      <c r="N53" s="538"/>
      <c r="P53" s="538"/>
      <c r="X53" s="538"/>
      <c r="AA53" s="538"/>
      <c r="AE53" s="538"/>
      <c r="AJ53" s="538"/>
      <c r="AO53" s="540"/>
    </row>
    <row r="54" ht="15.75" customHeight="1">
      <c r="A54" s="516"/>
      <c r="B54" s="541"/>
      <c r="F54" s="542"/>
      <c r="I54" s="542"/>
      <c r="K54" s="542"/>
      <c r="N54" s="542"/>
      <c r="P54" s="542"/>
      <c r="X54" s="542"/>
      <c r="AA54" s="542"/>
      <c r="AE54" s="542"/>
      <c r="AJ54" s="542"/>
      <c r="AO54" s="544"/>
    </row>
    <row r="55" ht="15.75" customHeight="1">
      <c r="A55" s="516"/>
      <c r="B55" s="537"/>
      <c r="F55" s="538"/>
      <c r="I55" s="538"/>
      <c r="K55" s="538"/>
      <c r="N55" s="538"/>
      <c r="P55" s="538"/>
      <c r="X55" s="538"/>
      <c r="AA55" s="538"/>
      <c r="AE55" s="538"/>
      <c r="AJ55" s="538"/>
      <c r="AO55" s="540"/>
    </row>
    <row r="56" ht="15.75" customHeight="1">
      <c r="A56" s="516"/>
      <c r="B56" s="541"/>
      <c r="F56" s="542"/>
      <c r="I56" s="542"/>
      <c r="K56" s="542"/>
      <c r="N56" s="542"/>
      <c r="P56" s="542"/>
      <c r="X56" s="542"/>
      <c r="AA56" s="542"/>
      <c r="AE56" s="542"/>
      <c r="AJ56" s="542"/>
      <c r="AO56" s="544"/>
    </row>
    <row r="57" ht="15.75" customHeight="1">
      <c r="A57" s="516"/>
      <c r="B57" s="537"/>
      <c r="F57" s="538"/>
      <c r="I57" s="538"/>
      <c r="K57" s="538"/>
      <c r="N57" s="538"/>
      <c r="P57" s="538"/>
      <c r="X57" s="538"/>
      <c r="AA57" s="538"/>
      <c r="AE57" s="538"/>
      <c r="AJ57" s="538"/>
      <c r="AO57" s="540"/>
    </row>
    <row r="58" ht="15.75" customHeight="1">
      <c r="A58" s="516"/>
      <c r="B58" s="541"/>
      <c r="F58" s="542"/>
      <c r="I58" s="542"/>
      <c r="K58" s="542"/>
      <c r="N58" s="542"/>
      <c r="P58" s="542"/>
      <c r="X58" s="542"/>
      <c r="AA58" s="542"/>
      <c r="AE58" s="542"/>
      <c r="AJ58" s="542"/>
      <c r="AO58" s="544"/>
    </row>
    <row r="59" ht="15.75" customHeight="1">
      <c r="A59" s="516"/>
      <c r="B59" s="537"/>
      <c r="F59" s="538"/>
      <c r="I59" s="538"/>
      <c r="K59" s="538"/>
      <c r="N59" s="538"/>
      <c r="P59" s="538"/>
      <c r="X59" s="538"/>
      <c r="AA59" s="538"/>
      <c r="AE59" s="538"/>
      <c r="AJ59" s="538"/>
      <c r="AO59" s="540"/>
    </row>
    <row r="60" ht="15.75" customHeight="1">
      <c r="A60" s="516"/>
      <c r="B60" s="541"/>
      <c r="F60" s="542"/>
      <c r="I60" s="542"/>
      <c r="K60" s="542"/>
      <c r="N60" s="542"/>
      <c r="P60" s="542"/>
      <c r="X60" s="542"/>
      <c r="AA60" s="542"/>
      <c r="AE60" s="542"/>
      <c r="AJ60" s="542"/>
      <c r="AO60" s="544"/>
    </row>
    <row r="61" ht="15.75" customHeight="1">
      <c r="A61" s="516"/>
      <c r="B61" s="537"/>
      <c r="F61" s="538"/>
      <c r="I61" s="538"/>
      <c r="K61" s="538"/>
      <c r="N61" s="538"/>
      <c r="P61" s="538"/>
      <c r="X61" s="538"/>
      <c r="AA61" s="538"/>
      <c r="AE61" s="538"/>
      <c r="AJ61" s="538"/>
      <c r="AO61" s="540"/>
    </row>
    <row r="62" ht="15.75" customHeight="1">
      <c r="A62" s="516"/>
      <c r="B62" s="541"/>
      <c r="F62" s="542"/>
      <c r="I62" s="542"/>
      <c r="K62" s="542"/>
      <c r="N62" s="542"/>
      <c r="P62" s="542"/>
      <c r="X62" s="542"/>
      <c r="AA62" s="542"/>
      <c r="AE62" s="542"/>
      <c r="AJ62" s="542"/>
      <c r="AO62" s="544"/>
    </row>
    <row r="63" ht="15.75" customHeight="1">
      <c r="A63" s="516"/>
      <c r="B63" s="537"/>
      <c r="F63" s="538"/>
      <c r="I63" s="538"/>
      <c r="K63" s="538"/>
      <c r="N63" s="538"/>
      <c r="P63" s="538"/>
      <c r="X63" s="538"/>
      <c r="AA63" s="538"/>
      <c r="AE63" s="538"/>
      <c r="AJ63" s="538"/>
      <c r="AO63" s="540"/>
    </row>
    <row r="64" ht="15.75" customHeight="1">
      <c r="A64" s="516"/>
      <c r="B64" s="541"/>
      <c r="F64" s="542"/>
      <c r="I64" s="542"/>
      <c r="K64" s="542"/>
      <c r="N64" s="542"/>
      <c r="P64" s="542"/>
      <c r="X64" s="542"/>
      <c r="AA64" s="542"/>
      <c r="AE64" s="542"/>
      <c r="AJ64" s="542"/>
      <c r="AO64" s="544"/>
    </row>
    <row r="65" ht="15.75" customHeight="1">
      <c r="A65" s="516"/>
      <c r="B65" s="537"/>
      <c r="F65" s="538"/>
      <c r="I65" s="538"/>
      <c r="K65" s="538"/>
      <c r="N65" s="538"/>
      <c r="P65" s="538"/>
      <c r="X65" s="538"/>
      <c r="AA65" s="538"/>
      <c r="AE65" s="538"/>
      <c r="AJ65" s="538"/>
      <c r="AO65" s="540"/>
    </row>
    <row r="66" ht="15.75" customHeight="1">
      <c r="A66" s="516"/>
      <c r="B66" s="541"/>
      <c r="F66" s="542"/>
      <c r="I66" s="542"/>
      <c r="K66" s="542"/>
      <c r="N66" s="542"/>
      <c r="P66" s="542"/>
      <c r="X66" s="542"/>
      <c r="AA66" s="542"/>
      <c r="AE66" s="542"/>
      <c r="AJ66" s="542"/>
      <c r="AO66" s="544"/>
    </row>
    <row r="67" ht="15.75" customHeight="1">
      <c r="A67" s="516"/>
      <c r="B67" s="537"/>
      <c r="F67" s="538"/>
      <c r="I67" s="538"/>
      <c r="K67" s="538"/>
      <c r="N67" s="538"/>
      <c r="P67" s="538"/>
      <c r="X67" s="538"/>
      <c r="AA67" s="538"/>
      <c r="AE67" s="538"/>
      <c r="AJ67" s="538"/>
      <c r="AO67" s="540"/>
    </row>
    <row r="68" ht="15.75" customHeight="1">
      <c r="A68" s="516"/>
      <c r="B68" s="541"/>
      <c r="F68" s="542"/>
      <c r="I68" s="542"/>
      <c r="K68" s="542"/>
      <c r="N68" s="542"/>
      <c r="P68" s="542"/>
      <c r="X68" s="542"/>
      <c r="AA68" s="542"/>
      <c r="AE68" s="542"/>
      <c r="AJ68" s="542"/>
      <c r="AO68" s="544"/>
    </row>
    <row r="69" ht="15.75" customHeight="1">
      <c r="A69" s="516"/>
      <c r="B69" s="537"/>
      <c r="F69" s="538"/>
      <c r="I69" s="538"/>
      <c r="K69" s="538"/>
      <c r="N69" s="538"/>
      <c r="P69" s="538"/>
      <c r="X69" s="538"/>
      <c r="AA69" s="538"/>
      <c r="AE69" s="538"/>
      <c r="AJ69" s="538"/>
      <c r="AO69" s="540"/>
    </row>
    <row r="70" ht="15.75" customHeight="1">
      <c r="A70" s="516"/>
      <c r="B70" s="541"/>
      <c r="F70" s="542"/>
      <c r="I70" s="542"/>
      <c r="K70" s="542"/>
      <c r="N70" s="542"/>
      <c r="P70" s="542"/>
      <c r="X70" s="542"/>
      <c r="AA70" s="542"/>
      <c r="AE70" s="542"/>
      <c r="AJ70" s="542"/>
      <c r="AO70" s="544"/>
    </row>
    <row r="71" ht="15.75" customHeight="1">
      <c r="A71" s="516"/>
      <c r="B71" s="537"/>
      <c r="F71" s="538"/>
      <c r="I71" s="538"/>
      <c r="K71" s="538"/>
      <c r="N71" s="538"/>
      <c r="P71" s="538"/>
      <c r="X71" s="538"/>
      <c r="AA71" s="538"/>
      <c r="AE71" s="538"/>
      <c r="AJ71" s="538"/>
      <c r="AO71" s="540"/>
    </row>
    <row r="72" ht="15.75" customHeight="1">
      <c r="A72" s="516"/>
      <c r="B72" s="541"/>
      <c r="F72" s="542"/>
      <c r="I72" s="542"/>
      <c r="K72" s="542"/>
      <c r="N72" s="542"/>
      <c r="P72" s="542"/>
      <c r="X72" s="542"/>
      <c r="AA72" s="542"/>
      <c r="AE72" s="542"/>
      <c r="AJ72" s="542"/>
      <c r="AO72" s="544"/>
    </row>
    <row r="73" ht="15.75" customHeight="1">
      <c r="A73" s="516"/>
      <c r="B73" s="537"/>
      <c r="F73" s="538"/>
      <c r="I73" s="538"/>
      <c r="K73" s="538"/>
      <c r="N73" s="538"/>
      <c r="P73" s="538"/>
      <c r="X73" s="538"/>
      <c r="AA73" s="538"/>
      <c r="AE73" s="538"/>
      <c r="AJ73" s="538"/>
      <c r="AO73" s="540"/>
    </row>
    <row r="74" ht="15.75" customHeight="1">
      <c r="A74" s="516"/>
      <c r="B74" s="541"/>
      <c r="F74" s="542"/>
      <c r="I74" s="542"/>
      <c r="K74" s="542"/>
      <c r="N74" s="542"/>
      <c r="P74" s="542"/>
      <c r="X74" s="542"/>
      <c r="AA74" s="542"/>
      <c r="AE74" s="542"/>
      <c r="AJ74" s="542"/>
      <c r="AO74" s="544"/>
    </row>
    <row r="75" ht="15.75" customHeight="1">
      <c r="A75" s="516"/>
      <c r="B75" s="537"/>
      <c r="F75" s="538"/>
      <c r="I75" s="538"/>
      <c r="K75" s="538"/>
      <c r="N75" s="538"/>
      <c r="P75" s="538"/>
      <c r="X75" s="538"/>
      <c r="AA75" s="538"/>
      <c r="AE75" s="538"/>
      <c r="AJ75" s="538"/>
      <c r="AO75" s="540"/>
    </row>
    <row r="76" ht="15.75" customHeight="1">
      <c r="A76" s="516"/>
      <c r="B76" s="541"/>
      <c r="F76" s="542"/>
      <c r="I76" s="542"/>
      <c r="K76" s="542"/>
      <c r="N76" s="542"/>
      <c r="P76" s="542"/>
      <c r="X76" s="542"/>
      <c r="AA76" s="542"/>
      <c r="AE76" s="542"/>
      <c r="AJ76" s="542"/>
      <c r="AO76" s="544"/>
    </row>
    <row r="77" ht="15.75" customHeight="1">
      <c r="A77" s="516"/>
      <c r="B77" s="537"/>
      <c r="F77" s="538"/>
      <c r="I77" s="538"/>
      <c r="K77" s="538"/>
      <c r="N77" s="538"/>
      <c r="P77" s="538"/>
      <c r="X77" s="538"/>
      <c r="AA77" s="538"/>
      <c r="AE77" s="538"/>
      <c r="AJ77" s="538"/>
      <c r="AO77" s="540"/>
    </row>
    <row r="78" ht="15.75" customHeight="1">
      <c r="A78" s="516"/>
      <c r="B78" s="541"/>
      <c r="F78" s="542"/>
      <c r="I78" s="542"/>
      <c r="K78" s="542"/>
      <c r="N78" s="542"/>
      <c r="P78" s="542"/>
      <c r="X78" s="542"/>
      <c r="AA78" s="542"/>
      <c r="AE78" s="542"/>
      <c r="AJ78" s="542"/>
      <c r="AO78" s="544"/>
    </row>
    <row r="79" ht="15.75" customHeight="1">
      <c r="A79" s="516"/>
      <c r="B79" s="537"/>
      <c r="F79" s="538"/>
      <c r="I79" s="538"/>
      <c r="K79" s="538"/>
      <c r="N79" s="538"/>
      <c r="P79" s="538"/>
      <c r="X79" s="538"/>
      <c r="AA79" s="538"/>
      <c r="AE79" s="538"/>
      <c r="AJ79" s="538"/>
      <c r="AO79" s="540"/>
    </row>
    <row r="80" ht="15.75" customHeight="1">
      <c r="A80" s="516"/>
      <c r="B80" s="541"/>
      <c r="F80" s="542"/>
      <c r="I80" s="542"/>
      <c r="K80" s="542"/>
      <c r="N80" s="542"/>
      <c r="P80" s="542"/>
      <c r="X80" s="542"/>
      <c r="AA80" s="542"/>
      <c r="AE80" s="542"/>
      <c r="AJ80" s="542"/>
      <c r="AO80" s="544"/>
    </row>
    <row r="81" ht="15.75" customHeight="1">
      <c r="A81" s="516"/>
      <c r="B81" s="537"/>
      <c r="F81" s="538"/>
      <c r="I81" s="538"/>
      <c r="K81" s="538"/>
      <c r="N81" s="538"/>
      <c r="P81" s="538"/>
      <c r="X81" s="538"/>
      <c r="AA81" s="538"/>
      <c r="AE81" s="538"/>
      <c r="AJ81" s="538"/>
      <c r="AO81" s="540"/>
    </row>
    <row r="82" ht="15.75" customHeight="1">
      <c r="A82" s="516"/>
      <c r="B82" s="541"/>
      <c r="F82" s="542"/>
      <c r="I82" s="542"/>
      <c r="K82" s="542"/>
      <c r="N82" s="542"/>
      <c r="P82" s="542"/>
      <c r="X82" s="542"/>
      <c r="AA82" s="542"/>
      <c r="AE82" s="542"/>
      <c r="AJ82" s="542"/>
      <c r="AO82" s="544"/>
    </row>
    <row r="83" ht="15.75" customHeight="1">
      <c r="A83" s="516"/>
      <c r="B83" s="537"/>
      <c r="F83" s="538"/>
      <c r="I83" s="538"/>
      <c r="K83" s="538"/>
      <c r="N83" s="538"/>
      <c r="P83" s="538"/>
      <c r="X83" s="538"/>
      <c r="AA83" s="538"/>
      <c r="AE83" s="538"/>
      <c r="AJ83" s="538"/>
      <c r="AO83" s="540"/>
    </row>
    <row r="84" ht="15.75" customHeight="1">
      <c r="A84" s="516"/>
      <c r="B84" s="541"/>
      <c r="F84" s="542"/>
      <c r="I84" s="542"/>
      <c r="K84" s="542"/>
      <c r="N84" s="542"/>
      <c r="P84" s="542"/>
      <c r="X84" s="542"/>
      <c r="AA84" s="542"/>
      <c r="AE84" s="542"/>
      <c r="AJ84" s="542"/>
      <c r="AO84" s="544"/>
    </row>
    <row r="85" ht="15.75" customHeight="1">
      <c r="A85" s="516"/>
      <c r="B85" s="537"/>
      <c r="F85" s="538"/>
      <c r="I85" s="538"/>
      <c r="K85" s="538"/>
      <c r="N85" s="538"/>
      <c r="P85" s="538"/>
      <c r="X85" s="538"/>
      <c r="AA85" s="538"/>
      <c r="AE85" s="538"/>
      <c r="AJ85" s="538"/>
      <c r="AO85" s="540"/>
    </row>
    <row r="86" ht="15.75" customHeight="1">
      <c r="A86" s="516"/>
      <c r="B86" s="541"/>
      <c r="F86" s="542"/>
      <c r="I86" s="542"/>
      <c r="K86" s="542"/>
      <c r="N86" s="542"/>
      <c r="P86" s="542"/>
      <c r="X86" s="542"/>
      <c r="AA86" s="542"/>
      <c r="AE86" s="542"/>
      <c r="AJ86" s="542"/>
      <c r="AO86" s="544"/>
    </row>
    <row r="87" ht="15.75" customHeight="1">
      <c r="A87" s="516"/>
      <c r="B87" s="537"/>
      <c r="F87" s="538"/>
      <c r="I87" s="538"/>
      <c r="K87" s="538"/>
      <c r="N87" s="538"/>
      <c r="P87" s="538"/>
      <c r="X87" s="538"/>
      <c r="AA87" s="538"/>
      <c r="AE87" s="538"/>
      <c r="AJ87" s="538"/>
      <c r="AO87" s="540"/>
    </row>
    <row r="88" ht="15.75" customHeight="1">
      <c r="A88" s="516"/>
      <c r="B88" s="541"/>
      <c r="F88" s="542"/>
      <c r="I88" s="542"/>
      <c r="K88" s="542"/>
      <c r="N88" s="542"/>
      <c r="P88" s="542"/>
      <c r="X88" s="542"/>
      <c r="AA88" s="542"/>
      <c r="AE88" s="542"/>
      <c r="AJ88" s="542"/>
      <c r="AO88" s="544"/>
    </row>
    <row r="89" ht="15.75" customHeight="1">
      <c r="A89" s="516"/>
      <c r="B89" s="537"/>
      <c r="F89" s="538"/>
      <c r="I89" s="538"/>
      <c r="K89" s="538"/>
      <c r="N89" s="538"/>
      <c r="P89" s="538"/>
      <c r="X89" s="538"/>
      <c r="AA89" s="538"/>
      <c r="AE89" s="538"/>
      <c r="AJ89" s="538"/>
      <c r="AO89" s="540"/>
    </row>
    <row r="90" ht="15.75" customHeight="1">
      <c r="A90" s="516"/>
      <c r="B90" s="541"/>
      <c r="F90" s="542"/>
      <c r="I90" s="542"/>
      <c r="K90" s="542"/>
      <c r="N90" s="542"/>
      <c r="P90" s="542"/>
      <c r="X90" s="542"/>
      <c r="AA90" s="542"/>
      <c r="AE90" s="542"/>
      <c r="AJ90" s="542"/>
      <c r="AO90" s="544"/>
    </row>
    <row r="91" ht="15.75" customHeight="1">
      <c r="A91" s="516"/>
      <c r="B91" s="537"/>
      <c r="F91" s="538"/>
      <c r="I91" s="538"/>
      <c r="K91" s="538"/>
      <c r="N91" s="538"/>
      <c r="P91" s="538"/>
      <c r="X91" s="538"/>
      <c r="AA91" s="538"/>
      <c r="AE91" s="538"/>
      <c r="AJ91" s="538"/>
      <c r="AO91" s="540"/>
    </row>
    <row r="92" ht="15.75" customHeight="1">
      <c r="A92" s="516"/>
      <c r="B92" s="541"/>
      <c r="F92" s="542"/>
      <c r="I92" s="542"/>
      <c r="K92" s="542"/>
      <c r="N92" s="542"/>
      <c r="P92" s="542"/>
      <c r="X92" s="542"/>
      <c r="AA92" s="542"/>
      <c r="AE92" s="542"/>
      <c r="AJ92" s="542"/>
      <c r="AO92" s="544"/>
    </row>
    <row r="93" ht="15.75" customHeight="1">
      <c r="A93" s="516"/>
      <c r="B93" s="537"/>
      <c r="F93" s="538"/>
      <c r="I93" s="538"/>
      <c r="K93" s="538"/>
      <c r="N93" s="538"/>
      <c r="P93" s="538"/>
      <c r="X93" s="538"/>
      <c r="AA93" s="538"/>
      <c r="AE93" s="538"/>
      <c r="AJ93" s="538"/>
      <c r="AO93" s="540"/>
    </row>
    <row r="94" ht="15.75" customHeight="1">
      <c r="A94" s="516"/>
      <c r="B94" s="541"/>
      <c r="F94" s="542"/>
      <c r="I94" s="542"/>
      <c r="K94" s="542"/>
      <c r="N94" s="542"/>
      <c r="P94" s="542"/>
      <c r="X94" s="542"/>
      <c r="AA94" s="542"/>
      <c r="AE94" s="542"/>
      <c r="AJ94" s="542"/>
      <c r="AO94" s="544"/>
    </row>
    <row r="95" ht="15.75" customHeight="1">
      <c r="A95" s="516"/>
      <c r="B95" s="537"/>
      <c r="F95" s="538"/>
      <c r="I95" s="538"/>
      <c r="K95" s="538"/>
      <c r="N95" s="538"/>
      <c r="P95" s="538"/>
      <c r="X95" s="538"/>
      <c r="AA95" s="538"/>
      <c r="AE95" s="538"/>
      <c r="AJ95" s="538"/>
      <c r="AO95" s="540"/>
    </row>
    <row r="96" ht="15.75" customHeight="1">
      <c r="A96" s="516"/>
      <c r="B96" s="541"/>
      <c r="F96" s="542"/>
      <c r="I96" s="542"/>
      <c r="K96" s="542"/>
      <c r="N96" s="542"/>
      <c r="P96" s="542"/>
      <c r="X96" s="542"/>
      <c r="AA96" s="542"/>
      <c r="AE96" s="542"/>
      <c r="AJ96" s="542"/>
      <c r="AO96" s="544"/>
    </row>
    <row r="97" ht="15.75" customHeight="1">
      <c r="A97" s="516"/>
      <c r="B97" s="537"/>
      <c r="F97" s="538"/>
      <c r="I97" s="538"/>
      <c r="K97" s="538"/>
      <c r="N97" s="538"/>
      <c r="P97" s="538"/>
      <c r="X97" s="538"/>
      <c r="AA97" s="538"/>
      <c r="AE97" s="538"/>
      <c r="AJ97" s="538"/>
      <c r="AO97" s="540"/>
    </row>
    <row r="98" ht="15.75" customHeight="1">
      <c r="A98" s="516"/>
      <c r="B98" s="541"/>
      <c r="F98" s="542"/>
      <c r="I98" s="542"/>
      <c r="K98" s="542"/>
      <c r="N98" s="542"/>
      <c r="P98" s="542"/>
      <c r="X98" s="542"/>
      <c r="AA98" s="542"/>
      <c r="AE98" s="542"/>
      <c r="AJ98" s="542"/>
      <c r="AO98" s="544"/>
    </row>
    <row r="99" ht="15.75" customHeight="1">
      <c r="A99" s="516"/>
      <c r="B99" s="537"/>
      <c r="F99" s="538"/>
      <c r="I99" s="538"/>
      <c r="K99" s="538"/>
      <c r="N99" s="538"/>
      <c r="P99" s="538"/>
      <c r="X99" s="538"/>
      <c r="AA99" s="538"/>
      <c r="AE99" s="538"/>
      <c r="AJ99" s="538"/>
      <c r="AO99" s="540"/>
    </row>
    <row r="100" ht="15.75" customHeight="1">
      <c r="A100" s="516"/>
      <c r="B100" s="541"/>
      <c r="F100" s="542"/>
      <c r="I100" s="542"/>
      <c r="K100" s="542"/>
      <c r="N100" s="542"/>
      <c r="P100" s="542"/>
      <c r="X100" s="542"/>
      <c r="AA100" s="542"/>
      <c r="AE100" s="542"/>
      <c r="AJ100" s="542"/>
      <c r="AO100" s="544"/>
    </row>
    <row r="101" ht="15.75" customHeight="1">
      <c r="A101" s="516"/>
      <c r="B101" s="537"/>
      <c r="F101" s="538"/>
      <c r="I101" s="538"/>
      <c r="K101" s="538"/>
      <c r="N101" s="538"/>
      <c r="P101" s="538"/>
      <c r="X101" s="538"/>
      <c r="AA101" s="538"/>
      <c r="AE101" s="538"/>
      <c r="AJ101" s="538"/>
      <c r="AO101" s="540"/>
    </row>
    <row r="102" ht="15.75" customHeight="1">
      <c r="A102" s="516"/>
      <c r="B102" s="541"/>
      <c r="F102" s="542"/>
      <c r="I102" s="542"/>
      <c r="K102" s="542"/>
      <c r="N102" s="542"/>
      <c r="P102" s="542"/>
      <c r="X102" s="542"/>
      <c r="AA102" s="542"/>
      <c r="AE102" s="542"/>
      <c r="AJ102" s="542"/>
      <c r="AO102" s="544"/>
    </row>
    <row r="103" ht="15.75" customHeight="1">
      <c r="A103" s="516"/>
      <c r="B103" s="537"/>
      <c r="F103" s="538"/>
      <c r="I103" s="538"/>
      <c r="K103" s="538"/>
      <c r="N103" s="538"/>
      <c r="P103" s="538"/>
      <c r="X103" s="538"/>
      <c r="AA103" s="538"/>
      <c r="AE103" s="538"/>
      <c r="AJ103" s="538"/>
      <c r="AO103" s="540"/>
    </row>
    <row r="104" ht="15.75" customHeight="1">
      <c r="A104" s="516"/>
      <c r="B104" s="541"/>
      <c r="F104" s="542"/>
      <c r="I104" s="542"/>
      <c r="K104" s="542"/>
      <c r="N104" s="542"/>
      <c r="P104" s="542"/>
      <c r="X104" s="542"/>
      <c r="AA104" s="542"/>
      <c r="AE104" s="542"/>
      <c r="AJ104" s="542"/>
      <c r="AO104" s="544"/>
    </row>
    <row r="105" ht="15.75" customHeight="1">
      <c r="A105" s="516"/>
      <c r="B105" s="537"/>
      <c r="F105" s="538"/>
      <c r="I105" s="538"/>
      <c r="K105" s="538"/>
      <c r="N105" s="538"/>
      <c r="P105" s="538"/>
      <c r="X105" s="538"/>
      <c r="AA105" s="538"/>
      <c r="AE105" s="538"/>
      <c r="AJ105" s="538"/>
      <c r="AO105" s="540"/>
    </row>
    <row r="106" ht="15.75" customHeight="1">
      <c r="A106" s="516"/>
      <c r="B106" s="541"/>
      <c r="F106" s="542"/>
      <c r="I106" s="542"/>
      <c r="K106" s="542"/>
      <c r="N106" s="542"/>
      <c r="P106" s="542"/>
      <c r="X106" s="542"/>
      <c r="AA106" s="542"/>
      <c r="AE106" s="542"/>
      <c r="AJ106" s="542"/>
      <c r="AO106" s="544"/>
    </row>
    <row r="107" ht="15.75" customHeight="1">
      <c r="A107" s="516"/>
      <c r="B107" s="537"/>
      <c r="F107" s="538"/>
      <c r="I107" s="538"/>
      <c r="K107" s="538"/>
      <c r="N107" s="538"/>
      <c r="P107" s="538"/>
      <c r="X107" s="538"/>
      <c r="AA107" s="538"/>
      <c r="AE107" s="538"/>
      <c r="AJ107" s="538"/>
      <c r="AO107" s="540"/>
    </row>
    <row r="108" ht="15.75" customHeight="1">
      <c r="A108" s="516"/>
      <c r="B108" s="541"/>
      <c r="F108" s="542"/>
      <c r="I108" s="542"/>
      <c r="K108" s="542"/>
      <c r="N108" s="542"/>
      <c r="P108" s="542"/>
      <c r="X108" s="542"/>
      <c r="AA108" s="542"/>
      <c r="AE108" s="542"/>
      <c r="AJ108" s="542"/>
      <c r="AO108" s="544"/>
    </row>
    <row r="109" ht="15.75" customHeight="1">
      <c r="A109" s="516"/>
      <c r="B109" s="537"/>
      <c r="F109" s="538"/>
      <c r="I109" s="538"/>
      <c r="K109" s="538"/>
      <c r="N109" s="538"/>
      <c r="P109" s="538"/>
      <c r="X109" s="538"/>
      <c r="AA109" s="538"/>
      <c r="AE109" s="538"/>
      <c r="AJ109" s="538"/>
      <c r="AO109" s="540"/>
    </row>
    <row r="110" ht="15.75" customHeight="1">
      <c r="A110" s="516"/>
      <c r="B110" s="541"/>
      <c r="F110" s="542"/>
      <c r="I110" s="542"/>
      <c r="K110" s="542"/>
      <c r="N110" s="542"/>
      <c r="P110" s="542"/>
      <c r="X110" s="542"/>
      <c r="AA110" s="542"/>
      <c r="AE110" s="542"/>
      <c r="AJ110" s="542"/>
      <c r="AO110" s="544"/>
    </row>
    <row r="111" ht="15.75" customHeight="1">
      <c r="A111" s="516"/>
      <c r="B111" s="537"/>
      <c r="F111" s="538"/>
      <c r="I111" s="538"/>
      <c r="K111" s="538"/>
      <c r="N111" s="538"/>
      <c r="P111" s="538"/>
      <c r="X111" s="538"/>
      <c r="AA111" s="538"/>
      <c r="AE111" s="538"/>
      <c r="AJ111" s="538"/>
      <c r="AO111" s="540"/>
    </row>
    <row r="112" ht="15.75" customHeight="1">
      <c r="A112" s="516"/>
      <c r="B112" s="541"/>
      <c r="F112" s="542"/>
      <c r="I112" s="542"/>
      <c r="K112" s="542"/>
      <c r="N112" s="542"/>
      <c r="P112" s="542"/>
      <c r="X112" s="542"/>
      <c r="AA112" s="542"/>
      <c r="AE112" s="542"/>
      <c r="AJ112" s="542"/>
      <c r="AO112" s="544"/>
    </row>
    <row r="113" ht="15.75" customHeight="1">
      <c r="A113" s="516"/>
      <c r="B113" s="537"/>
      <c r="F113" s="538"/>
      <c r="I113" s="538"/>
      <c r="K113" s="538"/>
      <c r="N113" s="538"/>
      <c r="P113" s="538"/>
      <c r="X113" s="538"/>
      <c r="AA113" s="538"/>
      <c r="AE113" s="538"/>
      <c r="AJ113" s="538"/>
      <c r="AO113" s="540"/>
    </row>
    <row r="114" ht="15.75" customHeight="1">
      <c r="A114" s="516"/>
      <c r="B114" s="541"/>
      <c r="F114" s="542"/>
      <c r="I114" s="542"/>
      <c r="K114" s="542"/>
      <c r="N114" s="542"/>
      <c r="P114" s="542"/>
      <c r="X114" s="542"/>
      <c r="AA114" s="542"/>
      <c r="AE114" s="542"/>
      <c r="AJ114" s="542"/>
      <c r="AO114" s="544"/>
    </row>
    <row r="115" ht="15.75" customHeight="1">
      <c r="A115" s="516"/>
      <c r="B115" s="537"/>
      <c r="F115" s="538"/>
      <c r="I115" s="538"/>
      <c r="K115" s="538"/>
      <c r="N115" s="538"/>
      <c r="P115" s="538"/>
      <c r="X115" s="538"/>
      <c r="AA115" s="538"/>
      <c r="AE115" s="538"/>
      <c r="AJ115" s="538"/>
      <c r="AO115" s="540"/>
    </row>
    <row r="116" ht="15.75" customHeight="1">
      <c r="A116" s="516"/>
      <c r="B116" s="541"/>
      <c r="F116" s="542"/>
      <c r="I116" s="542"/>
      <c r="K116" s="542"/>
      <c r="N116" s="542"/>
      <c r="P116" s="542"/>
      <c r="X116" s="542"/>
      <c r="AA116" s="542"/>
      <c r="AE116" s="542"/>
      <c r="AJ116" s="542"/>
      <c r="AO116" s="544"/>
    </row>
    <row r="117" ht="15.75" customHeight="1">
      <c r="A117" s="516"/>
      <c r="B117" s="537"/>
      <c r="F117" s="538"/>
      <c r="I117" s="538"/>
      <c r="K117" s="538"/>
      <c r="N117" s="538"/>
      <c r="P117" s="538"/>
      <c r="X117" s="538"/>
      <c r="AA117" s="538"/>
      <c r="AE117" s="538"/>
      <c r="AJ117" s="538"/>
      <c r="AO117" s="540"/>
    </row>
    <row r="118" ht="15.75" customHeight="1">
      <c r="A118" s="516"/>
      <c r="B118" s="549"/>
      <c r="F118" s="546"/>
      <c r="I118" s="546"/>
      <c r="K118" s="542"/>
      <c r="N118" s="546"/>
      <c r="P118" s="546" t="s">
        <v>601</v>
      </c>
      <c r="X118" s="542"/>
      <c r="AA118" s="542"/>
      <c r="AE118" s="542"/>
      <c r="AJ118" s="542"/>
      <c r="AO118" s="544"/>
    </row>
    <row r="119" ht="15.75" customHeight="1">
      <c r="A119" s="516"/>
      <c r="B119" s="537"/>
      <c r="F119" s="538"/>
      <c r="I119" s="538"/>
      <c r="K119" s="538"/>
      <c r="N119" s="538"/>
      <c r="P119" s="538"/>
      <c r="X119" s="538"/>
      <c r="AA119" s="538"/>
      <c r="AE119" s="538"/>
      <c r="AJ119" s="538"/>
      <c r="AO119" s="540"/>
    </row>
    <row r="120" ht="15.75" customHeight="1">
      <c r="A120" s="516"/>
      <c r="B120" s="541"/>
      <c r="F120" s="542"/>
      <c r="I120" s="542"/>
      <c r="K120" s="542"/>
      <c r="N120" s="542"/>
      <c r="P120" s="542"/>
      <c r="X120" s="542"/>
      <c r="AA120" s="542"/>
      <c r="AE120" s="542"/>
      <c r="AJ120" s="542"/>
      <c r="AO120" s="544"/>
    </row>
    <row r="121" ht="15.75" customHeight="1">
      <c r="A121" s="516"/>
      <c r="B121" s="537"/>
      <c r="F121" s="538"/>
      <c r="I121" s="538"/>
      <c r="K121" s="538"/>
      <c r="N121" s="538"/>
      <c r="P121" s="538"/>
      <c r="X121" s="538"/>
      <c r="AA121" s="538"/>
      <c r="AE121" s="538"/>
      <c r="AJ121" s="538"/>
      <c r="AO121" s="540"/>
    </row>
    <row r="122" ht="15.75" customHeight="1">
      <c r="A122" s="516"/>
      <c r="B122" s="541"/>
      <c r="F122" s="542"/>
      <c r="I122" s="542"/>
      <c r="K122" s="542"/>
      <c r="N122" s="542"/>
      <c r="P122" s="542"/>
      <c r="X122" s="542"/>
      <c r="AA122" s="542"/>
      <c r="AE122" s="542"/>
      <c r="AJ122" s="542"/>
      <c r="AO122" s="544"/>
    </row>
    <row r="123" ht="15.75" customHeight="1">
      <c r="A123" s="516"/>
      <c r="B123" s="537"/>
      <c r="F123" s="538"/>
      <c r="I123" s="538"/>
      <c r="K123" s="538"/>
      <c r="N123" s="538"/>
      <c r="P123" s="538"/>
      <c r="X123" s="538"/>
      <c r="AA123" s="538"/>
      <c r="AE123" s="538"/>
      <c r="AJ123" s="538"/>
      <c r="AO123" s="540"/>
    </row>
    <row r="124" ht="15.75" customHeight="1">
      <c r="A124" s="516"/>
      <c r="B124" s="541"/>
      <c r="F124" s="542"/>
      <c r="I124" s="542"/>
      <c r="K124" s="542"/>
      <c r="N124" s="542"/>
      <c r="P124" s="542"/>
      <c r="X124" s="542"/>
      <c r="AA124" s="542"/>
      <c r="AE124" s="542"/>
      <c r="AJ124" s="542"/>
      <c r="AO124" s="544"/>
    </row>
    <row r="125" ht="15.75" customHeight="1">
      <c r="A125" s="516"/>
      <c r="B125" s="537"/>
      <c r="F125" s="538"/>
      <c r="I125" s="538"/>
      <c r="K125" s="538"/>
      <c r="N125" s="538"/>
      <c r="P125" s="538"/>
      <c r="X125" s="538"/>
      <c r="AA125" s="538"/>
      <c r="AE125" s="538"/>
      <c r="AJ125" s="538"/>
      <c r="AO125" s="540"/>
    </row>
    <row r="126" ht="15.75" customHeight="1">
      <c r="A126" s="516"/>
      <c r="B126" s="541"/>
      <c r="F126" s="542"/>
      <c r="I126" s="542"/>
      <c r="K126" s="542"/>
      <c r="N126" s="542"/>
      <c r="P126" s="542"/>
      <c r="X126" s="542"/>
      <c r="AA126" s="542"/>
      <c r="AE126" s="542"/>
      <c r="AJ126" s="542"/>
      <c r="AO126" s="544"/>
    </row>
    <row r="127" ht="15.75" customHeight="1">
      <c r="A127" s="516"/>
      <c r="B127" s="537"/>
      <c r="F127" s="538"/>
      <c r="I127" s="538"/>
      <c r="K127" s="538"/>
      <c r="N127" s="538"/>
      <c r="P127" s="538"/>
      <c r="X127" s="538"/>
      <c r="AA127" s="538"/>
      <c r="AE127" s="538"/>
      <c r="AJ127" s="538"/>
      <c r="AO127" s="540"/>
    </row>
    <row r="128" ht="15.75" customHeight="1">
      <c r="A128" s="516"/>
      <c r="B128" s="541"/>
      <c r="F128" s="542"/>
      <c r="I128" s="542"/>
      <c r="K128" s="542"/>
      <c r="N128" s="542"/>
      <c r="P128" s="542"/>
      <c r="X128" s="542"/>
      <c r="AA128" s="542"/>
      <c r="AE128" s="542"/>
      <c r="AJ128" s="542"/>
      <c r="AO128" s="544"/>
    </row>
    <row r="129" ht="15.75" customHeight="1">
      <c r="A129" s="516"/>
      <c r="B129" s="537"/>
      <c r="F129" s="538"/>
      <c r="I129" s="538"/>
      <c r="K129" s="538"/>
      <c r="N129" s="538"/>
      <c r="P129" s="538"/>
      <c r="X129" s="538"/>
      <c r="AA129" s="538"/>
      <c r="AE129" s="538"/>
      <c r="AJ129" s="538"/>
      <c r="AO129" s="540"/>
    </row>
    <row r="130" ht="15.75" customHeight="1">
      <c r="A130" s="516"/>
      <c r="B130" s="541"/>
      <c r="F130" s="542"/>
      <c r="I130" s="542"/>
      <c r="K130" s="542"/>
      <c r="N130" s="542"/>
      <c r="P130" s="542"/>
      <c r="X130" s="542"/>
      <c r="AA130" s="542"/>
      <c r="AE130" s="542"/>
      <c r="AJ130" s="542"/>
      <c r="AO130" s="544"/>
    </row>
    <row r="131" ht="15.75" customHeight="1">
      <c r="A131" s="516"/>
      <c r="B131" s="537"/>
      <c r="F131" s="538"/>
      <c r="I131" s="538"/>
      <c r="K131" s="538"/>
      <c r="N131" s="538"/>
      <c r="P131" s="538"/>
      <c r="X131" s="538"/>
      <c r="AA131" s="538"/>
      <c r="AE131" s="538"/>
      <c r="AJ131" s="538"/>
      <c r="AO131" s="540"/>
    </row>
    <row r="132" ht="15.75" customHeight="1">
      <c r="A132" s="516"/>
      <c r="B132" s="541"/>
      <c r="F132" s="542"/>
      <c r="I132" s="542"/>
      <c r="K132" s="542"/>
      <c r="N132" s="542"/>
      <c r="P132" s="542"/>
      <c r="X132" s="542"/>
      <c r="AA132" s="542"/>
      <c r="AE132" s="542"/>
      <c r="AJ132" s="542"/>
      <c r="AO132" s="544"/>
    </row>
    <row r="133" ht="15.75" customHeight="1">
      <c r="A133" s="516"/>
      <c r="B133" s="537"/>
      <c r="F133" s="538"/>
      <c r="I133" s="538"/>
      <c r="K133" s="538"/>
      <c r="N133" s="538"/>
      <c r="P133" s="538"/>
      <c r="X133" s="538"/>
      <c r="AA133" s="538"/>
      <c r="AE133" s="538"/>
      <c r="AJ133" s="538"/>
      <c r="AO133" s="540"/>
    </row>
    <row r="134" ht="15.75" customHeight="1">
      <c r="A134" s="516"/>
      <c r="B134" s="541"/>
      <c r="F134" s="542"/>
      <c r="I134" s="542"/>
      <c r="K134" s="542"/>
      <c r="N134" s="542"/>
      <c r="P134" s="542"/>
      <c r="X134" s="542"/>
      <c r="AA134" s="542"/>
      <c r="AE134" s="542"/>
      <c r="AJ134" s="542"/>
      <c r="AO134" s="544"/>
    </row>
    <row r="135" ht="15.75" customHeight="1">
      <c r="A135" s="516"/>
      <c r="B135" s="537"/>
      <c r="F135" s="538"/>
      <c r="I135" s="538"/>
      <c r="K135" s="538"/>
      <c r="N135" s="538"/>
      <c r="P135" s="538"/>
      <c r="X135" s="538"/>
      <c r="AA135" s="538"/>
      <c r="AE135" s="538"/>
      <c r="AJ135" s="538"/>
      <c r="AO135" s="540"/>
    </row>
    <row r="136" ht="15.75" customHeight="1">
      <c r="A136" s="516"/>
      <c r="B136" s="541"/>
      <c r="F136" s="542"/>
      <c r="I136" s="542"/>
      <c r="K136" s="542"/>
      <c r="N136" s="542"/>
      <c r="P136" s="542"/>
      <c r="X136" s="542"/>
      <c r="AA136" s="542"/>
      <c r="AE136" s="542"/>
      <c r="AJ136" s="542"/>
      <c r="AO136" s="544"/>
    </row>
    <row r="137" ht="15.75" customHeight="1">
      <c r="A137" s="516"/>
      <c r="B137" s="537"/>
      <c r="F137" s="538"/>
      <c r="I137" s="538"/>
      <c r="K137" s="538"/>
      <c r="N137" s="538"/>
      <c r="P137" s="538"/>
      <c r="X137" s="538"/>
      <c r="AA137" s="538"/>
      <c r="AE137" s="538"/>
      <c r="AJ137" s="538"/>
      <c r="AO137" s="540"/>
    </row>
    <row r="138" ht="15.75" customHeight="1">
      <c r="A138" s="516"/>
      <c r="B138" s="541"/>
      <c r="F138" s="542"/>
      <c r="I138" s="542"/>
      <c r="K138" s="542"/>
      <c r="N138" s="542"/>
      <c r="P138" s="542"/>
      <c r="X138" s="542"/>
      <c r="AA138" s="542"/>
      <c r="AE138" s="542"/>
      <c r="AJ138" s="542"/>
      <c r="AO138" s="544"/>
    </row>
    <row r="139" ht="15.75" customHeight="1">
      <c r="A139" s="516"/>
      <c r="B139" s="537"/>
      <c r="F139" s="538"/>
      <c r="I139" s="538"/>
      <c r="K139" s="538"/>
      <c r="N139" s="538"/>
      <c r="P139" s="538"/>
      <c r="X139" s="538"/>
      <c r="AA139" s="538"/>
      <c r="AE139" s="538"/>
      <c r="AJ139" s="538"/>
      <c r="AO139" s="540"/>
    </row>
    <row r="140" ht="15.75" customHeight="1">
      <c r="A140" s="516"/>
      <c r="B140" s="541"/>
      <c r="F140" s="542"/>
      <c r="I140" s="542"/>
      <c r="K140" s="542"/>
      <c r="N140" s="542"/>
      <c r="P140" s="542"/>
      <c r="X140" s="542"/>
      <c r="AA140" s="542"/>
      <c r="AE140" s="542"/>
      <c r="AJ140" s="542"/>
      <c r="AO140" s="544"/>
    </row>
    <row r="141" ht="15.75" customHeight="1">
      <c r="A141" s="516"/>
      <c r="B141" s="537"/>
      <c r="F141" s="538"/>
      <c r="I141" s="538"/>
      <c r="K141" s="538"/>
      <c r="N141" s="538"/>
      <c r="P141" s="538"/>
      <c r="X141" s="538"/>
      <c r="AA141" s="538"/>
      <c r="AE141" s="538"/>
      <c r="AJ141" s="538"/>
      <c r="AO141" s="540"/>
    </row>
    <row r="142" ht="15.75" customHeight="1">
      <c r="A142" s="516"/>
      <c r="B142" s="541"/>
      <c r="F142" s="542"/>
      <c r="I142" s="542"/>
      <c r="K142" s="542"/>
      <c r="N142" s="542"/>
      <c r="P142" s="542"/>
      <c r="X142" s="542"/>
      <c r="AA142" s="542"/>
      <c r="AE142" s="542"/>
      <c r="AJ142" s="542"/>
      <c r="AO142" s="544"/>
    </row>
    <row r="143" ht="15.75" customHeight="1">
      <c r="A143" s="516"/>
      <c r="B143" s="537"/>
      <c r="F143" s="538"/>
      <c r="I143" s="538"/>
      <c r="K143" s="538"/>
      <c r="N143" s="538"/>
      <c r="P143" s="538"/>
      <c r="X143" s="538"/>
      <c r="AA143" s="538"/>
      <c r="AE143" s="538"/>
      <c r="AJ143" s="538"/>
      <c r="AO143" s="540"/>
    </row>
    <row r="144" ht="15.75" customHeight="1">
      <c r="A144" s="516"/>
      <c r="B144" s="541"/>
      <c r="F144" s="542"/>
      <c r="I144" s="542"/>
      <c r="K144" s="542"/>
      <c r="N144" s="542"/>
      <c r="P144" s="542"/>
      <c r="X144" s="542"/>
      <c r="AA144" s="542"/>
      <c r="AE144" s="542"/>
      <c r="AJ144" s="542"/>
      <c r="AO144" s="544"/>
    </row>
    <row r="145" ht="15.75" customHeight="1">
      <c r="A145" s="516"/>
      <c r="B145" s="537"/>
      <c r="F145" s="538"/>
      <c r="I145" s="538"/>
      <c r="K145" s="538"/>
      <c r="N145" s="538"/>
      <c r="P145" s="538"/>
      <c r="X145" s="538"/>
      <c r="AA145" s="538"/>
      <c r="AE145" s="538"/>
      <c r="AJ145" s="538"/>
      <c r="AO145" s="540"/>
    </row>
    <row r="146" ht="15.75" customHeight="1">
      <c r="A146" s="516"/>
      <c r="B146" s="541"/>
      <c r="F146" s="542"/>
      <c r="I146" s="542"/>
      <c r="K146" s="542"/>
      <c r="N146" s="542"/>
      <c r="P146" s="542"/>
      <c r="X146" s="542"/>
      <c r="AA146" s="542"/>
      <c r="AE146" s="542"/>
      <c r="AJ146" s="542"/>
      <c r="AO146" s="544"/>
    </row>
    <row r="147" ht="15.75" customHeight="1">
      <c r="A147" s="516"/>
      <c r="B147" s="537"/>
      <c r="F147" s="538"/>
      <c r="I147" s="538"/>
      <c r="K147" s="538"/>
      <c r="N147" s="538"/>
      <c r="P147" s="538"/>
      <c r="X147" s="538"/>
      <c r="AA147" s="538"/>
      <c r="AE147" s="538"/>
      <c r="AJ147" s="538"/>
      <c r="AO147" s="540"/>
    </row>
    <row r="148" ht="15.75" customHeight="1">
      <c r="A148" s="516"/>
      <c r="B148" s="541"/>
      <c r="F148" s="542"/>
      <c r="I148" s="542"/>
      <c r="K148" s="542"/>
      <c r="N148" s="542"/>
      <c r="P148" s="542"/>
      <c r="X148" s="542"/>
      <c r="AA148" s="542"/>
      <c r="AE148" s="542"/>
      <c r="AJ148" s="542"/>
      <c r="AO148" s="544"/>
    </row>
    <row r="149" ht="15.75" customHeight="1">
      <c r="A149" s="516"/>
      <c r="B149" s="537"/>
      <c r="F149" s="538"/>
      <c r="I149" s="538"/>
      <c r="K149" s="538"/>
      <c r="N149" s="538"/>
      <c r="P149" s="538"/>
      <c r="X149" s="538"/>
      <c r="AA149" s="538"/>
      <c r="AE149" s="538"/>
      <c r="AJ149" s="538"/>
      <c r="AO149" s="540"/>
    </row>
    <row r="150" ht="15.75" customHeight="1">
      <c r="A150" s="516"/>
      <c r="B150" s="541"/>
      <c r="F150" s="542"/>
      <c r="I150" s="542"/>
      <c r="K150" s="542"/>
      <c r="N150" s="542"/>
      <c r="P150" s="542"/>
      <c r="X150" s="542"/>
      <c r="AA150" s="542"/>
      <c r="AE150" s="542"/>
      <c r="AJ150" s="542"/>
      <c r="AO150" s="544"/>
    </row>
    <row r="151" ht="15.75" customHeight="1">
      <c r="A151" s="516"/>
      <c r="B151" s="537"/>
      <c r="F151" s="538"/>
      <c r="I151" s="538"/>
      <c r="K151" s="538"/>
      <c r="N151" s="538"/>
      <c r="P151" s="538"/>
      <c r="X151" s="538"/>
      <c r="AA151" s="538"/>
      <c r="AE151" s="538"/>
      <c r="AJ151" s="538"/>
      <c r="AO151" s="540"/>
    </row>
    <row r="152" ht="15.75" customHeight="1">
      <c r="A152" s="516"/>
      <c r="B152" s="541"/>
      <c r="F152" s="542"/>
      <c r="I152" s="542"/>
      <c r="K152" s="542"/>
      <c r="N152" s="542"/>
      <c r="P152" s="542"/>
      <c r="X152" s="542"/>
      <c r="AA152" s="542"/>
      <c r="AE152" s="542"/>
      <c r="AJ152" s="542"/>
      <c r="AO152" s="544"/>
    </row>
    <row r="153" ht="15.75" customHeight="1">
      <c r="A153" s="516"/>
      <c r="B153" s="537"/>
      <c r="F153" s="538"/>
      <c r="I153" s="538"/>
      <c r="K153" s="538"/>
      <c r="N153" s="538"/>
      <c r="P153" s="538"/>
      <c r="X153" s="538"/>
      <c r="AA153" s="538"/>
      <c r="AE153" s="538"/>
      <c r="AJ153" s="538"/>
      <c r="AO153" s="540"/>
    </row>
    <row r="154" ht="15.75" customHeight="1">
      <c r="A154" s="516"/>
      <c r="B154" s="541"/>
      <c r="F154" s="542"/>
      <c r="I154" s="542"/>
      <c r="K154" s="542"/>
      <c r="N154" s="542"/>
      <c r="P154" s="542"/>
      <c r="X154" s="542"/>
      <c r="AA154" s="542"/>
      <c r="AE154" s="542"/>
      <c r="AJ154" s="542"/>
      <c r="AO154" s="544"/>
    </row>
    <row r="155" ht="15.75" customHeight="1">
      <c r="A155" s="516"/>
      <c r="B155" s="537"/>
      <c r="F155" s="538"/>
      <c r="I155" s="538"/>
      <c r="K155" s="538"/>
      <c r="N155" s="538"/>
      <c r="P155" s="538"/>
      <c r="X155" s="538"/>
      <c r="AA155" s="538"/>
      <c r="AE155" s="538"/>
      <c r="AJ155" s="538"/>
      <c r="AO155" s="540"/>
    </row>
    <row r="156" ht="15.75" customHeight="1">
      <c r="A156" s="516"/>
      <c r="B156" s="541"/>
      <c r="F156" s="542"/>
      <c r="I156" s="542"/>
      <c r="K156" s="542"/>
      <c r="N156" s="542"/>
      <c r="P156" s="542"/>
      <c r="X156" s="542"/>
      <c r="AA156" s="542"/>
      <c r="AE156" s="542"/>
      <c r="AJ156" s="542"/>
      <c r="AO156" s="544"/>
    </row>
    <row r="157" ht="15.75" customHeight="1">
      <c r="A157" s="516"/>
      <c r="B157" s="537"/>
      <c r="F157" s="538"/>
      <c r="I157" s="538"/>
      <c r="K157" s="538"/>
      <c r="N157" s="538"/>
      <c r="P157" s="538"/>
      <c r="X157" s="538"/>
      <c r="AA157" s="538"/>
      <c r="AE157" s="538"/>
      <c r="AJ157" s="538"/>
      <c r="AO157" s="540"/>
    </row>
    <row r="158" ht="15.75" customHeight="1">
      <c r="A158" s="516"/>
      <c r="B158" s="541"/>
      <c r="F158" s="542"/>
      <c r="I158" s="542"/>
      <c r="K158" s="542"/>
      <c r="N158" s="542"/>
      <c r="P158" s="542"/>
      <c r="X158" s="542"/>
      <c r="AA158" s="542"/>
      <c r="AE158" s="542"/>
      <c r="AJ158" s="542"/>
      <c r="AO158" s="544"/>
    </row>
    <row r="159" ht="15.75" customHeight="1">
      <c r="A159" s="516"/>
      <c r="B159" s="537"/>
      <c r="F159" s="538"/>
      <c r="I159" s="538"/>
      <c r="K159" s="538"/>
      <c r="N159" s="538"/>
      <c r="P159" s="538"/>
      <c r="X159" s="538"/>
      <c r="AA159" s="538"/>
      <c r="AE159" s="538"/>
      <c r="AJ159" s="538"/>
      <c r="AO159" s="540"/>
    </row>
    <row r="160" ht="15.75" customHeight="1">
      <c r="A160" s="516"/>
      <c r="B160" s="541"/>
      <c r="F160" s="542"/>
      <c r="I160" s="542"/>
      <c r="K160" s="542"/>
      <c r="N160" s="542"/>
      <c r="P160" s="542"/>
      <c r="X160" s="542"/>
      <c r="AA160" s="542"/>
      <c r="AE160" s="542"/>
      <c r="AJ160" s="542"/>
      <c r="AO160" s="544"/>
    </row>
    <row r="161" ht="15.75" customHeight="1">
      <c r="A161" s="516"/>
      <c r="B161" s="537"/>
      <c r="F161" s="538"/>
      <c r="I161" s="538"/>
      <c r="K161" s="538"/>
      <c r="N161" s="538"/>
      <c r="P161" s="538"/>
      <c r="X161" s="538"/>
      <c r="AA161" s="538"/>
      <c r="AE161" s="538"/>
      <c r="AJ161" s="538"/>
      <c r="AO161" s="540"/>
    </row>
    <row r="162" ht="15.75" customHeight="1">
      <c r="A162" s="516"/>
      <c r="B162" s="541"/>
      <c r="F162" s="542"/>
      <c r="I162" s="542"/>
      <c r="K162" s="542"/>
      <c r="N162" s="542"/>
      <c r="P162" s="542"/>
      <c r="X162" s="542"/>
      <c r="AA162" s="542"/>
      <c r="AE162" s="542"/>
      <c r="AJ162" s="542"/>
      <c r="AO162" s="544"/>
    </row>
    <row r="163" ht="15.75" customHeight="1">
      <c r="A163" s="516"/>
      <c r="B163" s="537"/>
      <c r="F163" s="538"/>
      <c r="I163" s="538"/>
      <c r="K163" s="538"/>
      <c r="N163" s="538"/>
      <c r="P163" s="538"/>
      <c r="X163" s="538"/>
      <c r="AA163" s="538"/>
      <c r="AE163" s="538"/>
      <c r="AJ163" s="538"/>
      <c r="AO163" s="540"/>
    </row>
    <row r="164" ht="15.75" customHeight="1">
      <c r="A164" s="516"/>
      <c r="B164" s="541"/>
      <c r="F164" s="542"/>
      <c r="I164" s="542"/>
      <c r="K164" s="542"/>
      <c r="N164" s="542"/>
      <c r="P164" s="542"/>
      <c r="X164" s="542"/>
      <c r="AA164" s="542"/>
      <c r="AE164" s="542"/>
      <c r="AJ164" s="542"/>
      <c r="AO164" s="544"/>
    </row>
    <row r="165" ht="15.75" customHeight="1">
      <c r="A165" s="516"/>
      <c r="B165" s="537"/>
      <c r="F165" s="538"/>
      <c r="I165" s="538"/>
      <c r="K165" s="538"/>
      <c r="N165" s="538"/>
      <c r="P165" s="538"/>
      <c r="X165" s="538"/>
      <c r="AA165" s="538"/>
      <c r="AE165" s="538"/>
      <c r="AJ165" s="538"/>
      <c r="AO165" s="540"/>
    </row>
    <row r="166" ht="15.75" customHeight="1">
      <c r="A166" s="516"/>
      <c r="B166" s="541"/>
      <c r="F166" s="542"/>
      <c r="I166" s="542"/>
      <c r="K166" s="542"/>
      <c r="N166" s="542"/>
      <c r="P166" s="542"/>
      <c r="X166" s="542"/>
      <c r="AA166" s="542"/>
      <c r="AE166" s="542"/>
      <c r="AJ166" s="542"/>
      <c r="AO166" s="544"/>
    </row>
    <row r="167" ht="15.75" customHeight="1">
      <c r="A167" s="516"/>
      <c r="B167" s="537"/>
      <c r="F167" s="538"/>
      <c r="I167" s="538"/>
      <c r="K167" s="538"/>
      <c r="N167" s="538"/>
      <c r="P167" s="538"/>
      <c r="X167" s="538"/>
      <c r="AA167" s="538"/>
      <c r="AE167" s="538"/>
      <c r="AJ167" s="538"/>
      <c r="AO167" s="540"/>
    </row>
    <row r="168" ht="15.75" customHeight="1">
      <c r="A168" s="516"/>
      <c r="B168" s="541"/>
      <c r="F168" s="542"/>
      <c r="I168" s="542"/>
      <c r="K168" s="542"/>
      <c r="N168" s="542"/>
      <c r="P168" s="542"/>
      <c r="X168" s="542"/>
      <c r="AA168" s="542"/>
      <c r="AE168" s="542"/>
      <c r="AJ168" s="542"/>
      <c r="AO168" s="544"/>
    </row>
    <row r="169" ht="15.75" customHeight="1">
      <c r="A169" s="516"/>
      <c r="B169" s="537"/>
      <c r="F169" s="538"/>
      <c r="I169" s="538"/>
      <c r="K169" s="538"/>
      <c r="N169" s="538"/>
      <c r="P169" s="538"/>
      <c r="X169" s="538"/>
      <c r="AA169" s="538"/>
      <c r="AE169" s="538"/>
      <c r="AJ169" s="538"/>
      <c r="AO169" s="540"/>
    </row>
    <row r="170" ht="15.75" customHeight="1">
      <c r="A170" s="516"/>
      <c r="B170" s="541"/>
      <c r="F170" s="542"/>
      <c r="I170" s="542"/>
      <c r="K170" s="542"/>
      <c r="N170" s="542"/>
      <c r="P170" s="542"/>
      <c r="X170" s="542"/>
      <c r="AA170" s="542"/>
      <c r="AE170" s="542"/>
      <c r="AJ170" s="542"/>
      <c r="AO170" s="544"/>
    </row>
    <row r="171" ht="15.75" customHeight="1">
      <c r="A171" s="516"/>
      <c r="B171" s="537"/>
      <c r="F171" s="538"/>
      <c r="I171" s="538"/>
      <c r="K171" s="538"/>
      <c r="N171" s="538"/>
      <c r="P171" s="538"/>
      <c r="X171" s="538"/>
      <c r="AA171" s="538"/>
      <c r="AE171" s="538"/>
      <c r="AJ171" s="538"/>
      <c r="AO171" s="540"/>
    </row>
    <row r="172" ht="15.75" customHeight="1">
      <c r="A172" s="516"/>
      <c r="B172" s="541"/>
      <c r="F172" s="542"/>
      <c r="I172" s="542"/>
      <c r="K172" s="542"/>
      <c r="N172" s="542"/>
      <c r="P172" s="542"/>
      <c r="X172" s="542"/>
      <c r="AA172" s="542"/>
      <c r="AE172" s="542"/>
      <c r="AJ172" s="542"/>
      <c r="AO172" s="544"/>
    </row>
    <row r="173" ht="15.75" customHeight="1">
      <c r="A173" s="516"/>
      <c r="B173" s="537"/>
      <c r="F173" s="538"/>
      <c r="I173" s="538"/>
      <c r="K173" s="538"/>
      <c r="N173" s="538"/>
      <c r="P173" s="538"/>
      <c r="X173" s="538"/>
      <c r="AA173" s="538"/>
      <c r="AE173" s="538"/>
      <c r="AJ173" s="538"/>
      <c r="AO173" s="540"/>
    </row>
    <row r="174" ht="15.75" customHeight="1">
      <c r="A174" s="516"/>
      <c r="B174" s="541"/>
      <c r="F174" s="542"/>
      <c r="I174" s="542"/>
      <c r="K174" s="542"/>
      <c r="N174" s="542"/>
      <c r="P174" s="542"/>
      <c r="X174" s="542"/>
      <c r="AA174" s="542"/>
      <c r="AE174" s="542"/>
      <c r="AJ174" s="542"/>
      <c r="AO174" s="544"/>
    </row>
    <row r="175" ht="15.75" customHeight="1">
      <c r="A175" s="516"/>
      <c r="B175" s="537"/>
      <c r="F175" s="538"/>
      <c r="I175" s="538"/>
      <c r="K175" s="538"/>
      <c r="N175" s="538"/>
      <c r="P175" s="538"/>
      <c r="X175" s="538"/>
      <c r="AA175" s="538"/>
      <c r="AE175" s="538"/>
      <c r="AJ175" s="538"/>
      <c r="AO175" s="540"/>
    </row>
    <row r="176" ht="15.75" customHeight="1">
      <c r="A176" s="516"/>
      <c r="B176" s="541"/>
      <c r="F176" s="542"/>
      <c r="I176" s="542"/>
      <c r="K176" s="542"/>
      <c r="N176" s="542"/>
      <c r="P176" s="542"/>
      <c r="X176" s="542"/>
      <c r="AA176" s="542"/>
      <c r="AE176" s="542"/>
      <c r="AJ176" s="542"/>
      <c r="AO176" s="544"/>
    </row>
    <row r="177" ht="15.75" customHeight="1">
      <c r="A177" s="516"/>
      <c r="B177" s="537"/>
      <c r="F177" s="538"/>
      <c r="I177" s="538"/>
      <c r="K177" s="538"/>
      <c r="N177" s="538"/>
      <c r="P177" s="538"/>
      <c r="X177" s="538"/>
      <c r="AA177" s="538"/>
      <c r="AE177" s="538"/>
      <c r="AJ177" s="538"/>
      <c r="AO177" s="540"/>
    </row>
    <row r="178" ht="15.75" customHeight="1">
      <c r="A178" s="516"/>
      <c r="B178" s="541"/>
      <c r="F178" s="542"/>
      <c r="I178" s="542"/>
      <c r="K178" s="542"/>
      <c r="N178" s="542"/>
      <c r="P178" s="542"/>
      <c r="X178" s="542"/>
      <c r="AA178" s="542"/>
      <c r="AE178" s="542"/>
      <c r="AJ178" s="542"/>
      <c r="AO178" s="544"/>
    </row>
    <row r="179" ht="15.75" customHeight="1">
      <c r="A179" s="516"/>
      <c r="B179" s="537"/>
      <c r="F179" s="538"/>
      <c r="I179" s="538"/>
      <c r="K179" s="538"/>
      <c r="N179" s="538"/>
      <c r="P179" s="538"/>
      <c r="X179" s="538"/>
      <c r="AA179" s="538"/>
      <c r="AE179" s="538"/>
      <c r="AJ179" s="538"/>
      <c r="AO179" s="540"/>
    </row>
    <row r="180" ht="15.75" customHeight="1">
      <c r="A180" s="516"/>
      <c r="B180" s="541"/>
      <c r="F180" s="542"/>
      <c r="I180" s="542"/>
      <c r="K180" s="542"/>
      <c r="N180" s="542"/>
      <c r="P180" s="542"/>
      <c r="X180" s="542"/>
      <c r="AA180" s="542"/>
      <c r="AE180" s="542"/>
      <c r="AJ180" s="542"/>
      <c r="AO180" s="544"/>
    </row>
    <row r="181" ht="15.75" customHeight="1">
      <c r="A181" s="516"/>
      <c r="B181" s="537"/>
      <c r="F181" s="538"/>
      <c r="I181" s="538"/>
      <c r="K181" s="538"/>
      <c r="N181" s="538"/>
      <c r="P181" s="538"/>
      <c r="X181" s="538"/>
      <c r="AA181" s="538"/>
      <c r="AE181" s="538"/>
      <c r="AJ181" s="538"/>
      <c r="AO181" s="540"/>
    </row>
    <row r="182" ht="15.75" customHeight="1">
      <c r="A182" s="516"/>
      <c r="B182" s="541"/>
      <c r="F182" s="542"/>
      <c r="I182" s="542"/>
      <c r="K182" s="542"/>
      <c r="N182" s="542"/>
      <c r="P182" s="542"/>
      <c r="X182" s="542"/>
      <c r="AA182" s="542"/>
      <c r="AE182" s="542"/>
      <c r="AJ182" s="542"/>
      <c r="AO182" s="544"/>
    </row>
    <row r="183" ht="15.75" customHeight="1">
      <c r="A183" s="516"/>
      <c r="B183" s="537"/>
      <c r="F183" s="538"/>
      <c r="I183" s="538"/>
      <c r="K183" s="538"/>
      <c r="N183" s="538"/>
      <c r="P183" s="538"/>
      <c r="X183" s="538"/>
      <c r="AA183" s="538"/>
      <c r="AE183" s="538"/>
      <c r="AJ183" s="538"/>
      <c r="AO183" s="540"/>
    </row>
    <row r="184" ht="15.75" customHeight="1">
      <c r="A184" s="516"/>
      <c r="B184" s="541"/>
      <c r="F184" s="542"/>
      <c r="I184" s="542"/>
      <c r="K184" s="542"/>
      <c r="N184" s="542"/>
      <c r="P184" s="542"/>
      <c r="X184" s="542"/>
      <c r="AA184" s="542"/>
      <c r="AE184" s="542"/>
      <c r="AJ184" s="542"/>
      <c r="AO184" s="544"/>
    </row>
    <row r="185" ht="15.75" customHeight="1">
      <c r="A185" s="516"/>
      <c r="B185" s="537"/>
      <c r="F185" s="538"/>
      <c r="I185" s="538"/>
      <c r="K185" s="538"/>
      <c r="N185" s="538"/>
      <c r="P185" s="538"/>
      <c r="X185" s="538"/>
      <c r="AA185" s="538"/>
      <c r="AE185" s="538"/>
      <c r="AJ185" s="538"/>
      <c r="AO185" s="540"/>
    </row>
    <row r="186" ht="15.75" customHeight="1">
      <c r="A186" s="516"/>
      <c r="B186" s="541"/>
      <c r="F186" s="542"/>
      <c r="I186" s="542"/>
      <c r="K186" s="542"/>
      <c r="N186" s="542"/>
      <c r="P186" s="542"/>
      <c r="X186" s="542"/>
      <c r="AA186" s="542"/>
      <c r="AE186" s="542"/>
      <c r="AJ186" s="542"/>
      <c r="AO186" s="544"/>
    </row>
    <row r="187" ht="15.75" customHeight="1">
      <c r="A187" s="516"/>
      <c r="B187" s="537"/>
      <c r="F187" s="538"/>
      <c r="I187" s="538"/>
      <c r="K187" s="538"/>
      <c r="N187" s="538"/>
      <c r="P187" s="538"/>
      <c r="X187" s="538"/>
      <c r="AA187" s="538"/>
      <c r="AE187" s="538"/>
      <c r="AJ187" s="538"/>
      <c r="AO187" s="540"/>
    </row>
    <row r="188" ht="15.75" customHeight="1">
      <c r="A188" s="516"/>
      <c r="B188" s="541"/>
      <c r="F188" s="542"/>
      <c r="I188" s="542"/>
      <c r="K188" s="542"/>
      <c r="N188" s="542"/>
      <c r="P188" s="542"/>
      <c r="X188" s="542"/>
      <c r="AA188" s="542"/>
      <c r="AE188" s="542"/>
      <c r="AJ188" s="542"/>
      <c r="AO188" s="544"/>
    </row>
    <row r="189" ht="15.75" customHeight="1">
      <c r="A189" s="516"/>
      <c r="B189" s="537"/>
      <c r="F189" s="538"/>
      <c r="I189" s="538"/>
      <c r="K189" s="538"/>
      <c r="N189" s="538"/>
      <c r="P189" s="538"/>
      <c r="X189" s="538"/>
      <c r="AA189" s="538"/>
      <c r="AE189" s="538"/>
      <c r="AJ189" s="538"/>
      <c r="AO189" s="540"/>
    </row>
    <row r="190" ht="15.75" customHeight="1">
      <c r="A190" s="516"/>
      <c r="B190" s="541"/>
      <c r="F190" s="542"/>
      <c r="I190" s="542"/>
      <c r="K190" s="542"/>
      <c r="N190" s="542"/>
      <c r="P190" s="542"/>
      <c r="X190" s="542"/>
      <c r="AA190" s="542"/>
      <c r="AE190" s="542"/>
      <c r="AJ190" s="542"/>
      <c r="AO190" s="544"/>
    </row>
    <row r="191" ht="15.75" customHeight="1">
      <c r="A191" s="516"/>
      <c r="B191" s="537"/>
      <c r="F191" s="538"/>
      <c r="I191" s="538"/>
      <c r="K191" s="538"/>
      <c r="N191" s="538"/>
      <c r="P191" s="538"/>
      <c r="X191" s="538"/>
      <c r="AA191" s="538"/>
      <c r="AE191" s="538"/>
      <c r="AJ191" s="538"/>
      <c r="AO191" s="540"/>
    </row>
    <row r="192" ht="15.75" customHeight="1">
      <c r="A192" s="516"/>
      <c r="B192" s="541"/>
      <c r="F192" s="542"/>
      <c r="I192" s="542"/>
      <c r="K192" s="542"/>
      <c r="N192" s="542"/>
      <c r="P192" s="542"/>
      <c r="X192" s="542"/>
      <c r="AA192" s="542"/>
      <c r="AE192" s="542"/>
      <c r="AJ192" s="542"/>
      <c r="AO192" s="544"/>
    </row>
    <row r="193" ht="15.75" customHeight="1">
      <c r="A193" s="516"/>
      <c r="B193" s="537"/>
      <c r="F193" s="538"/>
      <c r="I193" s="538"/>
      <c r="K193" s="538"/>
      <c r="N193" s="538"/>
      <c r="P193" s="538"/>
      <c r="X193" s="538"/>
      <c r="AA193" s="538"/>
      <c r="AE193" s="538"/>
      <c r="AJ193" s="538"/>
      <c r="AO193" s="540"/>
    </row>
    <row r="194" ht="15.75" customHeight="1">
      <c r="A194" s="516"/>
      <c r="B194" s="541"/>
      <c r="F194" s="542"/>
      <c r="I194" s="542"/>
      <c r="K194" s="542"/>
      <c r="N194" s="542"/>
      <c r="P194" s="542"/>
      <c r="X194" s="542"/>
      <c r="AA194" s="542"/>
      <c r="AE194" s="542"/>
      <c r="AJ194" s="542"/>
      <c r="AO194" s="544"/>
    </row>
    <row r="195" ht="15.75" customHeight="1">
      <c r="A195" s="516"/>
      <c r="B195" s="537"/>
      <c r="F195" s="538"/>
      <c r="I195" s="538"/>
      <c r="K195" s="538"/>
      <c r="N195" s="538"/>
      <c r="P195" s="538"/>
      <c r="X195" s="538"/>
      <c r="AA195" s="538"/>
      <c r="AE195" s="538"/>
      <c r="AJ195" s="538"/>
      <c r="AO195" s="540"/>
    </row>
    <row r="196" ht="15.75" customHeight="1">
      <c r="A196" s="516"/>
      <c r="B196" s="541"/>
      <c r="F196" s="542"/>
      <c r="I196" s="542"/>
      <c r="K196" s="542"/>
      <c r="N196" s="542"/>
      <c r="P196" s="542"/>
      <c r="X196" s="542"/>
      <c r="AA196" s="542"/>
      <c r="AE196" s="542"/>
      <c r="AJ196" s="542"/>
      <c r="AO196" s="544"/>
    </row>
    <row r="197" ht="15.75" customHeight="1">
      <c r="A197" s="516"/>
      <c r="B197" s="537"/>
      <c r="F197" s="538"/>
      <c r="I197" s="538"/>
      <c r="K197" s="538"/>
      <c r="N197" s="538"/>
      <c r="P197" s="538"/>
      <c r="X197" s="538"/>
      <c r="AA197" s="538"/>
      <c r="AE197" s="538"/>
      <c r="AJ197" s="538"/>
      <c r="AO197" s="540"/>
    </row>
    <row r="198" ht="15.75" customHeight="1">
      <c r="A198" s="516"/>
      <c r="B198" s="541"/>
      <c r="F198" s="542"/>
      <c r="I198" s="542"/>
      <c r="K198" s="542"/>
      <c r="N198" s="542"/>
      <c r="P198" s="542"/>
      <c r="X198" s="542"/>
      <c r="AA198" s="542"/>
      <c r="AE198" s="542"/>
      <c r="AJ198" s="542"/>
      <c r="AO198" s="544"/>
    </row>
    <row r="199" ht="15.75" customHeight="1">
      <c r="A199" s="516"/>
      <c r="B199" s="537"/>
      <c r="F199" s="538"/>
      <c r="I199" s="538"/>
      <c r="K199" s="538"/>
      <c r="N199" s="538"/>
      <c r="P199" s="538"/>
      <c r="X199" s="538"/>
      <c r="AA199" s="538"/>
      <c r="AE199" s="538"/>
      <c r="AJ199" s="538"/>
      <c r="AO199" s="540"/>
    </row>
    <row r="200" ht="15.75" customHeight="1">
      <c r="A200" s="516"/>
      <c r="B200" s="541"/>
      <c r="F200" s="542"/>
      <c r="I200" s="542"/>
      <c r="K200" s="542"/>
      <c r="N200" s="542"/>
      <c r="P200" s="542"/>
      <c r="X200" s="542"/>
      <c r="AA200" s="542"/>
      <c r="AE200" s="542"/>
      <c r="AJ200" s="542"/>
      <c r="AO200" s="544"/>
    </row>
    <row r="201" ht="15.75" customHeight="1">
      <c r="A201" s="516"/>
      <c r="B201" s="537"/>
      <c r="F201" s="538"/>
      <c r="I201" s="538"/>
      <c r="K201" s="538"/>
      <c r="N201" s="538"/>
      <c r="P201" s="538"/>
      <c r="X201" s="538"/>
      <c r="AA201" s="538"/>
      <c r="AE201" s="538"/>
      <c r="AJ201" s="538"/>
      <c r="AO201" s="540"/>
    </row>
  </sheetData>
  <mergeCells count="1969">
    <mergeCell ref="AA8:AD8"/>
    <mergeCell ref="AE8:AI8"/>
    <mergeCell ref="AJ8:AO8"/>
    <mergeCell ref="B8:E8"/>
    <mergeCell ref="F8:H8"/>
    <mergeCell ref="I8:J8"/>
    <mergeCell ref="K8:M8"/>
    <mergeCell ref="N8:O8"/>
    <mergeCell ref="P8:W8"/>
    <mergeCell ref="X8:Z8"/>
    <mergeCell ref="AA9:AD9"/>
    <mergeCell ref="AE9:AI9"/>
    <mergeCell ref="AJ9:AO9"/>
    <mergeCell ref="B9:E9"/>
    <mergeCell ref="F9:H9"/>
    <mergeCell ref="I9:J9"/>
    <mergeCell ref="K9:M9"/>
    <mergeCell ref="N9:O9"/>
    <mergeCell ref="P9:W9"/>
    <mergeCell ref="X9:Z9"/>
    <mergeCell ref="AA10:AD10"/>
    <mergeCell ref="AE10:AI10"/>
    <mergeCell ref="AJ10:AO10"/>
    <mergeCell ref="B10:E10"/>
    <mergeCell ref="F10:H10"/>
    <mergeCell ref="I10:J10"/>
    <mergeCell ref="K10:M10"/>
    <mergeCell ref="N10:O10"/>
    <mergeCell ref="P10:W10"/>
    <mergeCell ref="X10:Z10"/>
    <mergeCell ref="AA11:AD11"/>
    <mergeCell ref="AE11:AI11"/>
    <mergeCell ref="AJ11:AO11"/>
    <mergeCell ref="B11:E11"/>
    <mergeCell ref="F11:H11"/>
    <mergeCell ref="I11:J11"/>
    <mergeCell ref="K11:M11"/>
    <mergeCell ref="N11:O11"/>
    <mergeCell ref="P11:W11"/>
    <mergeCell ref="X11:Z11"/>
    <mergeCell ref="AA12:AD12"/>
    <mergeCell ref="AE12:AI12"/>
    <mergeCell ref="AJ12:AO12"/>
    <mergeCell ref="B12:E12"/>
    <mergeCell ref="F12:H12"/>
    <mergeCell ref="I12:J12"/>
    <mergeCell ref="K12:M12"/>
    <mergeCell ref="N12:O12"/>
    <mergeCell ref="P12:W12"/>
    <mergeCell ref="X12:Z12"/>
    <mergeCell ref="AA13:AD13"/>
    <mergeCell ref="AE13:AI13"/>
    <mergeCell ref="AJ13:AO13"/>
    <mergeCell ref="B13:E13"/>
    <mergeCell ref="F13:H13"/>
    <mergeCell ref="I13:J13"/>
    <mergeCell ref="K13:M13"/>
    <mergeCell ref="N13:O13"/>
    <mergeCell ref="P13:W13"/>
    <mergeCell ref="X13:Z13"/>
    <mergeCell ref="AA14:AD14"/>
    <mergeCell ref="AE14:AI14"/>
    <mergeCell ref="AJ14:AO14"/>
    <mergeCell ref="B14:E14"/>
    <mergeCell ref="F14:H14"/>
    <mergeCell ref="I14:J14"/>
    <mergeCell ref="K14:M14"/>
    <mergeCell ref="N14:O14"/>
    <mergeCell ref="P14:W14"/>
    <mergeCell ref="X14:Z14"/>
    <mergeCell ref="AA15:AD15"/>
    <mergeCell ref="AE15:AI15"/>
    <mergeCell ref="AJ15:AO15"/>
    <mergeCell ref="B15:E15"/>
    <mergeCell ref="F15:H15"/>
    <mergeCell ref="I15:J15"/>
    <mergeCell ref="K15:M15"/>
    <mergeCell ref="N15:O15"/>
    <mergeCell ref="P15:W15"/>
    <mergeCell ref="X15:Z15"/>
    <mergeCell ref="AA16:AD16"/>
    <mergeCell ref="AE16:AI16"/>
    <mergeCell ref="AJ16:AO16"/>
    <mergeCell ref="B16:E16"/>
    <mergeCell ref="F16:H16"/>
    <mergeCell ref="I16:J16"/>
    <mergeCell ref="K16:M16"/>
    <mergeCell ref="N16:O16"/>
    <mergeCell ref="P16:W16"/>
    <mergeCell ref="X16:Z16"/>
    <mergeCell ref="AA17:AD17"/>
    <mergeCell ref="AE17:AI17"/>
    <mergeCell ref="AJ17:AO17"/>
    <mergeCell ref="B17:E17"/>
    <mergeCell ref="F17:H17"/>
    <mergeCell ref="I17:J17"/>
    <mergeCell ref="K17:M17"/>
    <mergeCell ref="N17:O17"/>
    <mergeCell ref="P17:W17"/>
    <mergeCell ref="X17:Z17"/>
    <mergeCell ref="AA18:AD18"/>
    <mergeCell ref="AE18:AI18"/>
    <mergeCell ref="AJ18:AO18"/>
    <mergeCell ref="B18:E18"/>
    <mergeCell ref="F18:H18"/>
    <mergeCell ref="I18:J18"/>
    <mergeCell ref="K18:M18"/>
    <mergeCell ref="N18:O18"/>
    <mergeCell ref="P18:W18"/>
    <mergeCell ref="X18:Z18"/>
    <mergeCell ref="AA19:AD19"/>
    <mergeCell ref="AE19:AI19"/>
    <mergeCell ref="AJ19:AO19"/>
    <mergeCell ref="B19:E19"/>
    <mergeCell ref="F19:H19"/>
    <mergeCell ref="I19:J19"/>
    <mergeCell ref="K19:M19"/>
    <mergeCell ref="N19:O19"/>
    <mergeCell ref="P19:W19"/>
    <mergeCell ref="X19:Z19"/>
    <mergeCell ref="AA20:AD20"/>
    <mergeCell ref="AE20:AI20"/>
    <mergeCell ref="AJ20:AO20"/>
    <mergeCell ref="B20:E20"/>
    <mergeCell ref="F20:H20"/>
    <mergeCell ref="I20:J20"/>
    <mergeCell ref="K20:M20"/>
    <mergeCell ref="N20:O20"/>
    <mergeCell ref="P20:W20"/>
    <mergeCell ref="X20:Z20"/>
    <mergeCell ref="AA21:AD21"/>
    <mergeCell ref="AE21:AI21"/>
    <mergeCell ref="AJ21:AO21"/>
    <mergeCell ref="B21:E21"/>
    <mergeCell ref="F21:H21"/>
    <mergeCell ref="I21:J21"/>
    <mergeCell ref="K21:M21"/>
    <mergeCell ref="N21:O21"/>
    <mergeCell ref="P21:W21"/>
    <mergeCell ref="X21:Z21"/>
    <mergeCell ref="AA22:AD22"/>
    <mergeCell ref="AE22:AI22"/>
    <mergeCell ref="AJ22:AO22"/>
    <mergeCell ref="B22:E22"/>
    <mergeCell ref="F22:H22"/>
    <mergeCell ref="I22:J22"/>
    <mergeCell ref="K22:M22"/>
    <mergeCell ref="N22:O22"/>
    <mergeCell ref="P22:W22"/>
    <mergeCell ref="X22:Z22"/>
    <mergeCell ref="AA23:AD23"/>
    <mergeCell ref="AE23:AI23"/>
    <mergeCell ref="AJ23:AO23"/>
    <mergeCell ref="B23:E23"/>
    <mergeCell ref="F23:H23"/>
    <mergeCell ref="I23:J23"/>
    <mergeCell ref="K23:M23"/>
    <mergeCell ref="N23:O23"/>
    <mergeCell ref="P23:W23"/>
    <mergeCell ref="X23:Z23"/>
    <mergeCell ref="AA24:AD24"/>
    <mergeCell ref="AE24:AI24"/>
    <mergeCell ref="AJ24:AO24"/>
    <mergeCell ref="B24:E24"/>
    <mergeCell ref="F24:H24"/>
    <mergeCell ref="I24:J24"/>
    <mergeCell ref="K24:M24"/>
    <mergeCell ref="N24:O24"/>
    <mergeCell ref="P24:W24"/>
    <mergeCell ref="X24:Z24"/>
    <mergeCell ref="AA25:AD25"/>
    <mergeCell ref="AE25:AI25"/>
    <mergeCell ref="AJ25:AO25"/>
    <mergeCell ref="B25:E25"/>
    <mergeCell ref="F25:H25"/>
    <mergeCell ref="I25:J25"/>
    <mergeCell ref="K25:M25"/>
    <mergeCell ref="N25:O25"/>
    <mergeCell ref="P25:W25"/>
    <mergeCell ref="X25:Z25"/>
    <mergeCell ref="AA26:AD26"/>
    <mergeCell ref="AE26:AI26"/>
    <mergeCell ref="AJ26:AO26"/>
    <mergeCell ref="B26:E26"/>
    <mergeCell ref="F26:H26"/>
    <mergeCell ref="I26:J26"/>
    <mergeCell ref="K26:M26"/>
    <mergeCell ref="N26:O26"/>
    <mergeCell ref="P26:W26"/>
    <mergeCell ref="X26:Z26"/>
    <mergeCell ref="AA27:AD27"/>
    <mergeCell ref="AE27:AI27"/>
    <mergeCell ref="AJ27:AO27"/>
    <mergeCell ref="B27:E27"/>
    <mergeCell ref="F27:H27"/>
    <mergeCell ref="I27:J27"/>
    <mergeCell ref="K27:M27"/>
    <mergeCell ref="N27:O27"/>
    <mergeCell ref="P27:W27"/>
    <mergeCell ref="X27:Z27"/>
    <mergeCell ref="AA28:AD28"/>
    <mergeCell ref="AE28:AI28"/>
    <mergeCell ref="AJ28:AO28"/>
    <mergeCell ref="B28:E28"/>
    <mergeCell ref="F28:H28"/>
    <mergeCell ref="I28:J28"/>
    <mergeCell ref="K28:M28"/>
    <mergeCell ref="N28:O28"/>
    <mergeCell ref="P28:W28"/>
    <mergeCell ref="X28:Z28"/>
    <mergeCell ref="AA29:AD29"/>
    <mergeCell ref="AE29:AI29"/>
    <mergeCell ref="AJ29:AO29"/>
    <mergeCell ref="B29:E29"/>
    <mergeCell ref="F29:H29"/>
    <mergeCell ref="I29:J29"/>
    <mergeCell ref="K29:M29"/>
    <mergeCell ref="N29:O29"/>
    <mergeCell ref="P29:W29"/>
    <mergeCell ref="X29:Z29"/>
    <mergeCell ref="AA30:AD30"/>
    <mergeCell ref="AE30:AI30"/>
    <mergeCell ref="AJ30:AO30"/>
    <mergeCell ref="B30:E30"/>
    <mergeCell ref="F30:H30"/>
    <mergeCell ref="I30:J30"/>
    <mergeCell ref="K30:M30"/>
    <mergeCell ref="N30:O30"/>
    <mergeCell ref="P30:W30"/>
    <mergeCell ref="X30:Z30"/>
    <mergeCell ref="AA31:AD31"/>
    <mergeCell ref="AE31:AI31"/>
    <mergeCell ref="AJ31:AO31"/>
    <mergeCell ref="B31:E31"/>
    <mergeCell ref="F31:H31"/>
    <mergeCell ref="I31:J31"/>
    <mergeCell ref="K31:M31"/>
    <mergeCell ref="N31:O31"/>
    <mergeCell ref="P31:W31"/>
    <mergeCell ref="X31:Z31"/>
    <mergeCell ref="AA32:AD32"/>
    <mergeCell ref="AE32:AI32"/>
    <mergeCell ref="AJ32:AO32"/>
    <mergeCell ref="B32:E32"/>
    <mergeCell ref="F32:H32"/>
    <mergeCell ref="I32:J32"/>
    <mergeCell ref="K32:M32"/>
    <mergeCell ref="N32:O32"/>
    <mergeCell ref="P32:W32"/>
    <mergeCell ref="X32:Z32"/>
    <mergeCell ref="AA33:AD33"/>
    <mergeCell ref="AE33:AI33"/>
    <mergeCell ref="AJ33:AO33"/>
    <mergeCell ref="B33:E33"/>
    <mergeCell ref="F33:H33"/>
    <mergeCell ref="I33:J33"/>
    <mergeCell ref="K33:M33"/>
    <mergeCell ref="N33:O33"/>
    <mergeCell ref="P33:W33"/>
    <mergeCell ref="X33:Z33"/>
    <mergeCell ref="AA34:AD34"/>
    <mergeCell ref="AE34:AI34"/>
    <mergeCell ref="AJ34:AO34"/>
    <mergeCell ref="B34:E34"/>
    <mergeCell ref="F34:H34"/>
    <mergeCell ref="I34:J34"/>
    <mergeCell ref="K34:M34"/>
    <mergeCell ref="N34:O34"/>
    <mergeCell ref="P34:W34"/>
    <mergeCell ref="X34:Z34"/>
    <mergeCell ref="AA35:AD35"/>
    <mergeCell ref="AE35:AI35"/>
    <mergeCell ref="AJ35:AO35"/>
    <mergeCell ref="B35:E35"/>
    <mergeCell ref="F35:H35"/>
    <mergeCell ref="I35:J35"/>
    <mergeCell ref="K35:M35"/>
    <mergeCell ref="N35:O35"/>
    <mergeCell ref="P35:W35"/>
    <mergeCell ref="X35:Z35"/>
    <mergeCell ref="AA36:AD36"/>
    <mergeCell ref="AE36:AI36"/>
    <mergeCell ref="AJ36:AO36"/>
    <mergeCell ref="B36:E36"/>
    <mergeCell ref="F36:H36"/>
    <mergeCell ref="I36:J36"/>
    <mergeCell ref="K36:M36"/>
    <mergeCell ref="N36:O36"/>
    <mergeCell ref="P36:W36"/>
    <mergeCell ref="X36:Z36"/>
    <mergeCell ref="AA37:AD37"/>
    <mergeCell ref="AE37:AI37"/>
    <mergeCell ref="AJ37:AO37"/>
    <mergeCell ref="B37:E37"/>
    <mergeCell ref="F37:H37"/>
    <mergeCell ref="I37:J37"/>
    <mergeCell ref="K37:M37"/>
    <mergeCell ref="N37:O37"/>
    <mergeCell ref="P37:W37"/>
    <mergeCell ref="X37:Z37"/>
    <mergeCell ref="AA38:AD38"/>
    <mergeCell ref="AE38:AI38"/>
    <mergeCell ref="AJ38:AO38"/>
    <mergeCell ref="B38:E38"/>
    <mergeCell ref="F38:H38"/>
    <mergeCell ref="I38:J38"/>
    <mergeCell ref="K38:M38"/>
    <mergeCell ref="N38:O38"/>
    <mergeCell ref="P38:W38"/>
    <mergeCell ref="X38:Z38"/>
    <mergeCell ref="AA39:AD39"/>
    <mergeCell ref="AE39:AI39"/>
    <mergeCell ref="AJ39:AO39"/>
    <mergeCell ref="B39:E39"/>
    <mergeCell ref="F39:H39"/>
    <mergeCell ref="I39:J39"/>
    <mergeCell ref="K39:M39"/>
    <mergeCell ref="N39:O39"/>
    <mergeCell ref="P39:W39"/>
    <mergeCell ref="X39:Z39"/>
    <mergeCell ref="AA40:AD40"/>
    <mergeCell ref="AE40:AI40"/>
    <mergeCell ref="AJ40:AO40"/>
    <mergeCell ref="B40:E40"/>
    <mergeCell ref="F40:H40"/>
    <mergeCell ref="I40:J40"/>
    <mergeCell ref="K40:M40"/>
    <mergeCell ref="N40:O40"/>
    <mergeCell ref="P40:W40"/>
    <mergeCell ref="X40:Z40"/>
    <mergeCell ref="AA41:AD41"/>
    <mergeCell ref="AE41:AI41"/>
    <mergeCell ref="AJ41:AO41"/>
    <mergeCell ref="B41:E41"/>
    <mergeCell ref="F41:H41"/>
    <mergeCell ref="I41:J41"/>
    <mergeCell ref="K41:M41"/>
    <mergeCell ref="N41:O41"/>
    <mergeCell ref="P41:W41"/>
    <mergeCell ref="X41:Z41"/>
    <mergeCell ref="AA42:AD42"/>
    <mergeCell ref="AE42:AI42"/>
    <mergeCell ref="AJ42:AO42"/>
    <mergeCell ref="B42:E42"/>
    <mergeCell ref="F42:H42"/>
    <mergeCell ref="I42:J42"/>
    <mergeCell ref="K42:M42"/>
    <mergeCell ref="N42:O42"/>
    <mergeCell ref="P42:W42"/>
    <mergeCell ref="X42:Z42"/>
    <mergeCell ref="AA43:AD43"/>
    <mergeCell ref="AE43:AI43"/>
    <mergeCell ref="AJ43:AO43"/>
    <mergeCell ref="B43:E43"/>
    <mergeCell ref="F43:H43"/>
    <mergeCell ref="I43:J43"/>
    <mergeCell ref="K43:M43"/>
    <mergeCell ref="N43:O43"/>
    <mergeCell ref="P43:W43"/>
    <mergeCell ref="X43:Z43"/>
    <mergeCell ref="AA44:AD44"/>
    <mergeCell ref="AE44:AI44"/>
    <mergeCell ref="AJ44:AO44"/>
    <mergeCell ref="B44:E44"/>
    <mergeCell ref="F44:H44"/>
    <mergeCell ref="I44:J44"/>
    <mergeCell ref="K44:M44"/>
    <mergeCell ref="N44:O44"/>
    <mergeCell ref="P44:W44"/>
    <mergeCell ref="X44:Z44"/>
    <mergeCell ref="AA45:AD45"/>
    <mergeCell ref="AE45:AI45"/>
    <mergeCell ref="AJ45:AO45"/>
    <mergeCell ref="B45:E45"/>
    <mergeCell ref="F45:H45"/>
    <mergeCell ref="I45:J45"/>
    <mergeCell ref="K45:M45"/>
    <mergeCell ref="N45:O45"/>
    <mergeCell ref="P45:W45"/>
    <mergeCell ref="X45:Z45"/>
    <mergeCell ref="AA46:AD46"/>
    <mergeCell ref="AE46:AI46"/>
    <mergeCell ref="AJ46:AO46"/>
    <mergeCell ref="B46:E46"/>
    <mergeCell ref="F46:H46"/>
    <mergeCell ref="I46:J46"/>
    <mergeCell ref="K46:M46"/>
    <mergeCell ref="N46:O46"/>
    <mergeCell ref="P46:W46"/>
    <mergeCell ref="X46:Z46"/>
    <mergeCell ref="AA47:AD47"/>
    <mergeCell ref="AE47:AI47"/>
    <mergeCell ref="AJ47:AO47"/>
    <mergeCell ref="B47:E47"/>
    <mergeCell ref="F47:H47"/>
    <mergeCell ref="I47:J47"/>
    <mergeCell ref="K47:M47"/>
    <mergeCell ref="N47:O47"/>
    <mergeCell ref="P47:W47"/>
    <mergeCell ref="X47:Z47"/>
    <mergeCell ref="AA48:AD48"/>
    <mergeCell ref="AE48:AI48"/>
    <mergeCell ref="AJ48:AO48"/>
    <mergeCell ref="B48:E48"/>
    <mergeCell ref="F48:H48"/>
    <mergeCell ref="I48:J48"/>
    <mergeCell ref="K48:M48"/>
    <mergeCell ref="N48:O48"/>
    <mergeCell ref="P48:W48"/>
    <mergeCell ref="X48:Z48"/>
    <mergeCell ref="AA49:AD49"/>
    <mergeCell ref="AE49:AI49"/>
    <mergeCell ref="AJ49:AO49"/>
    <mergeCell ref="B49:E49"/>
    <mergeCell ref="F49:H49"/>
    <mergeCell ref="I49:J49"/>
    <mergeCell ref="K49:M49"/>
    <mergeCell ref="N49:O49"/>
    <mergeCell ref="P49:W49"/>
    <mergeCell ref="X49:Z49"/>
    <mergeCell ref="AA50:AD50"/>
    <mergeCell ref="AE50:AI50"/>
    <mergeCell ref="AJ50:AO50"/>
    <mergeCell ref="B50:E50"/>
    <mergeCell ref="F50:H50"/>
    <mergeCell ref="I50:J50"/>
    <mergeCell ref="K50:M50"/>
    <mergeCell ref="N50:O50"/>
    <mergeCell ref="P50:W50"/>
    <mergeCell ref="X50:Z50"/>
    <mergeCell ref="AA51:AD51"/>
    <mergeCell ref="AE51:AI51"/>
    <mergeCell ref="AJ51:AO51"/>
    <mergeCell ref="B51:E51"/>
    <mergeCell ref="F51:H51"/>
    <mergeCell ref="I51:J51"/>
    <mergeCell ref="K51:M51"/>
    <mergeCell ref="N51:O51"/>
    <mergeCell ref="P51:W51"/>
    <mergeCell ref="X51:Z51"/>
    <mergeCell ref="AA52:AD52"/>
    <mergeCell ref="AE52:AI52"/>
    <mergeCell ref="AJ52:AO52"/>
    <mergeCell ref="B52:E52"/>
    <mergeCell ref="F52:H52"/>
    <mergeCell ref="I52:J52"/>
    <mergeCell ref="K52:M52"/>
    <mergeCell ref="N52:O52"/>
    <mergeCell ref="P52:W52"/>
    <mergeCell ref="X52:Z52"/>
    <mergeCell ref="AA53:AD53"/>
    <mergeCell ref="AE53:AI53"/>
    <mergeCell ref="AJ53:AO53"/>
    <mergeCell ref="B53:E53"/>
    <mergeCell ref="F53:H53"/>
    <mergeCell ref="I53:J53"/>
    <mergeCell ref="K53:M53"/>
    <mergeCell ref="N53:O53"/>
    <mergeCell ref="P53:W53"/>
    <mergeCell ref="X53:Z53"/>
    <mergeCell ref="AA54:AD54"/>
    <mergeCell ref="AE54:AI54"/>
    <mergeCell ref="AJ54:AO54"/>
    <mergeCell ref="B54:E54"/>
    <mergeCell ref="F54:H54"/>
    <mergeCell ref="I54:J54"/>
    <mergeCell ref="K54:M54"/>
    <mergeCell ref="N54:O54"/>
    <mergeCell ref="P54:W54"/>
    <mergeCell ref="X54:Z54"/>
    <mergeCell ref="AA55:AD55"/>
    <mergeCell ref="AE55:AI55"/>
    <mergeCell ref="AJ55:AO55"/>
    <mergeCell ref="B55:E55"/>
    <mergeCell ref="F55:H55"/>
    <mergeCell ref="I55:J55"/>
    <mergeCell ref="K55:M55"/>
    <mergeCell ref="N55:O55"/>
    <mergeCell ref="P55:W55"/>
    <mergeCell ref="X55:Z55"/>
    <mergeCell ref="AA56:AD56"/>
    <mergeCell ref="AE56:AI56"/>
    <mergeCell ref="AJ56:AO56"/>
    <mergeCell ref="B56:E56"/>
    <mergeCell ref="F56:H56"/>
    <mergeCell ref="I56:J56"/>
    <mergeCell ref="K56:M56"/>
    <mergeCell ref="N56:O56"/>
    <mergeCell ref="P56:W56"/>
    <mergeCell ref="X56:Z56"/>
    <mergeCell ref="AA57:AD57"/>
    <mergeCell ref="AE57:AI57"/>
    <mergeCell ref="AJ57:AO57"/>
    <mergeCell ref="B57:E57"/>
    <mergeCell ref="F57:H57"/>
    <mergeCell ref="I57:J57"/>
    <mergeCell ref="K57:M57"/>
    <mergeCell ref="N57:O57"/>
    <mergeCell ref="P57:W57"/>
    <mergeCell ref="X57:Z57"/>
    <mergeCell ref="AA58:AD58"/>
    <mergeCell ref="AE58:AI58"/>
    <mergeCell ref="AJ58:AO58"/>
    <mergeCell ref="B58:E58"/>
    <mergeCell ref="F58:H58"/>
    <mergeCell ref="I58:J58"/>
    <mergeCell ref="K58:M58"/>
    <mergeCell ref="N58:O58"/>
    <mergeCell ref="P58:W58"/>
    <mergeCell ref="X58:Z58"/>
    <mergeCell ref="AA59:AD59"/>
    <mergeCell ref="AE59:AI59"/>
    <mergeCell ref="AJ59:AO59"/>
    <mergeCell ref="B59:E59"/>
    <mergeCell ref="F59:H59"/>
    <mergeCell ref="I59:J59"/>
    <mergeCell ref="K59:M59"/>
    <mergeCell ref="N59:O59"/>
    <mergeCell ref="P59:W59"/>
    <mergeCell ref="X59:Z59"/>
    <mergeCell ref="AA60:AD60"/>
    <mergeCell ref="AE60:AI60"/>
    <mergeCell ref="AJ60:AO60"/>
    <mergeCell ref="B60:E60"/>
    <mergeCell ref="F60:H60"/>
    <mergeCell ref="I60:J60"/>
    <mergeCell ref="K60:M60"/>
    <mergeCell ref="N60:O60"/>
    <mergeCell ref="P60:W60"/>
    <mergeCell ref="X60:Z60"/>
    <mergeCell ref="AA61:AD61"/>
    <mergeCell ref="AE61:AI61"/>
    <mergeCell ref="AJ61:AO61"/>
    <mergeCell ref="B61:E61"/>
    <mergeCell ref="F61:H61"/>
    <mergeCell ref="I61:J61"/>
    <mergeCell ref="K61:M61"/>
    <mergeCell ref="N61:O61"/>
    <mergeCell ref="P61:W61"/>
    <mergeCell ref="X61:Z61"/>
    <mergeCell ref="AA62:AD62"/>
    <mergeCell ref="AE62:AI62"/>
    <mergeCell ref="AJ62:AO62"/>
    <mergeCell ref="B62:E62"/>
    <mergeCell ref="F62:H62"/>
    <mergeCell ref="I62:J62"/>
    <mergeCell ref="K62:M62"/>
    <mergeCell ref="N62:O62"/>
    <mergeCell ref="P62:W62"/>
    <mergeCell ref="X62:Z62"/>
    <mergeCell ref="AA63:AD63"/>
    <mergeCell ref="AE63:AI63"/>
    <mergeCell ref="AJ63:AO63"/>
    <mergeCell ref="B63:E63"/>
    <mergeCell ref="F63:H63"/>
    <mergeCell ref="I63:J63"/>
    <mergeCell ref="K63:M63"/>
    <mergeCell ref="N63:O63"/>
    <mergeCell ref="P63:W63"/>
    <mergeCell ref="X63:Z63"/>
    <mergeCell ref="AA64:AD64"/>
    <mergeCell ref="AE64:AI64"/>
    <mergeCell ref="AJ64:AO64"/>
    <mergeCell ref="B64:E64"/>
    <mergeCell ref="F64:H64"/>
    <mergeCell ref="I64:J64"/>
    <mergeCell ref="K64:M64"/>
    <mergeCell ref="N64:O64"/>
    <mergeCell ref="P64:W64"/>
    <mergeCell ref="X64:Z64"/>
    <mergeCell ref="AA65:AD65"/>
    <mergeCell ref="AE65:AI65"/>
    <mergeCell ref="AJ65:AO65"/>
    <mergeCell ref="B65:E65"/>
    <mergeCell ref="F65:H65"/>
    <mergeCell ref="I65:J65"/>
    <mergeCell ref="K65:M65"/>
    <mergeCell ref="N65:O65"/>
    <mergeCell ref="P65:W65"/>
    <mergeCell ref="X65:Z65"/>
    <mergeCell ref="AA66:AD66"/>
    <mergeCell ref="AE66:AI66"/>
    <mergeCell ref="AJ66:AO66"/>
    <mergeCell ref="B66:E66"/>
    <mergeCell ref="F66:H66"/>
    <mergeCell ref="I66:J66"/>
    <mergeCell ref="K66:M66"/>
    <mergeCell ref="N66:O66"/>
    <mergeCell ref="P66:W66"/>
    <mergeCell ref="X66:Z66"/>
    <mergeCell ref="AA67:AD67"/>
    <mergeCell ref="AE67:AI67"/>
    <mergeCell ref="AJ67:AO67"/>
    <mergeCell ref="B67:E67"/>
    <mergeCell ref="F67:H67"/>
    <mergeCell ref="I67:J67"/>
    <mergeCell ref="K67:M67"/>
    <mergeCell ref="N67:O67"/>
    <mergeCell ref="P67:W67"/>
    <mergeCell ref="X67:Z67"/>
    <mergeCell ref="AA68:AD68"/>
    <mergeCell ref="AE68:AI68"/>
    <mergeCell ref="AJ68:AO68"/>
    <mergeCell ref="B68:E68"/>
    <mergeCell ref="F68:H68"/>
    <mergeCell ref="I68:J68"/>
    <mergeCell ref="K68:M68"/>
    <mergeCell ref="N68:O68"/>
    <mergeCell ref="P68:W68"/>
    <mergeCell ref="X68:Z68"/>
    <mergeCell ref="AA69:AD69"/>
    <mergeCell ref="AE69:AI69"/>
    <mergeCell ref="AJ69:AO69"/>
    <mergeCell ref="B69:E69"/>
    <mergeCell ref="F69:H69"/>
    <mergeCell ref="I69:J69"/>
    <mergeCell ref="K69:M69"/>
    <mergeCell ref="N69:O69"/>
    <mergeCell ref="P69:W69"/>
    <mergeCell ref="X69:Z69"/>
    <mergeCell ref="AA70:AD70"/>
    <mergeCell ref="AE70:AI70"/>
    <mergeCell ref="AJ70:AO70"/>
    <mergeCell ref="B70:E70"/>
    <mergeCell ref="F70:H70"/>
    <mergeCell ref="I70:J70"/>
    <mergeCell ref="K70:M70"/>
    <mergeCell ref="N70:O70"/>
    <mergeCell ref="P70:W70"/>
    <mergeCell ref="X70:Z70"/>
    <mergeCell ref="AA71:AD71"/>
    <mergeCell ref="AE71:AI71"/>
    <mergeCell ref="AJ71:AO71"/>
    <mergeCell ref="B71:E71"/>
    <mergeCell ref="F71:H71"/>
    <mergeCell ref="I71:J71"/>
    <mergeCell ref="K71:M71"/>
    <mergeCell ref="N71:O71"/>
    <mergeCell ref="P71:W71"/>
    <mergeCell ref="X71:Z71"/>
    <mergeCell ref="AA72:AD72"/>
    <mergeCell ref="AE72:AI72"/>
    <mergeCell ref="AJ72:AO72"/>
    <mergeCell ref="B72:E72"/>
    <mergeCell ref="F72:H72"/>
    <mergeCell ref="I72:J72"/>
    <mergeCell ref="K72:M72"/>
    <mergeCell ref="N72:O72"/>
    <mergeCell ref="P72:W72"/>
    <mergeCell ref="X72:Z72"/>
    <mergeCell ref="AA73:AD73"/>
    <mergeCell ref="AE73:AI73"/>
    <mergeCell ref="AJ73:AO73"/>
    <mergeCell ref="B73:E73"/>
    <mergeCell ref="F73:H73"/>
    <mergeCell ref="I73:J73"/>
    <mergeCell ref="K73:M73"/>
    <mergeCell ref="N73:O73"/>
    <mergeCell ref="P73:W73"/>
    <mergeCell ref="X73:Z73"/>
    <mergeCell ref="AA74:AD74"/>
    <mergeCell ref="AE74:AI74"/>
    <mergeCell ref="AJ74:AO74"/>
    <mergeCell ref="B74:E74"/>
    <mergeCell ref="F74:H74"/>
    <mergeCell ref="I74:J74"/>
    <mergeCell ref="K74:M74"/>
    <mergeCell ref="N74:O74"/>
    <mergeCell ref="P74:W74"/>
    <mergeCell ref="X74:Z74"/>
    <mergeCell ref="AA75:AD75"/>
    <mergeCell ref="AE75:AI75"/>
    <mergeCell ref="AJ75:AO75"/>
    <mergeCell ref="B75:E75"/>
    <mergeCell ref="F75:H75"/>
    <mergeCell ref="I75:J75"/>
    <mergeCell ref="K75:M75"/>
    <mergeCell ref="N75:O75"/>
    <mergeCell ref="P75:W75"/>
    <mergeCell ref="X75:Z75"/>
    <mergeCell ref="AA76:AD76"/>
    <mergeCell ref="AE76:AI76"/>
    <mergeCell ref="AJ76:AO76"/>
    <mergeCell ref="B76:E76"/>
    <mergeCell ref="F76:H76"/>
    <mergeCell ref="I76:J76"/>
    <mergeCell ref="K76:M76"/>
    <mergeCell ref="N76:O76"/>
    <mergeCell ref="P76:W76"/>
    <mergeCell ref="X76:Z76"/>
    <mergeCell ref="AA77:AD77"/>
    <mergeCell ref="AE77:AI77"/>
    <mergeCell ref="AJ77:AO77"/>
    <mergeCell ref="B77:E77"/>
    <mergeCell ref="F77:H77"/>
    <mergeCell ref="I77:J77"/>
    <mergeCell ref="K77:M77"/>
    <mergeCell ref="N77:O77"/>
    <mergeCell ref="P77:W77"/>
    <mergeCell ref="X77:Z77"/>
    <mergeCell ref="AA78:AD78"/>
    <mergeCell ref="AE78:AI78"/>
    <mergeCell ref="AJ78:AO78"/>
    <mergeCell ref="B78:E78"/>
    <mergeCell ref="F78:H78"/>
    <mergeCell ref="I78:J78"/>
    <mergeCell ref="K78:M78"/>
    <mergeCell ref="N78:O78"/>
    <mergeCell ref="P78:W78"/>
    <mergeCell ref="X78:Z78"/>
    <mergeCell ref="AA79:AD79"/>
    <mergeCell ref="AE79:AI79"/>
    <mergeCell ref="AJ79:AO79"/>
    <mergeCell ref="B79:E79"/>
    <mergeCell ref="F79:H79"/>
    <mergeCell ref="I79:J79"/>
    <mergeCell ref="K79:M79"/>
    <mergeCell ref="N79:O79"/>
    <mergeCell ref="P79:W79"/>
    <mergeCell ref="X79:Z79"/>
    <mergeCell ref="AA80:AD80"/>
    <mergeCell ref="AE80:AI80"/>
    <mergeCell ref="AJ80:AO80"/>
    <mergeCell ref="B80:E80"/>
    <mergeCell ref="F80:H80"/>
    <mergeCell ref="I80:J80"/>
    <mergeCell ref="K80:M80"/>
    <mergeCell ref="N80:O80"/>
    <mergeCell ref="P80:W80"/>
    <mergeCell ref="X80:Z80"/>
    <mergeCell ref="AA81:AD81"/>
    <mergeCell ref="AE81:AI81"/>
    <mergeCell ref="AJ81:AO81"/>
    <mergeCell ref="B81:E81"/>
    <mergeCell ref="F81:H81"/>
    <mergeCell ref="I81:J81"/>
    <mergeCell ref="K81:M81"/>
    <mergeCell ref="N81:O81"/>
    <mergeCell ref="P81:W81"/>
    <mergeCell ref="X81:Z81"/>
    <mergeCell ref="AA82:AD82"/>
    <mergeCell ref="AE82:AI82"/>
    <mergeCell ref="AJ82:AO82"/>
    <mergeCell ref="B82:E82"/>
    <mergeCell ref="F82:H82"/>
    <mergeCell ref="I82:J82"/>
    <mergeCell ref="K82:M82"/>
    <mergeCell ref="N82:O82"/>
    <mergeCell ref="P82:W82"/>
    <mergeCell ref="X82:Z82"/>
    <mergeCell ref="AA83:AD83"/>
    <mergeCell ref="AE83:AI83"/>
    <mergeCell ref="AJ83:AO83"/>
    <mergeCell ref="B83:E83"/>
    <mergeCell ref="F83:H83"/>
    <mergeCell ref="I83:J83"/>
    <mergeCell ref="K83:M83"/>
    <mergeCell ref="N83:O83"/>
    <mergeCell ref="P83:W83"/>
    <mergeCell ref="X83:Z83"/>
    <mergeCell ref="AA84:AD84"/>
    <mergeCell ref="AE84:AI84"/>
    <mergeCell ref="AJ84:AO84"/>
    <mergeCell ref="B84:E84"/>
    <mergeCell ref="F84:H84"/>
    <mergeCell ref="I84:J84"/>
    <mergeCell ref="K84:M84"/>
    <mergeCell ref="N84:O84"/>
    <mergeCell ref="P84:W84"/>
    <mergeCell ref="X84:Z84"/>
    <mergeCell ref="AA85:AD85"/>
    <mergeCell ref="AE85:AI85"/>
    <mergeCell ref="AJ85:AO85"/>
    <mergeCell ref="B85:E85"/>
    <mergeCell ref="F85:H85"/>
    <mergeCell ref="I85:J85"/>
    <mergeCell ref="K85:M85"/>
    <mergeCell ref="N85:O85"/>
    <mergeCell ref="P85:W85"/>
    <mergeCell ref="X85:Z85"/>
    <mergeCell ref="AA86:AD86"/>
    <mergeCell ref="AE86:AI86"/>
    <mergeCell ref="AJ86:AO86"/>
    <mergeCell ref="B86:E86"/>
    <mergeCell ref="F86:H86"/>
    <mergeCell ref="I86:J86"/>
    <mergeCell ref="K86:M86"/>
    <mergeCell ref="N86:O86"/>
    <mergeCell ref="P86:W86"/>
    <mergeCell ref="X86:Z86"/>
    <mergeCell ref="AA87:AD87"/>
    <mergeCell ref="AE87:AI87"/>
    <mergeCell ref="AJ87:AO87"/>
    <mergeCell ref="B87:E87"/>
    <mergeCell ref="F87:H87"/>
    <mergeCell ref="I87:J87"/>
    <mergeCell ref="K87:M87"/>
    <mergeCell ref="N87:O87"/>
    <mergeCell ref="P87:W87"/>
    <mergeCell ref="X87:Z87"/>
    <mergeCell ref="AA88:AD88"/>
    <mergeCell ref="AE88:AI88"/>
    <mergeCell ref="AJ88:AO88"/>
    <mergeCell ref="B88:E88"/>
    <mergeCell ref="F88:H88"/>
    <mergeCell ref="I88:J88"/>
    <mergeCell ref="K88:M88"/>
    <mergeCell ref="N88:O88"/>
    <mergeCell ref="P88:W88"/>
    <mergeCell ref="X88:Z88"/>
    <mergeCell ref="AA89:AD89"/>
    <mergeCell ref="AE89:AI89"/>
    <mergeCell ref="AJ89:AO89"/>
    <mergeCell ref="B89:E89"/>
    <mergeCell ref="F89:H89"/>
    <mergeCell ref="I89:J89"/>
    <mergeCell ref="K89:M89"/>
    <mergeCell ref="N89:O89"/>
    <mergeCell ref="P89:W89"/>
    <mergeCell ref="X89:Z89"/>
    <mergeCell ref="AA90:AD90"/>
    <mergeCell ref="AE90:AI90"/>
    <mergeCell ref="AJ90:AO90"/>
    <mergeCell ref="B90:E90"/>
    <mergeCell ref="F90:H90"/>
    <mergeCell ref="I90:J90"/>
    <mergeCell ref="K90:M90"/>
    <mergeCell ref="N90:O90"/>
    <mergeCell ref="P90:W90"/>
    <mergeCell ref="X90:Z90"/>
    <mergeCell ref="AA91:AD91"/>
    <mergeCell ref="AE91:AI91"/>
    <mergeCell ref="AJ91:AO91"/>
    <mergeCell ref="B91:E91"/>
    <mergeCell ref="F91:H91"/>
    <mergeCell ref="I91:J91"/>
    <mergeCell ref="K91:M91"/>
    <mergeCell ref="N91:O91"/>
    <mergeCell ref="P91:W91"/>
    <mergeCell ref="X91:Z91"/>
    <mergeCell ref="AA92:AD92"/>
    <mergeCell ref="AE92:AI92"/>
    <mergeCell ref="AJ92:AO92"/>
    <mergeCell ref="B92:E92"/>
    <mergeCell ref="F92:H92"/>
    <mergeCell ref="I92:J92"/>
    <mergeCell ref="K92:M92"/>
    <mergeCell ref="N92:O92"/>
    <mergeCell ref="P92:W92"/>
    <mergeCell ref="X92:Z92"/>
    <mergeCell ref="AA93:AD93"/>
    <mergeCell ref="AE93:AI93"/>
    <mergeCell ref="AJ93:AO93"/>
    <mergeCell ref="B93:E93"/>
    <mergeCell ref="F93:H93"/>
    <mergeCell ref="I93:J93"/>
    <mergeCell ref="K93:M93"/>
    <mergeCell ref="N93:O93"/>
    <mergeCell ref="P93:W93"/>
    <mergeCell ref="X93:Z93"/>
    <mergeCell ref="AA94:AD94"/>
    <mergeCell ref="AE94:AI94"/>
    <mergeCell ref="AJ94:AO94"/>
    <mergeCell ref="B94:E94"/>
    <mergeCell ref="F94:H94"/>
    <mergeCell ref="I94:J94"/>
    <mergeCell ref="K94:M94"/>
    <mergeCell ref="N94:O94"/>
    <mergeCell ref="P94:W94"/>
    <mergeCell ref="X94:Z94"/>
    <mergeCell ref="AA95:AD95"/>
    <mergeCell ref="AE95:AI95"/>
    <mergeCell ref="AJ95:AO95"/>
    <mergeCell ref="B95:E95"/>
    <mergeCell ref="F95:H95"/>
    <mergeCell ref="I95:J95"/>
    <mergeCell ref="K95:M95"/>
    <mergeCell ref="N95:O95"/>
    <mergeCell ref="P95:W95"/>
    <mergeCell ref="X95:Z95"/>
    <mergeCell ref="AA96:AD96"/>
    <mergeCell ref="AE96:AI96"/>
    <mergeCell ref="AJ96:AO96"/>
    <mergeCell ref="B96:E96"/>
    <mergeCell ref="F96:H96"/>
    <mergeCell ref="I96:J96"/>
    <mergeCell ref="K96:M96"/>
    <mergeCell ref="N96:O96"/>
    <mergeCell ref="P96:W96"/>
    <mergeCell ref="X96:Z96"/>
    <mergeCell ref="AA97:AD97"/>
    <mergeCell ref="AE97:AI97"/>
    <mergeCell ref="AJ97:AO97"/>
    <mergeCell ref="B97:E97"/>
    <mergeCell ref="F97:H97"/>
    <mergeCell ref="I97:J97"/>
    <mergeCell ref="K97:M97"/>
    <mergeCell ref="N97:O97"/>
    <mergeCell ref="P97:W97"/>
    <mergeCell ref="X97:Z97"/>
    <mergeCell ref="AA98:AD98"/>
    <mergeCell ref="AE98:AI98"/>
    <mergeCell ref="AJ98:AO98"/>
    <mergeCell ref="B98:E98"/>
    <mergeCell ref="F98:H98"/>
    <mergeCell ref="I98:J98"/>
    <mergeCell ref="K98:M98"/>
    <mergeCell ref="N98:O98"/>
    <mergeCell ref="P98:W98"/>
    <mergeCell ref="X98:Z98"/>
    <mergeCell ref="AA99:AD99"/>
    <mergeCell ref="AE99:AI99"/>
    <mergeCell ref="AJ99:AO99"/>
    <mergeCell ref="B99:E99"/>
    <mergeCell ref="F99:H99"/>
    <mergeCell ref="I99:J99"/>
    <mergeCell ref="K99:M99"/>
    <mergeCell ref="N99:O99"/>
    <mergeCell ref="P99:W99"/>
    <mergeCell ref="X99:Z99"/>
    <mergeCell ref="AA100:AD100"/>
    <mergeCell ref="AE100:AI100"/>
    <mergeCell ref="AJ100:AO100"/>
    <mergeCell ref="B100:E100"/>
    <mergeCell ref="F100:H100"/>
    <mergeCell ref="I100:J100"/>
    <mergeCell ref="K100:M100"/>
    <mergeCell ref="N100:O100"/>
    <mergeCell ref="P100:W100"/>
    <mergeCell ref="X100:Z100"/>
    <mergeCell ref="AA101:AD101"/>
    <mergeCell ref="AE101:AI101"/>
    <mergeCell ref="AJ101:AO101"/>
    <mergeCell ref="B101:E101"/>
    <mergeCell ref="F101:H101"/>
    <mergeCell ref="I101:J101"/>
    <mergeCell ref="K101:M101"/>
    <mergeCell ref="N101:O101"/>
    <mergeCell ref="P101:W101"/>
    <mergeCell ref="X101:Z101"/>
    <mergeCell ref="AA102:AD102"/>
    <mergeCell ref="AE102:AI102"/>
    <mergeCell ref="AJ102:AO102"/>
    <mergeCell ref="B102:E102"/>
    <mergeCell ref="F102:H102"/>
    <mergeCell ref="I102:J102"/>
    <mergeCell ref="K102:M102"/>
    <mergeCell ref="N102:O102"/>
    <mergeCell ref="P102:W102"/>
    <mergeCell ref="X102:Z102"/>
    <mergeCell ref="AA103:AD103"/>
    <mergeCell ref="AE103:AI103"/>
    <mergeCell ref="AJ103:AO103"/>
    <mergeCell ref="B103:E103"/>
    <mergeCell ref="F103:H103"/>
    <mergeCell ref="I103:J103"/>
    <mergeCell ref="K103:M103"/>
    <mergeCell ref="N103:O103"/>
    <mergeCell ref="P103:W103"/>
    <mergeCell ref="X103:Z103"/>
    <mergeCell ref="AA104:AD104"/>
    <mergeCell ref="AE104:AI104"/>
    <mergeCell ref="AJ104:AO104"/>
    <mergeCell ref="B104:E104"/>
    <mergeCell ref="F104:H104"/>
    <mergeCell ref="I104:J104"/>
    <mergeCell ref="K104:M104"/>
    <mergeCell ref="N104:O104"/>
    <mergeCell ref="P104:W104"/>
    <mergeCell ref="X104:Z104"/>
    <mergeCell ref="AA105:AD105"/>
    <mergeCell ref="AE105:AI105"/>
    <mergeCell ref="AJ105:AO105"/>
    <mergeCell ref="B105:E105"/>
    <mergeCell ref="F105:H105"/>
    <mergeCell ref="I105:J105"/>
    <mergeCell ref="K105:M105"/>
    <mergeCell ref="N105:O105"/>
    <mergeCell ref="P105:W105"/>
    <mergeCell ref="X105:Z105"/>
    <mergeCell ref="AA155:AD155"/>
    <mergeCell ref="AE155:AI155"/>
    <mergeCell ref="AJ155:AO155"/>
    <mergeCell ref="B155:E155"/>
    <mergeCell ref="F155:H155"/>
    <mergeCell ref="I155:J155"/>
    <mergeCell ref="K155:M155"/>
    <mergeCell ref="N155:O155"/>
    <mergeCell ref="P155:W155"/>
    <mergeCell ref="X155:Z155"/>
    <mergeCell ref="AA156:AD156"/>
    <mergeCell ref="AE156:AI156"/>
    <mergeCell ref="AJ156:AO156"/>
    <mergeCell ref="B156:E156"/>
    <mergeCell ref="F156:H156"/>
    <mergeCell ref="I156:J156"/>
    <mergeCell ref="K156:M156"/>
    <mergeCell ref="N156:O156"/>
    <mergeCell ref="P156:W156"/>
    <mergeCell ref="X156:Z156"/>
    <mergeCell ref="AA157:AD157"/>
    <mergeCell ref="AE157:AI157"/>
    <mergeCell ref="AJ157:AO157"/>
    <mergeCell ref="B157:E157"/>
    <mergeCell ref="F157:H157"/>
    <mergeCell ref="I157:J157"/>
    <mergeCell ref="K157:M157"/>
    <mergeCell ref="N157:O157"/>
    <mergeCell ref="P157:W157"/>
    <mergeCell ref="X157:Z157"/>
    <mergeCell ref="AA158:AD158"/>
    <mergeCell ref="AE158:AI158"/>
    <mergeCell ref="AJ158:AO158"/>
    <mergeCell ref="B158:E158"/>
    <mergeCell ref="F158:H158"/>
    <mergeCell ref="I158:J158"/>
    <mergeCell ref="K158:M158"/>
    <mergeCell ref="N158:O158"/>
    <mergeCell ref="P158:W158"/>
    <mergeCell ref="X158:Z158"/>
    <mergeCell ref="AA159:AD159"/>
    <mergeCell ref="AE159:AI159"/>
    <mergeCell ref="AJ159:AO159"/>
    <mergeCell ref="B159:E159"/>
    <mergeCell ref="F159:H159"/>
    <mergeCell ref="I159:J159"/>
    <mergeCell ref="K159:M159"/>
    <mergeCell ref="N159:O159"/>
    <mergeCell ref="P159:W159"/>
    <mergeCell ref="X159:Z159"/>
    <mergeCell ref="AA160:AD160"/>
    <mergeCell ref="AE160:AI160"/>
    <mergeCell ref="AJ160:AO160"/>
    <mergeCell ref="B160:E160"/>
    <mergeCell ref="F160:H160"/>
    <mergeCell ref="I160:J160"/>
    <mergeCell ref="K160:M160"/>
    <mergeCell ref="N160:O160"/>
    <mergeCell ref="P160:W160"/>
    <mergeCell ref="X160:Z160"/>
    <mergeCell ref="AA161:AD161"/>
    <mergeCell ref="AE161:AI161"/>
    <mergeCell ref="AJ161:AO161"/>
    <mergeCell ref="B161:E161"/>
    <mergeCell ref="F161:H161"/>
    <mergeCell ref="I161:J161"/>
    <mergeCell ref="K161:M161"/>
    <mergeCell ref="N161:O161"/>
    <mergeCell ref="P161:W161"/>
    <mergeCell ref="X161:Z161"/>
    <mergeCell ref="AA162:AD162"/>
    <mergeCell ref="AE162:AI162"/>
    <mergeCell ref="AJ162:AO162"/>
    <mergeCell ref="B162:E162"/>
    <mergeCell ref="F162:H162"/>
    <mergeCell ref="I162:J162"/>
    <mergeCell ref="K162:M162"/>
    <mergeCell ref="N162:O162"/>
    <mergeCell ref="P162:W162"/>
    <mergeCell ref="X162:Z162"/>
    <mergeCell ref="AA163:AD163"/>
    <mergeCell ref="AE163:AI163"/>
    <mergeCell ref="AJ163:AO163"/>
    <mergeCell ref="B163:E163"/>
    <mergeCell ref="F163:H163"/>
    <mergeCell ref="I163:J163"/>
    <mergeCell ref="K163:M163"/>
    <mergeCell ref="N163:O163"/>
    <mergeCell ref="P163:W163"/>
    <mergeCell ref="X163:Z163"/>
    <mergeCell ref="AA164:AD164"/>
    <mergeCell ref="AE164:AI164"/>
    <mergeCell ref="AJ164:AO164"/>
    <mergeCell ref="B164:E164"/>
    <mergeCell ref="F164:H164"/>
    <mergeCell ref="I164:J164"/>
    <mergeCell ref="K164:M164"/>
    <mergeCell ref="N164:O164"/>
    <mergeCell ref="P164:W164"/>
    <mergeCell ref="X164:Z164"/>
    <mergeCell ref="AA165:AD165"/>
    <mergeCell ref="AE165:AI165"/>
    <mergeCell ref="AJ165:AO165"/>
    <mergeCell ref="B165:E165"/>
    <mergeCell ref="F165:H165"/>
    <mergeCell ref="I165:J165"/>
    <mergeCell ref="K165:M165"/>
    <mergeCell ref="N165:O165"/>
    <mergeCell ref="P165:W165"/>
    <mergeCell ref="X165:Z165"/>
    <mergeCell ref="AA166:AD166"/>
    <mergeCell ref="AE166:AI166"/>
    <mergeCell ref="AJ166:AO166"/>
    <mergeCell ref="B166:E166"/>
    <mergeCell ref="F166:H166"/>
    <mergeCell ref="I166:J166"/>
    <mergeCell ref="K166:M166"/>
    <mergeCell ref="N166:O166"/>
    <mergeCell ref="P166:W166"/>
    <mergeCell ref="X166:Z166"/>
    <mergeCell ref="AA167:AD167"/>
    <mergeCell ref="AE167:AI167"/>
    <mergeCell ref="AJ167:AO167"/>
    <mergeCell ref="B167:E167"/>
    <mergeCell ref="F167:H167"/>
    <mergeCell ref="I167:J167"/>
    <mergeCell ref="K167:M167"/>
    <mergeCell ref="N167:O167"/>
    <mergeCell ref="P167:W167"/>
    <mergeCell ref="X167:Z167"/>
    <mergeCell ref="AA168:AD168"/>
    <mergeCell ref="AE168:AI168"/>
    <mergeCell ref="AJ168:AO168"/>
    <mergeCell ref="B168:E168"/>
    <mergeCell ref="F168:H168"/>
    <mergeCell ref="I168:J168"/>
    <mergeCell ref="K168:M168"/>
    <mergeCell ref="N168:O168"/>
    <mergeCell ref="P168:W168"/>
    <mergeCell ref="X168:Z168"/>
    <mergeCell ref="AA169:AD169"/>
    <mergeCell ref="AE169:AI169"/>
    <mergeCell ref="AJ169:AO169"/>
    <mergeCell ref="B169:E169"/>
    <mergeCell ref="F169:H169"/>
    <mergeCell ref="I169:J169"/>
    <mergeCell ref="K169:M169"/>
    <mergeCell ref="N169:O169"/>
    <mergeCell ref="P169:W169"/>
    <mergeCell ref="X169:Z169"/>
    <mergeCell ref="AA170:AD170"/>
    <mergeCell ref="AE170:AI170"/>
    <mergeCell ref="AJ170:AO170"/>
    <mergeCell ref="B170:E170"/>
    <mergeCell ref="F170:H170"/>
    <mergeCell ref="I170:J170"/>
    <mergeCell ref="K170:M170"/>
    <mergeCell ref="N170:O170"/>
    <mergeCell ref="P170:W170"/>
    <mergeCell ref="X170:Z170"/>
    <mergeCell ref="AA171:AD171"/>
    <mergeCell ref="AE171:AI171"/>
    <mergeCell ref="AJ171:AO171"/>
    <mergeCell ref="B171:E171"/>
    <mergeCell ref="F171:H171"/>
    <mergeCell ref="I171:J171"/>
    <mergeCell ref="K171:M171"/>
    <mergeCell ref="N171:O171"/>
    <mergeCell ref="P171:W171"/>
    <mergeCell ref="X171:Z171"/>
    <mergeCell ref="AA172:AD172"/>
    <mergeCell ref="AE172:AI172"/>
    <mergeCell ref="AJ172:AO172"/>
    <mergeCell ref="B172:E172"/>
    <mergeCell ref="F172:H172"/>
    <mergeCell ref="I172:J172"/>
    <mergeCell ref="K172:M172"/>
    <mergeCell ref="N172:O172"/>
    <mergeCell ref="P172:W172"/>
    <mergeCell ref="X172:Z172"/>
    <mergeCell ref="AA173:AD173"/>
    <mergeCell ref="AE173:AI173"/>
    <mergeCell ref="AJ173:AO173"/>
    <mergeCell ref="B173:E173"/>
    <mergeCell ref="F173:H173"/>
    <mergeCell ref="I173:J173"/>
    <mergeCell ref="K173:M173"/>
    <mergeCell ref="N173:O173"/>
    <mergeCell ref="P173:W173"/>
    <mergeCell ref="X173:Z173"/>
    <mergeCell ref="AA174:AD174"/>
    <mergeCell ref="AE174:AI174"/>
    <mergeCell ref="AJ174:AO174"/>
    <mergeCell ref="B174:E174"/>
    <mergeCell ref="F174:H174"/>
    <mergeCell ref="I174:J174"/>
    <mergeCell ref="K174:M174"/>
    <mergeCell ref="N174:O174"/>
    <mergeCell ref="P174:W174"/>
    <mergeCell ref="X174:Z174"/>
    <mergeCell ref="AA175:AD175"/>
    <mergeCell ref="AE175:AI175"/>
    <mergeCell ref="AJ175:AO175"/>
    <mergeCell ref="B175:E175"/>
    <mergeCell ref="F175:H175"/>
    <mergeCell ref="I175:J175"/>
    <mergeCell ref="K175:M175"/>
    <mergeCell ref="N175:O175"/>
    <mergeCell ref="P175:W175"/>
    <mergeCell ref="X175:Z175"/>
    <mergeCell ref="AA176:AD176"/>
    <mergeCell ref="AE176:AI176"/>
    <mergeCell ref="AJ176:AO176"/>
    <mergeCell ref="B176:E176"/>
    <mergeCell ref="F176:H176"/>
    <mergeCell ref="I176:J176"/>
    <mergeCell ref="K176:M176"/>
    <mergeCell ref="N176:O176"/>
    <mergeCell ref="P176:W176"/>
    <mergeCell ref="X176:Z176"/>
    <mergeCell ref="AA177:AD177"/>
    <mergeCell ref="AE177:AI177"/>
    <mergeCell ref="AJ177:AO177"/>
    <mergeCell ref="B177:E177"/>
    <mergeCell ref="F177:H177"/>
    <mergeCell ref="I177:J177"/>
    <mergeCell ref="K177:M177"/>
    <mergeCell ref="N177:O177"/>
    <mergeCell ref="P177:W177"/>
    <mergeCell ref="X177:Z177"/>
    <mergeCell ref="AA178:AD178"/>
    <mergeCell ref="AE178:AI178"/>
    <mergeCell ref="AJ178:AO178"/>
    <mergeCell ref="B178:E178"/>
    <mergeCell ref="F178:H178"/>
    <mergeCell ref="I178:J178"/>
    <mergeCell ref="K178:M178"/>
    <mergeCell ref="N178:O178"/>
    <mergeCell ref="P178:W178"/>
    <mergeCell ref="X178:Z178"/>
    <mergeCell ref="AA179:AD179"/>
    <mergeCell ref="AE179:AI179"/>
    <mergeCell ref="AJ179:AO179"/>
    <mergeCell ref="B179:E179"/>
    <mergeCell ref="F179:H179"/>
    <mergeCell ref="I179:J179"/>
    <mergeCell ref="K179:M179"/>
    <mergeCell ref="N179:O179"/>
    <mergeCell ref="P179:W179"/>
    <mergeCell ref="X179:Z179"/>
    <mergeCell ref="AA180:AD180"/>
    <mergeCell ref="AE180:AI180"/>
    <mergeCell ref="AJ180:AO180"/>
    <mergeCell ref="B180:E180"/>
    <mergeCell ref="F180:H180"/>
    <mergeCell ref="I180:J180"/>
    <mergeCell ref="K180:M180"/>
    <mergeCell ref="N180:O180"/>
    <mergeCell ref="P180:W180"/>
    <mergeCell ref="X180:Z180"/>
    <mergeCell ref="AA181:AD181"/>
    <mergeCell ref="AE181:AI181"/>
    <mergeCell ref="AJ181:AO181"/>
    <mergeCell ref="B181:E181"/>
    <mergeCell ref="F181:H181"/>
    <mergeCell ref="I181:J181"/>
    <mergeCell ref="K181:M181"/>
    <mergeCell ref="N181:O181"/>
    <mergeCell ref="P181:W181"/>
    <mergeCell ref="X181:Z181"/>
    <mergeCell ref="AA182:AD182"/>
    <mergeCell ref="AE182:AI182"/>
    <mergeCell ref="AJ182:AO182"/>
    <mergeCell ref="B182:E182"/>
    <mergeCell ref="F182:H182"/>
    <mergeCell ref="I182:J182"/>
    <mergeCell ref="K182:M182"/>
    <mergeCell ref="N182:O182"/>
    <mergeCell ref="P182:W182"/>
    <mergeCell ref="X182:Z182"/>
    <mergeCell ref="AA183:AD183"/>
    <mergeCell ref="AE183:AI183"/>
    <mergeCell ref="AJ183:AO183"/>
    <mergeCell ref="B183:E183"/>
    <mergeCell ref="F183:H183"/>
    <mergeCell ref="I183:J183"/>
    <mergeCell ref="K183:M183"/>
    <mergeCell ref="N183:O183"/>
    <mergeCell ref="P183:W183"/>
    <mergeCell ref="X183:Z183"/>
    <mergeCell ref="AA184:AD184"/>
    <mergeCell ref="AE184:AI184"/>
    <mergeCell ref="AJ184:AO184"/>
    <mergeCell ref="B184:E184"/>
    <mergeCell ref="F184:H184"/>
    <mergeCell ref="I184:J184"/>
    <mergeCell ref="K184:M184"/>
    <mergeCell ref="N184:O184"/>
    <mergeCell ref="P184:W184"/>
    <mergeCell ref="X184:Z184"/>
    <mergeCell ref="AA185:AD185"/>
    <mergeCell ref="AE185:AI185"/>
    <mergeCell ref="AJ185:AO185"/>
    <mergeCell ref="B185:E185"/>
    <mergeCell ref="F185:H185"/>
    <mergeCell ref="I185:J185"/>
    <mergeCell ref="K185:M185"/>
    <mergeCell ref="N185:O185"/>
    <mergeCell ref="P185:W185"/>
    <mergeCell ref="X185:Z185"/>
    <mergeCell ref="AA186:AD186"/>
    <mergeCell ref="AE186:AI186"/>
    <mergeCell ref="AJ186:AO186"/>
    <mergeCell ref="B186:E186"/>
    <mergeCell ref="F186:H186"/>
    <mergeCell ref="I186:J186"/>
    <mergeCell ref="K186:M186"/>
    <mergeCell ref="N186:O186"/>
    <mergeCell ref="P186:W186"/>
    <mergeCell ref="X186:Z186"/>
    <mergeCell ref="AA187:AD187"/>
    <mergeCell ref="AE187:AI187"/>
    <mergeCell ref="AJ187:AO187"/>
    <mergeCell ref="B187:E187"/>
    <mergeCell ref="F187:H187"/>
    <mergeCell ref="I187:J187"/>
    <mergeCell ref="K187:M187"/>
    <mergeCell ref="N187:O187"/>
    <mergeCell ref="P187:W187"/>
    <mergeCell ref="X187:Z187"/>
    <mergeCell ref="AA188:AD188"/>
    <mergeCell ref="AE188:AI188"/>
    <mergeCell ref="AJ188:AO188"/>
    <mergeCell ref="B188:E188"/>
    <mergeCell ref="F188:H188"/>
    <mergeCell ref="I188:J188"/>
    <mergeCell ref="K188:M188"/>
    <mergeCell ref="N188:O188"/>
    <mergeCell ref="P188:W188"/>
    <mergeCell ref="X188:Z188"/>
    <mergeCell ref="AA189:AD189"/>
    <mergeCell ref="AE189:AI189"/>
    <mergeCell ref="AJ189:AO189"/>
    <mergeCell ref="B189:E189"/>
    <mergeCell ref="F189:H189"/>
    <mergeCell ref="I189:J189"/>
    <mergeCell ref="K189:M189"/>
    <mergeCell ref="N189:O189"/>
    <mergeCell ref="P189:W189"/>
    <mergeCell ref="X189:Z189"/>
    <mergeCell ref="AA197:AD197"/>
    <mergeCell ref="AE197:AI197"/>
    <mergeCell ref="AJ197:AO197"/>
    <mergeCell ref="B197:E197"/>
    <mergeCell ref="F197:H197"/>
    <mergeCell ref="I197:J197"/>
    <mergeCell ref="K197:M197"/>
    <mergeCell ref="N197:O197"/>
    <mergeCell ref="P197:W197"/>
    <mergeCell ref="X197:Z197"/>
    <mergeCell ref="AA198:AD198"/>
    <mergeCell ref="AE198:AI198"/>
    <mergeCell ref="AJ198:AO198"/>
    <mergeCell ref="B198:E198"/>
    <mergeCell ref="F198:H198"/>
    <mergeCell ref="I198:J198"/>
    <mergeCell ref="K198:M198"/>
    <mergeCell ref="N198:O198"/>
    <mergeCell ref="P198:W198"/>
    <mergeCell ref="X198:Z198"/>
    <mergeCell ref="AA199:AD199"/>
    <mergeCell ref="AE199:AI199"/>
    <mergeCell ref="AJ199:AO199"/>
    <mergeCell ref="B199:E199"/>
    <mergeCell ref="F199:H199"/>
    <mergeCell ref="I199:J199"/>
    <mergeCell ref="K199:M199"/>
    <mergeCell ref="N199:O199"/>
    <mergeCell ref="P199:W199"/>
    <mergeCell ref="X199:Z199"/>
    <mergeCell ref="AA200:AD200"/>
    <mergeCell ref="AE200:AI200"/>
    <mergeCell ref="AJ200:AO200"/>
    <mergeCell ref="B200:E200"/>
    <mergeCell ref="F200:H200"/>
    <mergeCell ref="I200:J200"/>
    <mergeCell ref="K200:M200"/>
    <mergeCell ref="N200:O200"/>
    <mergeCell ref="P200:W200"/>
    <mergeCell ref="X200:Z200"/>
    <mergeCell ref="P2:AA3"/>
    <mergeCell ref="P4:AA4"/>
    <mergeCell ref="O1:O4"/>
    <mergeCell ref="P1:AA1"/>
    <mergeCell ref="AB1:AB4"/>
    <mergeCell ref="B2:N2"/>
    <mergeCell ref="AC2:AO2"/>
    <mergeCell ref="B3:N4"/>
    <mergeCell ref="AC3:AO4"/>
    <mergeCell ref="AA5:AD6"/>
    <mergeCell ref="AE5:AI6"/>
    <mergeCell ref="AJ5:AO6"/>
    <mergeCell ref="B5:E6"/>
    <mergeCell ref="F5:H6"/>
    <mergeCell ref="I5:J6"/>
    <mergeCell ref="K5:M6"/>
    <mergeCell ref="N5:O6"/>
    <mergeCell ref="P5:W6"/>
    <mergeCell ref="X5:Z6"/>
    <mergeCell ref="AA7:AD7"/>
    <mergeCell ref="AE7:AI7"/>
    <mergeCell ref="AJ7:AO7"/>
    <mergeCell ref="B7:E7"/>
    <mergeCell ref="F7:H7"/>
    <mergeCell ref="I7:J7"/>
    <mergeCell ref="K7:M7"/>
    <mergeCell ref="N7:O7"/>
    <mergeCell ref="P7:W7"/>
    <mergeCell ref="X7:Z7"/>
    <mergeCell ref="AA201:AD201"/>
    <mergeCell ref="AE201:AI201"/>
    <mergeCell ref="AJ201:AO201"/>
    <mergeCell ref="B201:E201"/>
    <mergeCell ref="F201:H201"/>
    <mergeCell ref="I201:J201"/>
    <mergeCell ref="K201:M201"/>
    <mergeCell ref="N201:O201"/>
    <mergeCell ref="P201:W201"/>
    <mergeCell ref="X201:Z201"/>
    <mergeCell ref="AA190:AD190"/>
    <mergeCell ref="AE190:AI190"/>
    <mergeCell ref="AJ190:AO190"/>
    <mergeCell ref="B190:E190"/>
    <mergeCell ref="F190:H190"/>
    <mergeCell ref="I190:J190"/>
    <mergeCell ref="K190:M190"/>
    <mergeCell ref="N190:O190"/>
    <mergeCell ref="P190:W190"/>
    <mergeCell ref="X190:Z190"/>
    <mergeCell ref="AA191:AD191"/>
    <mergeCell ref="AE191:AI191"/>
    <mergeCell ref="AJ191:AO191"/>
    <mergeCell ref="B191:E191"/>
    <mergeCell ref="F191:H191"/>
    <mergeCell ref="I191:J191"/>
    <mergeCell ref="K191:M191"/>
    <mergeCell ref="N191:O191"/>
    <mergeCell ref="P191:W191"/>
    <mergeCell ref="X191:Z191"/>
    <mergeCell ref="AA192:AD192"/>
    <mergeCell ref="AE192:AI192"/>
    <mergeCell ref="AJ192:AO192"/>
    <mergeCell ref="B192:E192"/>
    <mergeCell ref="F192:H192"/>
    <mergeCell ref="I192:J192"/>
    <mergeCell ref="K192:M192"/>
    <mergeCell ref="N192:O192"/>
    <mergeCell ref="P192:W192"/>
    <mergeCell ref="X192:Z192"/>
    <mergeCell ref="AA193:AD193"/>
    <mergeCell ref="AE193:AI193"/>
    <mergeCell ref="AJ193:AO193"/>
    <mergeCell ref="B193:E193"/>
    <mergeCell ref="F193:H193"/>
    <mergeCell ref="I193:J193"/>
    <mergeCell ref="K193:M193"/>
    <mergeCell ref="N193:O193"/>
    <mergeCell ref="P193:W193"/>
    <mergeCell ref="X193:Z193"/>
    <mergeCell ref="AA194:AD194"/>
    <mergeCell ref="AE194:AI194"/>
    <mergeCell ref="AJ194:AO194"/>
    <mergeCell ref="B194:E194"/>
    <mergeCell ref="F194:H194"/>
    <mergeCell ref="I194:J194"/>
    <mergeCell ref="K194:M194"/>
    <mergeCell ref="N194:O194"/>
    <mergeCell ref="P194:W194"/>
    <mergeCell ref="X194:Z194"/>
    <mergeCell ref="AA195:AD195"/>
    <mergeCell ref="AE195:AI195"/>
    <mergeCell ref="AJ195:AO195"/>
    <mergeCell ref="B195:E195"/>
    <mergeCell ref="F195:H195"/>
    <mergeCell ref="I195:J195"/>
    <mergeCell ref="K195:M195"/>
    <mergeCell ref="N195:O195"/>
    <mergeCell ref="P195:W195"/>
    <mergeCell ref="X195:Z195"/>
    <mergeCell ref="AA196:AD196"/>
    <mergeCell ref="AE196:AI196"/>
    <mergeCell ref="AJ196:AO196"/>
    <mergeCell ref="B196:E196"/>
    <mergeCell ref="F196:H196"/>
    <mergeCell ref="I196:J196"/>
    <mergeCell ref="K196:M196"/>
    <mergeCell ref="N196:O196"/>
    <mergeCell ref="P196:W196"/>
    <mergeCell ref="X196:Z196"/>
    <mergeCell ref="AA106:AD106"/>
    <mergeCell ref="AE106:AI106"/>
    <mergeCell ref="AJ106:AO106"/>
    <mergeCell ref="B106:E106"/>
    <mergeCell ref="F106:H106"/>
    <mergeCell ref="I106:J106"/>
    <mergeCell ref="K106:M106"/>
    <mergeCell ref="N106:O106"/>
    <mergeCell ref="P106:W106"/>
    <mergeCell ref="X106:Z106"/>
    <mergeCell ref="AA107:AD107"/>
    <mergeCell ref="AE107:AI107"/>
    <mergeCell ref="AJ107:AO107"/>
    <mergeCell ref="B107:E107"/>
    <mergeCell ref="F107:H107"/>
    <mergeCell ref="I107:J107"/>
    <mergeCell ref="K107:M107"/>
    <mergeCell ref="N107:O107"/>
    <mergeCell ref="P107:W107"/>
    <mergeCell ref="X107:Z107"/>
    <mergeCell ref="AA108:AD108"/>
    <mergeCell ref="AE108:AI108"/>
    <mergeCell ref="AJ108:AO108"/>
    <mergeCell ref="B108:E108"/>
    <mergeCell ref="F108:H108"/>
    <mergeCell ref="I108:J108"/>
    <mergeCell ref="K108:M108"/>
    <mergeCell ref="N108:O108"/>
    <mergeCell ref="P108:W108"/>
    <mergeCell ref="X108:Z108"/>
    <mergeCell ref="AA109:AD109"/>
    <mergeCell ref="AE109:AI109"/>
    <mergeCell ref="AJ109:AO109"/>
    <mergeCell ref="B109:E109"/>
    <mergeCell ref="F109:H109"/>
    <mergeCell ref="I109:J109"/>
    <mergeCell ref="K109:M109"/>
    <mergeCell ref="N109:O109"/>
    <mergeCell ref="P109:W109"/>
    <mergeCell ref="X109:Z109"/>
    <mergeCell ref="AA110:AD110"/>
    <mergeCell ref="AE110:AI110"/>
    <mergeCell ref="AJ110:AO110"/>
    <mergeCell ref="B110:E110"/>
    <mergeCell ref="F110:H110"/>
    <mergeCell ref="I110:J110"/>
    <mergeCell ref="K110:M110"/>
    <mergeCell ref="N110:O110"/>
    <mergeCell ref="P110:W110"/>
    <mergeCell ref="X110:Z110"/>
    <mergeCell ref="AA111:AD111"/>
    <mergeCell ref="AE111:AI111"/>
    <mergeCell ref="AJ111:AO111"/>
    <mergeCell ref="B111:E111"/>
    <mergeCell ref="F111:H111"/>
    <mergeCell ref="I111:J111"/>
    <mergeCell ref="K111:M111"/>
    <mergeCell ref="N111:O111"/>
    <mergeCell ref="P111:W111"/>
    <mergeCell ref="X111:Z111"/>
    <mergeCell ref="AA112:AD112"/>
    <mergeCell ref="AE112:AI112"/>
    <mergeCell ref="AJ112:AO112"/>
    <mergeCell ref="B112:E112"/>
    <mergeCell ref="F112:H112"/>
    <mergeCell ref="I112:J112"/>
    <mergeCell ref="K112:M112"/>
    <mergeCell ref="N112:O112"/>
    <mergeCell ref="P112:W112"/>
    <mergeCell ref="X112:Z112"/>
    <mergeCell ref="AA113:AD113"/>
    <mergeCell ref="AE113:AI113"/>
    <mergeCell ref="AJ113:AO113"/>
    <mergeCell ref="B113:E113"/>
    <mergeCell ref="F113:H113"/>
    <mergeCell ref="I113:J113"/>
    <mergeCell ref="K113:M113"/>
    <mergeCell ref="N113:O113"/>
    <mergeCell ref="P113:W113"/>
    <mergeCell ref="X113:Z113"/>
    <mergeCell ref="AA114:AD114"/>
    <mergeCell ref="AE114:AI114"/>
    <mergeCell ref="AJ114:AO114"/>
    <mergeCell ref="B114:E114"/>
    <mergeCell ref="F114:H114"/>
    <mergeCell ref="I114:J114"/>
    <mergeCell ref="K114:M114"/>
    <mergeCell ref="N114:O114"/>
    <mergeCell ref="P114:W114"/>
    <mergeCell ref="X114:Z114"/>
    <mergeCell ref="AA115:AD115"/>
    <mergeCell ref="AE115:AI115"/>
    <mergeCell ref="AJ115:AO115"/>
    <mergeCell ref="B115:E115"/>
    <mergeCell ref="F115:H115"/>
    <mergeCell ref="I115:J115"/>
    <mergeCell ref="K115:M115"/>
    <mergeCell ref="N115:O115"/>
    <mergeCell ref="P115:W115"/>
    <mergeCell ref="X115:Z115"/>
    <mergeCell ref="AA116:AD116"/>
    <mergeCell ref="AE116:AI116"/>
    <mergeCell ref="AJ116:AO116"/>
    <mergeCell ref="B116:E116"/>
    <mergeCell ref="F116:H116"/>
    <mergeCell ref="I116:J116"/>
    <mergeCell ref="K116:M116"/>
    <mergeCell ref="N116:O116"/>
    <mergeCell ref="P116:W116"/>
    <mergeCell ref="X116:Z116"/>
    <mergeCell ref="AA117:AD117"/>
    <mergeCell ref="AE117:AI117"/>
    <mergeCell ref="AJ117:AO117"/>
    <mergeCell ref="B117:E117"/>
    <mergeCell ref="F117:H117"/>
    <mergeCell ref="I117:J117"/>
    <mergeCell ref="K117:M117"/>
    <mergeCell ref="N117:O117"/>
    <mergeCell ref="P117:W117"/>
    <mergeCell ref="X117:Z117"/>
    <mergeCell ref="AA118:AD118"/>
    <mergeCell ref="AE118:AI118"/>
    <mergeCell ref="AJ118:AO118"/>
    <mergeCell ref="B118:E118"/>
    <mergeCell ref="F118:H118"/>
    <mergeCell ref="I118:J118"/>
    <mergeCell ref="K118:M118"/>
    <mergeCell ref="N118:O118"/>
    <mergeCell ref="P118:W118"/>
    <mergeCell ref="X118:Z118"/>
    <mergeCell ref="AA119:AD119"/>
    <mergeCell ref="AE119:AI119"/>
    <mergeCell ref="AJ119:AO119"/>
    <mergeCell ref="B119:E119"/>
    <mergeCell ref="F119:H119"/>
    <mergeCell ref="I119:J119"/>
    <mergeCell ref="K119:M119"/>
    <mergeCell ref="N119:O119"/>
    <mergeCell ref="P119:W119"/>
    <mergeCell ref="X119:Z119"/>
    <mergeCell ref="AA120:AD120"/>
    <mergeCell ref="AE120:AI120"/>
    <mergeCell ref="AJ120:AO120"/>
    <mergeCell ref="B120:E120"/>
    <mergeCell ref="F120:H120"/>
    <mergeCell ref="I120:J120"/>
    <mergeCell ref="K120:M120"/>
    <mergeCell ref="N120:O120"/>
    <mergeCell ref="P120:W120"/>
    <mergeCell ref="X120:Z120"/>
    <mergeCell ref="AA121:AD121"/>
    <mergeCell ref="AE121:AI121"/>
    <mergeCell ref="AJ121:AO121"/>
    <mergeCell ref="B121:E121"/>
    <mergeCell ref="F121:H121"/>
    <mergeCell ref="I121:J121"/>
    <mergeCell ref="K121:M121"/>
    <mergeCell ref="N121:O121"/>
    <mergeCell ref="P121:W121"/>
    <mergeCell ref="X121:Z121"/>
    <mergeCell ref="AA122:AD122"/>
    <mergeCell ref="AE122:AI122"/>
    <mergeCell ref="AJ122:AO122"/>
    <mergeCell ref="B122:E122"/>
    <mergeCell ref="F122:H122"/>
    <mergeCell ref="I122:J122"/>
    <mergeCell ref="K122:M122"/>
    <mergeCell ref="N122:O122"/>
    <mergeCell ref="P122:W122"/>
    <mergeCell ref="X122:Z122"/>
    <mergeCell ref="AA123:AD123"/>
    <mergeCell ref="AE123:AI123"/>
    <mergeCell ref="AJ123:AO123"/>
    <mergeCell ref="B123:E123"/>
    <mergeCell ref="F123:H123"/>
    <mergeCell ref="I123:J123"/>
    <mergeCell ref="K123:M123"/>
    <mergeCell ref="N123:O123"/>
    <mergeCell ref="P123:W123"/>
    <mergeCell ref="X123:Z123"/>
    <mergeCell ref="AA124:AD124"/>
    <mergeCell ref="AE124:AI124"/>
    <mergeCell ref="AJ124:AO124"/>
    <mergeCell ref="B124:E124"/>
    <mergeCell ref="F124:H124"/>
    <mergeCell ref="I124:J124"/>
    <mergeCell ref="K124:M124"/>
    <mergeCell ref="N124:O124"/>
    <mergeCell ref="P124:W124"/>
    <mergeCell ref="X124:Z124"/>
    <mergeCell ref="AA125:AD125"/>
    <mergeCell ref="AE125:AI125"/>
    <mergeCell ref="AJ125:AO125"/>
    <mergeCell ref="B125:E125"/>
    <mergeCell ref="F125:H125"/>
    <mergeCell ref="I125:J125"/>
    <mergeCell ref="K125:M125"/>
    <mergeCell ref="N125:O125"/>
    <mergeCell ref="P125:W125"/>
    <mergeCell ref="X125:Z125"/>
    <mergeCell ref="AA126:AD126"/>
    <mergeCell ref="AE126:AI126"/>
    <mergeCell ref="AJ126:AO126"/>
    <mergeCell ref="B126:E126"/>
    <mergeCell ref="F126:H126"/>
    <mergeCell ref="I126:J126"/>
    <mergeCell ref="K126:M126"/>
    <mergeCell ref="N126:O126"/>
    <mergeCell ref="P126:W126"/>
    <mergeCell ref="X126:Z126"/>
    <mergeCell ref="AA127:AD127"/>
    <mergeCell ref="AE127:AI127"/>
    <mergeCell ref="AJ127:AO127"/>
    <mergeCell ref="B127:E127"/>
    <mergeCell ref="F127:H127"/>
    <mergeCell ref="I127:J127"/>
    <mergeCell ref="K127:M127"/>
    <mergeCell ref="N127:O127"/>
    <mergeCell ref="P127:W127"/>
    <mergeCell ref="X127:Z127"/>
    <mergeCell ref="AA128:AD128"/>
    <mergeCell ref="AE128:AI128"/>
    <mergeCell ref="AJ128:AO128"/>
    <mergeCell ref="B128:E128"/>
    <mergeCell ref="F128:H128"/>
    <mergeCell ref="I128:J128"/>
    <mergeCell ref="K128:M128"/>
    <mergeCell ref="N128:O128"/>
    <mergeCell ref="P128:W128"/>
    <mergeCell ref="X128:Z128"/>
    <mergeCell ref="AA129:AD129"/>
    <mergeCell ref="AE129:AI129"/>
    <mergeCell ref="AJ129:AO129"/>
    <mergeCell ref="B129:E129"/>
    <mergeCell ref="F129:H129"/>
    <mergeCell ref="I129:J129"/>
    <mergeCell ref="K129:M129"/>
    <mergeCell ref="N129:O129"/>
    <mergeCell ref="P129:W129"/>
    <mergeCell ref="X129:Z129"/>
    <mergeCell ref="AA130:AD130"/>
    <mergeCell ref="AE130:AI130"/>
    <mergeCell ref="AJ130:AO130"/>
    <mergeCell ref="B130:E130"/>
    <mergeCell ref="F130:H130"/>
    <mergeCell ref="I130:J130"/>
    <mergeCell ref="K130:M130"/>
    <mergeCell ref="N130:O130"/>
    <mergeCell ref="P130:W130"/>
    <mergeCell ref="X130:Z130"/>
    <mergeCell ref="AA131:AD131"/>
    <mergeCell ref="AE131:AI131"/>
    <mergeCell ref="AJ131:AO131"/>
    <mergeCell ref="B131:E131"/>
    <mergeCell ref="F131:H131"/>
    <mergeCell ref="I131:J131"/>
    <mergeCell ref="K131:M131"/>
    <mergeCell ref="N131:O131"/>
    <mergeCell ref="P131:W131"/>
    <mergeCell ref="X131:Z131"/>
    <mergeCell ref="AA132:AD132"/>
    <mergeCell ref="AE132:AI132"/>
    <mergeCell ref="AJ132:AO132"/>
    <mergeCell ref="B132:E132"/>
    <mergeCell ref="F132:H132"/>
    <mergeCell ref="I132:J132"/>
    <mergeCell ref="K132:M132"/>
    <mergeCell ref="N132:O132"/>
    <mergeCell ref="P132:W132"/>
    <mergeCell ref="X132:Z132"/>
    <mergeCell ref="AA133:AD133"/>
    <mergeCell ref="AE133:AI133"/>
    <mergeCell ref="AJ133:AO133"/>
    <mergeCell ref="B133:E133"/>
    <mergeCell ref="F133:H133"/>
    <mergeCell ref="I133:J133"/>
    <mergeCell ref="K133:M133"/>
    <mergeCell ref="N133:O133"/>
    <mergeCell ref="P133:W133"/>
    <mergeCell ref="X133:Z133"/>
    <mergeCell ref="AA134:AD134"/>
    <mergeCell ref="AE134:AI134"/>
    <mergeCell ref="AJ134:AO134"/>
    <mergeCell ref="B134:E134"/>
    <mergeCell ref="F134:H134"/>
    <mergeCell ref="I134:J134"/>
    <mergeCell ref="K134:M134"/>
    <mergeCell ref="N134:O134"/>
    <mergeCell ref="P134:W134"/>
    <mergeCell ref="X134:Z134"/>
    <mergeCell ref="AA135:AD135"/>
    <mergeCell ref="AE135:AI135"/>
    <mergeCell ref="AJ135:AO135"/>
    <mergeCell ref="B135:E135"/>
    <mergeCell ref="F135:H135"/>
    <mergeCell ref="I135:J135"/>
    <mergeCell ref="K135:M135"/>
    <mergeCell ref="N135:O135"/>
    <mergeCell ref="P135:W135"/>
    <mergeCell ref="X135:Z135"/>
    <mergeCell ref="AA136:AD136"/>
    <mergeCell ref="AE136:AI136"/>
    <mergeCell ref="AJ136:AO136"/>
    <mergeCell ref="B136:E136"/>
    <mergeCell ref="F136:H136"/>
    <mergeCell ref="I136:J136"/>
    <mergeCell ref="K136:M136"/>
    <mergeCell ref="N136:O136"/>
    <mergeCell ref="P136:W136"/>
    <mergeCell ref="X136:Z136"/>
    <mergeCell ref="AA137:AD137"/>
    <mergeCell ref="AE137:AI137"/>
    <mergeCell ref="AJ137:AO137"/>
    <mergeCell ref="B137:E137"/>
    <mergeCell ref="F137:H137"/>
    <mergeCell ref="I137:J137"/>
    <mergeCell ref="K137:M137"/>
    <mergeCell ref="N137:O137"/>
    <mergeCell ref="P137:W137"/>
    <mergeCell ref="X137:Z137"/>
    <mergeCell ref="AA138:AD138"/>
    <mergeCell ref="AE138:AI138"/>
    <mergeCell ref="AJ138:AO138"/>
    <mergeCell ref="B138:E138"/>
    <mergeCell ref="F138:H138"/>
    <mergeCell ref="I138:J138"/>
    <mergeCell ref="K138:M138"/>
    <mergeCell ref="N138:O138"/>
    <mergeCell ref="P138:W138"/>
    <mergeCell ref="X138:Z138"/>
    <mergeCell ref="AA139:AD139"/>
    <mergeCell ref="AE139:AI139"/>
    <mergeCell ref="AJ139:AO139"/>
    <mergeCell ref="B139:E139"/>
    <mergeCell ref="F139:H139"/>
    <mergeCell ref="I139:J139"/>
    <mergeCell ref="K139:M139"/>
    <mergeCell ref="N139:O139"/>
    <mergeCell ref="P139:W139"/>
    <mergeCell ref="X139:Z139"/>
    <mergeCell ref="AA140:AD140"/>
    <mergeCell ref="AE140:AI140"/>
    <mergeCell ref="AJ140:AO140"/>
    <mergeCell ref="B140:E140"/>
    <mergeCell ref="F140:H140"/>
    <mergeCell ref="I140:J140"/>
    <mergeCell ref="K140:M140"/>
    <mergeCell ref="N140:O140"/>
    <mergeCell ref="P140:W140"/>
    <mergeCell ref="X140:Z140"/>
    <mergeCell ref="AA141:AD141"/>
    <mergeCell ref="AE141:AI141"/>
    <mergeCell ref="AJ141:AO141"/>
    <mergeCell ref="B141:E141"/>
    <mergeCell ref="F141:H141"/>
    <mergeCell ref="I141:J141"/>
    <mergeCell ref="K141:M141"/>
    <mergeCell ref="N141:O141"/>
    <mergeCell ref="P141:W141"/>
    <mergeCell ref="X141:Z141"/>
    <mergeCell ref="AA142:AD142"/>
    <mergeCell ref="AE142:AI142"/>
    <mergeCell ref="AJ142:AO142"/>
    <mergeCell ref="B142:E142"/>
    <mergeCell ref="F142:H142"/>
    <mergeCell ref="I142:J142"/>
    <mergeCell ref="K142:M142"/>
    <mergeCell ref="N142:O142"/>
    <mergeCell ref="P142:W142"/>
    <mergeCell ref="X142:Z142"/>
    <mergeCell ref="AA143:AD143"/>
    <mergeCell ref="AE143:AI143"/>
    <mergeCell ref="AJ143:AO143"/>
    <mergeCell ref="B143:E143"/>
    <mergeCell ref="F143:H143"/>
    <mergeCell ref="I143:J143"/>
    <mergeCell ref="K143:M143"/>
    <mergeCell ref="N143:O143"/>
    <mergeCell ref="P143:W143"/>
    <mergeCell ref="X143:Z143"/>
    <mergeCell ref="AA144:AD144"/>
    <mergeCell ref="AE144:AI144"/>
    <mergeCell ref="AJ144:AO144"/>
    <mergeCell ref="B144:E144"/>
    <mergeCell ref="F144:H144"/>
    <mergeCell ref="I144:J144"/>
    <mergeCell ref="K144:M144"/>
    <mergeCell ref="N144:O144"/>
    <mergeCell ref="P144:W144"/>
    <mergeCell ref="X144:Z144"/>
    <mergeCell ref="AA145:AD145"/>
    <mergeCell ref="AE145:AI145"/>
    <mergeCell ref="AJ145:AO145"/>
    <mergeCell ref="B145:E145"/>
    <mergeCell ref="F145:H145"/>
    <mergeCell ref="I145:J145"/>
    <mergeCell ref="K145:M145"/>
    <mergeCell ref="N145:O145"/>
    <mergeCell ref="P145:W145"/>
    <mergeCell ref="X145:Z145"/>
    <mergeCell ref="AA146:AD146"/>
    <mergeCell ref="AE146:AI146"/>
    <mergeCell ref="AJ146:AO146"/>
    <mergeCell ref="B146:E146"/>
    <mergeCell ref="F146:H146"/>
    <mergeCell ref="I146:J146"/>
    <mergeCell ref="K146:M146"/>
    <mergeCell ref="N146:O146"/>
    <mergeCell ref="P146:W146"/>
    <mergeCell ref="X146:Z146"/>
    <mergeCell ref="AA147:AD147"/>
    <mergeCell ref="AE147:AI147"/>
    <mergeCell ref="AJ147:AO147"/>
    <mergeCell ref="B147:E147"/>
    <mergeCell ref="F147:H147"/>
    <mergeCell ref="I147:J147"/>
    <mergeCell ref="K147:M147"/>
    <mergeCell ref="N147:O147"/>
    <mergeCell ref="P147:W147"/>
    <mergeCell ref="X147:Z147"/>
    <mergeCell ref="AA148:AD148"/>
    <mergeCell ref="AE148:AI148"/>
    <mergeCell ref="AJ148:AO148"/>
    <mergeCell ref="B148:E148"/>
    <mergeCell ref="F148:H148"/>
    <mergeCell ref="I148:J148"/>
    <mergeCell ref="K148:M148"/>
    <mergeCell ref="N148:O148"/>
    <mergeCell ref="P148:W148"/>
    <mergeCell ref="X148:Z148"/>
    <mergeCell ref="AA149:AD149"/>
    <mergeCell ref="AE149:AI149"/>
    <mergeCell ref="AJ149:AO149"/>
    <mergeCell ref="B149:E149"/>
    <mergeCell ref="F149:H149"/>
    <mergeCell ref="I149:J149"/>
    <mergeCell ref="K149:M149"/>
    <mergeCell ref="N149:O149"/>
    <mergeCell ref="P149:W149"/>
    <mergeCell ref="X149:Z149"/>
    <mergeCell ref="AA150:AD150"/>
    <mergeCell ref="AE150:AI150"/>
    <mergeCell ref="AJ150:AO150"/>
    <mergeCell ref="B150:E150"/>
    <mergeCell ref="F150:H150"/>
    <mergeCell ref="I150:J150"/>
    <mergeCell ref="K150:M150"/>
    <mergeCell ref="N150:O150"/>
    <mergeCell ref="P150:W150"/>
    <mergeCell ref="X150:Z150"/>
    <mergeCell ref="AA151:AD151"/>
    <mergeCell ref="AE151:AI151"/>
    <mergeCell ref="AJ151:AO151"/>
    <mergeCell ref="B151:E151"/>
    <mergeCell ref="F151:H151"/>
    <mergeCell ref="I151:J151"/>
    <mergeCell ref="K151:M151"/>
    <mergeCell ref="N151:O151"/>
    <mergeCell ref="P151:W151"/>
    <mergeCell ref="X151:Z151"/>
    <mergeCell ref="AA152:AD152"/>
    <mergeCell ref="AE152:AI152"/>
    <mergeCell ref="AJ152:AO152"/>
    <mergeCell ref="B152:E152"/>
    <mergeCell ref="F152:H152"/>
    <mergeCell ref="I152:J152"/>
    <mergeCell ref="K152:M152"/>
    <mergeCell ref="N152:O152"/>
    <mergeCell ref="P152:W152"/>
    <mergeCell ref="X152:Z152"/>
    <mergeCell ref="AA153:AD153"/>
    <mergeCell ref="AE153:AI153"/>
    <mergeCell ref="AJ153:AO153"/>
    <mergeCell ref="B153:E153"/>
    <mergeCell ref="F153:H153"/>
    <mergeCell ref="I153:J153"/>
    <mergeCell ref="K153:M153"/>
    <mergeCell ref="N153:O153"/>
    <mergeCell ref="P153:W153"/>
    <mergeCell ref="X153:Z153"/>
    <mergeCell ref="AA154:AD154"/>
    <mergeCell ref="AE154:AI154"/>
    <mergeCell ref="AJ154:AO154"/>
    <mergeCell ref="B154:E154"/>
    <mergeCell ref="F154:H154"/>
    <mergeCell ref="I154:J154"/>
    <mergeCell ref="K154:M154"/>
    <mergeCell ref="N154:O154"/>
    <mergeCell ref="P154:W154"/>
    <mergeCell ref="X154:Z154"/>
  </mergeCells>
  <conditionalFormatting sqref="F118:AO201">
    <cfRule type="expression" dxfId="43" priority="1">
      <formula>and($B118&lt;&gt;"",F118="")</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16"/>
      <c r="B1" s="517"/>
      <c r="C1" s="517"/>
      <c r="D1" s="517"/>
      <c r="E1" s="517"/>
      <c r="F1" s="517"/>
      <c r="G1" s="518"/>
      <c r="H1" s="517"/>
      <c r="I1" s="517"/>
      <c r="J1" s="517"/>
      <c r="K1" s="519"/>
      <c r="L1" s="517"/>
      <c r="M1" s="518"/>
      <c r="N1" s="518"/>
      <c r="O1" s="518" t="str">
        <f>IMAGE("http://i.imgur.com/4gaCjL0.png",2)</f>
        <v/>
      </c>
      <c r="P1" s="520" t="str">
        <f>IMAGE("https://i.imgur.com/IxRRFOd.png",2)</f>
        <v/>
      </c>
      <c r="AB1" s="521" t="str">
        <f>IMAGE("http://i.imgur.com/GYlWKEy.png",2)</f>
        <v/>
      </c>
      <c r="AC1" s="518"/>
      <c r="AD1" s="518"/>
      <c r="AE1" s="517"/>
      <c r="AF1" s="517"/>
      <c r="AG1" s="517"/>
      <c r="AH1" s="517"/>
      <c r="AI1" s="517"/>
      <c r="AJ1" s="518"/>
      <c r="AK1" s="517"/>
      <c r="AL1" s="517"/>
      <c r="AM1" s="517"/>
      <c r="AN1" s="522"/>
      <c r="AO1" s="522"/>
      <c r="AP1" s="523"/>
    </row>
    <row r="2" ht="15.75" customHeight="1">
      <c r="A2" s="516"/>
      <c r="B2" s="524" t="str">
        <f>IMAGE("http://i.imgur.com/txQSaWP.png",4,20,400)</f>
        <v/>
      </c>
      <c r="P2" s="525" t="s">
        <v>602</v>
      </c>
      <c r="Q2" s="25"/>
      <c r="R2" s="25"/>
      <c r="S2" s="25"/>
      <c r="T2" s="25"/>
      <c r="U2" s="25"/>
      <c r="V2" s="25"/>
      <c r="W2" s="25"/>
      <c r="X2" s="25"/>
      <c r="Y2" s="25"/>
      <c r="Z2" s="25"/>
      <c r="AA2" s="25"/>
      <c r="AC2" s="526" t="str">
        <f>IMAGE("http://i.imgur.com/txQSaWP.png",4,20,400)</f>
        <v/>
      </c>
      <c r="AP2" s="527"/>
    </row>
    <row r="3" ht="15.75" customHeight="1">
      <c r="A3" s="516"/>
      <c r="B3" s="559" t="s">
        <v>603</v>
      </c>
      <c r="P3" s="31"/>
      <c r="Q3" s="31"/>
      <c r="R3" s="31"/>
      <c r="S3" s="31"/>
      <c r="T3" s="31"/>
      <c r="U3" s="31"/>
      <c r="V3" s="31"/>
      <c r="W3" s="31"/>
      <c r="X3" s="31"/>
      <c r="Y3" s="31"/>
      <c r="Z3" s="31"/>
      <c r="AA3" s="31"/>
      <c r="AC3" s="529" t="s">
        <v>604</v>
      </c>
      <c r="AO3" s="11"/>
      <c r="AP3" s="523"/>
    </row>
    <row r="4" ht="15.75" customHeight="1">
      <c r="A4" s="516"/>
      <c r="B4" s="27"/>
      <c r="P4" s="522" t="str">
        <f>IMAGE("http://i.imgur.com/7WHiYi1.png",2)</f>
        <v/>
      </c>
      <c r="AO4" s="11"/>
      <c r="AP4" s="523"/>
    </row>
    <row r="5" ht="15.75" customHeight="1">
      <c r="A5" s="516"/>
      <c r="B5" s="551" t="s">
        <v>605</v>
      </c>
      <c r="C5" s="531"/>
      <c r="D5" s="531"/>
      <c r="E5" s="560" t="s">
        <v>606</v>
      </c>
      <c r="F5" s="531"/>
      <c r="G5" s="531"/>
      <c r="H5" s="531"/>
      <c r="I5" s="552" t="s">
        <v>607</v>
      </c>
      <c r="J5" s="531"/>
      <c r="K5" s="552" t="s">
        <v>608</v>
      </c>
      <c r="L5" s="531"/>
      <c r="M5" s="560" t="s">
        <v>609</v>
      </c>
      <c r="N5" s="531"/>
      <c r="O5" s="552" t="s">
        <v>545</v>
      </c>
      <c r="P5" s="531"/>
      <c r="Q5" s="552" t="s">
        <v>610</v>
      </c>
      <c r="R5" s="531"/>
      <c r="S5" s="531"/>
      <c r="T5" s="531"/>
      <c r="U5" s="531"/>
      <c r="V5" s="531"/>
      <c r="W5" s="531"/>
      <c r="X5" s="552" t="s">
        <v>611</v>
      </c>
      <c r="Y5" s="531"/>
      <c r="Z5" s="531"/>
      <c r="AA5" s="531"/>
      <c r="AB5" s="561" t="s">
        <v>612</v>
      </c>
      <c r="AC5" s="531"/>
      <c r="AD5" s="531"/>
      <c r="AE5" s="531"/>
      <c r="AF5" s="531"/>
      <c r="AG5" s="552" t="s">
        <v>613</v>
      </c>
      <c r="AH5" s="531"/>
      <c r="AI5" s="531"/>
      <c r="AJ5" s="552" t="s">
        <v>614</v>
      </c>
      <c r="AK5" s="531"/>
      <c r="AL5" s="531"/>
      <c r="AM5" s="552" t="s">
        <v>615</v>
      </c>
      <c r="AN5" s="531"/>
      <c r="AO5" s="533"/>
      <c r="AP5" s="562"/>
    </row>
    <row r="6" ht="15.75" customHeight="1">
      <c r="A6" s="516"/>
      <c r="B6" s="534"/>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c r="AM6" s="535"/>
      <c r="AN6" s="535"/>
      <c r="AO6" s="536"/>
      <c r="AP6" s="562"/>
    </row>
    <row r="7" ht="15.75" customHeight="1">
      <c r="A7" s="516"/>
      <c r="B7" s="537"/>
      <c r="E7" s="538"/>
      <c r="I7" s="538"/>
      <c r="K7" s="538"/>
      <c r="M7" s="538"/>
      <c r="O7" s="538"/>
      <c r="Q7" s="563"/>
      <c r="R7" s="564"/>
      <c r="S7" s="564"/>
      <c r="T7" s="564"/>
      <c r="U7" s="564"/>
      <c r="V7" s="564"/>
      <c r="W7" s="564"/>
      <c r="X7" s="538"/>
      <c r="AB7" s="538"/>
      <c r="AG7" s="538"/>
      <c r="AJ7" s="538"/>
      <c r="AM7" s="538"/>
      <c r="AO7" s="540"/>
      <c r="AP7" s="562" t="str">
        <f>if(isnumber(find(lower($B7),lower(concatenate(v2.1!$AR$6:$AR$15)))),vlookup($B7,v2.1!$AR$6:$AT$15,3,false),0)</f>
        <v>#N/A</v>
      </c>
    </row>
    <row r="8" ht="15.75" customHeight="1">
      <c r="A8" s="516"/>
      <c r="B8" s="541"/>
      <c r="E8" s="542"/>
      <c r="I8" s="542"/>
      <c r="K8" s="542"/>
      <c r="M8" s="542"/>
      <c r="O8" s="542"/>
      <c r="Q8" s="565"/>
      <c r="X8" s="542"/>
      <c r="AB8" s="542"/>
      <c r="AG8" s="542"/>
      <c r="AJ8" s="542"/>
      <c r="AM8" s="542"/>
      <c r="AO8" s="544"/>
      <c r="AP8" s="562"/>
    </row>
    <row r="9" ht="15.75" customHeight="1">
      <c r="A9" s="516"/>
      <c r="B9" s="537"/>
      <c r="E9" s="538"/>
      <c r="I9" s="538"/>
      <c r="K9" s="538"/>
      <c r="M9" s="538"/>
      <c r="O9" s="538"/>
      <c r="Q9" s="566"/>
      <c r="X9" s="538"/>
      <c r="AB9" s="538"/>
      <c r="AG9" s="538"/>
      <c r="AJ9" s="538"/>
      <c r="AM9" s="538"/>
      <c r="AO9" s="540"/>
      <c r="AP9" s="562"/>
    </row>
    <row r="10" ht="15.75" customHeight="1">
      <c r="A10" s="516"/>
      <c r="B10" s="541"/>
      <c r="E10" s="542"/>
      <c r="I10" s="542"/>
      <c r="K10" s="542"/>
      <c r="M10" s="542"/>
      <c r="O10" s="542"/>
      <c r="Q10" s="565"/>
      <c r="X10" s="542"/>
      <c r="AB10" s="542"/>
      <c r="AG10" s="542"/>
      <c r="AJ10" s="542"/>
      <c r="AM10" s="542"/>
      <c r="AO10" s="544"/>
      <c r="AP10" s="562"/>
    </row>
    <row r="11" ht="15.75" customHeight="1">
      <c r="A11" s="516"/>
      <c r="B11" s="537" t="s">
        <v>226</v>
      </c>
      <c r="E11" s="538" t="s">
        <v>32</v>
      </c>
      <c r="I11" s="538" t="s">
        <v>616</v>
      </c>
      <c r="K11" s="538" t="s">
        <v>617</v>
      </c>
      <c r="M11" s="538" t="str">
        <f>if(BarbarianLevel&gt;=7,"adv","-")</f>
        <v>-</v>
      </c>
      <c r="O11" s="538" t="s">
        <v>32</v>
      </c>
      <c r="Q11" s="566" t="s">
        <v>618</v>
      </c>
      <c r="X11" s="538" t="s">
        <v>619</v>
      </c>
      <c r="AB11" s="538" t="s">
        <v>620</v>
      </c>
      <c r="AG11" s="538" t="s">
        <v>32</v>
      </c>
      <c r="AJ11" s="538" t="s">
        <v>32</v>
      </c>
      <c r="AM11" s="538" t="str">
        <f>if(BarbarianLevel&gt;=5,10,"-")</f>
        <v>-</v>
      </c>
      <c r="AO11" s="540"/>
      <c r="AP11" s="562">
        <f>if(isnumber(find(lower($B11),lower(concatenate(v2.1!$AR$6:$AR$15)))),vlookup($B11,v2.1!$AR$6:$AT$15,3,false),0)</f>
        <v>0</v>
      </c>
    </row>
    <row r="12" ht="15.75" customHeight="1">
      <c r="A12" s="516"/>
      <c r="B12" s="541"/>
      <c r="E12" s="542"/>
      <c r="I12" s="542"/>
      <c r="K12" s="542"/>
      <c r="M12" s="542"/>
      <c r="O12" s="542"/>
      <c r="Q12" s="565"/>
      <c r="X12" s="542"/>
      <c r="AB12" s="542"/>
      <c r="AG12" s="542"/>
      <c r="AJ12" s="542"/>
      <c r="AM12" s="542"/>
      <c r="AO12" s="544"/>
      <c r="AP12" s="562"/>
    </row>
    <row r="13" ht="15.75" customHeight="1">
      <c r="A13" s="516"/>
      <c r="B13" s="537"/>
      <c r="E13" s="538"/>
      <c r="I13" s="538"/>
      <c r="K13" s="538"/>
      <c r="M13" s="538"/>
      <c r="O13" s="538"/>
      <c r="Q13" s="566"/>
      <c r="X13" s="538"/>
      <c r="AB13" s="538"/>
      <c r="AG13" s="538"/>
      <c r="AJ13" s="538"/>
      <c r="AM13" s="538"/>
      <c r="AO13" s="540"/>
      <c r="AP13" s="562"/>
    </row>
    <row r="14" ht="15.75" customHeight="1">
      <c r="A14" s="516"/>
      <c r="B14" s="541" t="s">
        <v>226</v>
      </c>
      <c r="E14" s="542" t="s">
        <v>621</v>
      </c>
      <c r="I14" s="542" t="s">
        <v>32</v>
      </c>
      <c r="K14" s="542" t="s">
        <v>32</v>
      </c>
      <c r="M14" s="542" t="s">
        <v>32</v>
      </c>
      <c r="O14" s="542" t="s">
        <v>32</v>
      </c>
      <c r="Q14" s="565" t="s">
        <v>32</v>
      </c>
      <c r="X14" s="542" t="s">
        <v>32</v>
      </c>
      <c r="AB14" s="542" t="s">
        <v>32</v>
      </c>
      <c r="AG14" s="542" t="s">
        <v>32</v>
      </c>
      <c r="AJ14" s="542" t="s">
        <v>32</v>
      </c>
      <c r="AM14" s="542" t="s">
        <v>32</v>
      </c>
      <c r="AO14" s="544"/>
      <c r="AP14" s="562"/>
    </row>
    <row r="15" ht="15.75" customHeight="1">
      <c r="A15" s="516"/>
      <c r="B15" s="537"/>
      <c r="E15" s="538"/>
      <c r="I15" s="538"/>
      <c r="K15" s="538"/>
      <c r="M15" s="538"/>
      <c r="O15" s="538"/>
      <c r="Q15" s="566"/>
      <c r="X15" s="538"/>
      <c r="AB15" s="538"/>
      <c r="AG15" s="538"/>
      <c r="AJ15" s="538"/>
      <c r="AM15" s="538"/>
      <c r="AO15" s="540"/>
      <c r="AP15" s="562"/>
    </row>
    <row r="16" ht="15.75" customHeight="1">
      <c r="A16" s="516"/>
      <c r="B16" s="541"/>
      <c r="E16" s="542"/>
      <c r="I16" s="542"/>
      <c r="K16" s="542"/>
      <c r="M16" s="542"/>
      <c r="O16" s="542"/>
      <c r="Q16" s="565"/>
      <c r="X16" s="542"/>
      <c r="AB16" s="542"/>
      <c r="AG16" s="542"/>
      <c r="AJ16" s="542"/>
      <c r="AM16" s="542"/>
      <c r="AO16" s="544"/>
      <c r="AP16" s="562"/>
    </row>
    <row r="17" ht="15.75" customHeight="1">
      <c r="A17" s="516"/>
      <c r="B17" s="537"/>
      <c r="E17" s="538"/>
      <c r="I17" s="538"/>
      <c r="K17" s="538"/>
      <c r="M17" s="538"/>
      <c r="O17" s="538"/>
      <c r="Q17" s="566"/>
      <c r="X17" s="538"/>
      <c r="AB17" s="538"/>
      <c r="AG17" s="538"/>
      <c r="AJ17" s="538"/>
      <c r="AM17" s="538"/>
      <c r="AO17" s="540"/>
      <c r="AP17" s="562"/>
    </row>
    <row r="18" ht="15.75" customHeight="1">
      <c r="A18" s="516"/>
      <c r="B18" s="541" t="s">
        <v>228</v>
      </c>
      <c r="E18" s="542" t="s">
        <v>32</v>
      </c>
      <c r="I18" s="542" t="s">
        <v>32</v>
      </c>
      <c r="K18" s="542" t="s">
        <v>622</v>
      </c>
      <c r="M18" s="542" t="s">
        <v>32</v>
      </c>
      <c r="O18" s="542" t="s">
        <v>32</v>
      </c>
      <c r="Q18" s="567" t="s">
        <v>623</v>
      </c>
      <c r="X18" s="542" t="s">
        <v>624</v>
      </c>
      <c r="AB18" s="542" t="s">
        <v>625</v>
      </c>
      <c r="AG18" s="542" t="s">
        <v>626</v>
      </c>
      <c r="AJ18" s="542" t="s">
        <v>35</v>
      </c>
      <c r="AM18" s="542" t="s">
        <v>32</v>
      </c>
      <c r="AO18" s="544"/>
      <c r="AP18" s="562">
        <f>if(isnumber(find(lower($B18),lower(concatenate(v2.1!$AR$6:$AR$15)))),vlookup($B18,v2.1!$AR$6:$AT$15,3,false),0)</f>
        <v>0</v>
      </c>
    </row>
    <row r="19" ht="15.75" customHeight="1">
      <c r="A19" s="516"/>
      <c r="B19" s="537"/>
      <c r="E19" s="538"/>
      <c r="I19" s="538"/>
      <c r="K19" s="538"/>
      <c r="M19" s="538"/>
      <c r="O19" s="538"/>
      <c r="Q19" s="566"/>
      <c r="X19" s="538"/>
      <c r="AB19" s="538"/>
      <c r="AG19" s="538"/>
      <c r="AJ19" s="538"/>
      <c r="AM19" s="538"/>
      <c r="AO19" s="540"/>
      <c r="AP19" s="562"/>
    </row>
    <row r="20" ht="15.75" customHeight="1">
      <c r="A20" s="516"/>
      <c r="B20" s="541" t="s">
        <v>228</v>
      </c>
      <c r="E20" s="542" t="s">
        <v>627</v>
      </c>
      <c r="I20" s="542" t="s">
        <v>32</v>
      </c>
      <c r="K20" s="542" t="s">
        <v>32</v>
      </c>
      <c r="M20" s="542" t="s">
        <v>32</v>
      </c>
      <c r="O20" s="542" t="s">
        <v>32</v>
      </c>
      <c r="Q20" s="565" t="s">
        <v>32</v>
      </c>
      <c r="X20" s="542" t="s">
        <v>32</v>
      </c>
      <c r="AB20" s="542" t="s">
        <v>32</v>
      </c>
      <c r="AG20" s="542" t="s">
        <v>32</v>
      </c>
      <c r="AJ20" s="542" t="s">
        <v>32</v>
      </c>
      <c r="AM20" s="542" t="s">
        <v>32</v>
      </c>
      <c r="AO20" s="544"/>
      <c r="AP20" s="562"/>
    </row>
    <row r="21" ht="15.75" customHeight="1">
      <c r="A21" s="516"/>
      <c r="B21" s="537"/>
      <c r="E21" s="538"/>
      <c r="I21" s="538"/>
      <c r="K21" s="538"/>
      <c r="M21" s="538"/>
      <c r="O21" s="538"/>
      <c r="Q21" s="566"/>
      <c r="X21" s="538"/>
      <c r="AB21" s="538"/>
      <c r="AG21" s="538"/>
      <c r="AJ21" s="538"/>
      <c r="AM21" s="538"/>
      <c r="AO21" s="540"/>
      <c r="AP21" s="562"/>
    </row>
    <row r="22" ht="15.75" customHeight="1">
      <c r="A22" s="516"/>
      <c r="B22" s="541"/>
      <c r="E22" s="542"/>
      <c r="I22" s="542"/>
      <c r="K22" s="542"/>
      <c r="M22" s="542"/>
      <c r="O22" s="542"/>
      <c r="Q22" s="565"/>
      <c r="X22" s="542"/>
      <c r="AB22" s="542"/>
      <c r="AG22" s="542"/>
      <c r="AJ22" s="542"/>
      <c r="AM22" s="542"/>
      <c r="AO22" s="544"/>
      <c r="AP22" s="562"/>
    </row>
    <row r="23" ht="15.75" customHeight="1">
      <c r="A23" s="516"/>
      <c r="B23" s="537"/>
      <c r="E23" s="538"/>
      <c r="I23" s="538"/>
      <c r="K23" s="538"/>
      <c r="M23" s="538"/>
      <c r="O23" s="538"/>
      <c r="Q23" s="566"/>
      <c r="X23" s="538"/>
      <c r="AB23" s="538"/>
      <c r="AG23" s="538"/>
      <c r="AJ23" s="538"/>
      <c r="AM23" s="538"/>
      <c r="AO23" s="540"/>
      <c r="AP23" s="562"/>
    </row>
    <row r="24" ht="15.75" customHeight="1">
      <c r="A24" s="516"/>
      <c r="B24" s="541" t="s">
        <v>231</v>
      </c>
      <c r="E24" s="542" t="s">
        <v>32</v>
      </c>
      <c r="I24" s="542" t="s">
        <v>32</v>
      </c>
      <c r="K24" s="542" t="s">
        <v>622</v>
      </c>
      <c r="M24" s="542" t="s">
        <v>32</v>
      </c>
      <c r="O24" s="542" t="s">
        <v>32</v>
      </c>
      <c r="Q24" s="565" t="s">
        <v>628</v>
      </c>
      <c r="X24" s="542" t="s">
        <v>629</v>
      </c>
      <c r="AB24" s="542" t="s">
        <v>630</v>
      </c>
      <c r="AG24" s="542" t="s">
        <v>626</v>
      </c>
      <c r="AJ24" s="542" t="s">
        <v>33</v>
      </c>
      <c r="AM24" s="542" t="s">
        <v>32</v>
      </c>
      <c r="AO24" s="544"/>
      <c r="AP24" s="562">
        <f>if(isnumber(find(lower($B24),lower(concatenate(v2.1!$AR$6:$AR$15)))),vlookup($B24,v2.1!$AR$6:$AT$15,3,false),0)</f>
        <v>0</v>
      </c>
    </row>
    <row r="25" ht="15.75" customHeight="1">
      <c r="A25" s="516"/>
      <c r="B25" s="537"/>
      <c r="E25" s="538"/>
      <c r="I25" s="538"/>
      <c r="K25" s="538"/>
      <c r="M25" s="538"/>
      <c r="O25" s="538"/>
      <c r="Q25" s="566"/>
      <c r="X25" s="538"/>
      <c r="AB25" s="538"/>
      <c r="AG25" s="538"/>
      <c r="AJ25" s="538"/>
      <c r="AM25" s="538"/>
      <c r="AO25" s="540"/>
      <c r="AP25" s="562"/>
    </row>
    <row r="26" ht="15.75" customHeight="1">
      <c r="A26" s="516"/>
      <c r="B26" s="541"/>
      <c r="E26" s="542"/>
      <c r="I26" s="542"/>
      <c r="K26" s="542"/>
      <c r="M26" s="542"/>
      <c r="O26" s="542"/>
      <c r="Q26" s="565"/>
      <c r="X26" s="542"/>
      <c r="AB26" s="542"/>
      <c r="AG26" s="542"/>
      <c r="AJ26" s="542"/>
      <c r="AM26" s="542"/>
      <c r="AO26" s="544"/>
      <c r="AP26" s="562"/>
    </row>
    <row r="27" ht="15.75" customHeight="1">
      <c r="A27" s="516"/>
      <c r="B27" s="537"/>
      <c r="E27" s="538"/>
      <c r="I27" s="538"/>
      <c r="K27" s="538"/>
      <c r="M27" s="538"/>
      <c r="O27" s="538"/>
      <c r="Q27" s="566"/>
      <c r="X27" s="538"/>
      <c r="AB27" s="538"/>
      <c r="AG27" s="538"/>
      <c r="AJ27" s="538"/>
      <c r="AM27" s="538"/>
      <c r="AO27" s="540"/>
      <c r="AP27" s="562"/>
    </row>
    <row r="28" ht="15.75" customHeight="1">
      <c r="A28" s="516"/>
      <c r="B28" s="541"/>
      <c r="E28" s="542"/>
      <c r="I28" s="542"/>
      <c r="K28" s="542"/>
      <c r="M28" s="542"/>
      <c r="O28" s="542"/>
      <c r="Q28" s="565"/>
      <c r="X28" s="542"/>
      <c r="AB28" s="542"/>
      <c r="AG28" s="542"/>
      <c r="AJ28" s="542"/>
      <c r="AM28" s="542"/>
      <c r="AO28" s="544"/>
      <c r="AP28" s="562"/>
    </row>
    <row r="29" ht="15.75" customHeight="1">
      <c r="A29" s="516"/>
      <c r="B29" s="537"/>
      <c r="E29" s="538"/>
      <c r="I29" s="538"/>
      <c r="K29" s="538"/>
      <c r="M29" s="538"/>
      <c r="O29" s="538"/>
      <c r="Q29" s="566"/>
      <c r="X29" s="538"/>
      <c r="AB29" s="538"/>
      <c r="AG29" s="538"/>
      <c r="AJ29" s="538"/>
      <c r="AM29" s="538"/>
      <c r="AO29" s="540"/>
      <c r="AP29" s="562"/>
    </row>
    <row r="30" ht="15.75" customHeight="1">
      <c r="A30" s="516"/>
      <c r="B30" s="541" t="s">
        <v>231</v>
      </c>
      <c r="E30" s="542" t="s">
        <v>631</v>
      </c>
      <c r="I30" s="542" t="s">
        <v>32</v>
      </c>
      <c r="K30" s="542" t="s">
        <v>32</v>
      </c>
      <c r="M30" s="542" t="s">
        <v>32</v>
      </c>
      <c r="O30" s="542" t="s">
        <v>32</v>
      </c>
      <c r="Q30" s="565" t="s">
        <v>32</v>
      </c>
      <c r="X30" s="542" t="s">
        <v>32</v>
      </c>
      <c r="AB30" s="542" t="s">
        <v>527</v>
      </c>
      <c r="AG30" s="542" t="s">
        <v>32</v>
      </c>
      <c r="AJ30" s="542" t="s">
        <v>32</v>
      </c>
      <c r="AM30" s="542" t="s">
        <v>32</v>
      </c>
      <c r="AO30" s="544"/>
      <c r="AP30" s="562"/>
    </row>
    <row r="31" ht="15.75" customHeight="1">
      <c r="A31" s="516"/>
      <c r="B31" s="537"/>
      <c r="E31" s="538"/>
      <c r="I31" s="538"/>
      <c r="K31" s="538"/>
      <c r="M31" s="538"/>
      <c r="O31" s="538"/>
      <c r="Q31" s="566"/>
      <c r="X31" s="538"/>
      <c r="AB31" s="538"/>
      <c r="AG31" s="538"/>
      <c r="AJ31" s="538"/>
      <c r="AM31" s="538"/>
      <c r="AO31" s="540"/>
      <c r="AP31" s="562"/>
    </row>
    <row r="32" ht="15.75" customHeight="1">
      <c r="A32" s="516"/>
      <c r="B32" s="541"/>
      <c r="E32" s="542"/>
      <c r="I32" s="542"/>
      <c r="K32" s="542"/>
      <c r="M32" s="542"/>
      <c r="O32" s="542"/>
      <c r="Q32" s="565"/>
      <c r="X32" s="542"/>
      <c r="AB32" s="542"/>
      <c r="AG32" s="542"/>
      <c r="AJ32" s="542"/>
      <c r="AM32" s="542"/>
      <c r="AO32" s="544"/>
      <c r="AP32" s="562"/>
    </row>
    <row r="33" ht="15.75" customHeight="1">
      <c r="A33" s="516"/>
      <c r="B33" s="537"/>
      <c r="E33" s="538"/>
      <c r="I33" s="538"/>
      <c r="K33" s="538"/>
      <c r="M33" s="538"/>
      <c r="O33" s="538"/>
      <c r="Q33" s="566"/>
      <c r="X33" s="538"/>
      <c r="AB33" s="538"/>
      <c r="AG33" s="538"/>
      <c r="AJ33" s="538"/>
      <c r="AM33" s="538"/>
      <c r="AO33" s="540"/>
      <c r="AP33" s="562"/>
    </row>
    <row r="34" ht="15.75" customHeight="1">
      <c r="A34" s="516"/>
      <c r="B34" s="541"/>
      <c r="E34" s="542"/>
      <c r="I34" s="542"/>
      <c r="K34" s="542"/>
      <c r="M34" s="542"/>
      <c r="O34" s="542"/>
      <c r="Q34" s="565"/>
      <c r="X34" s="542"/>
      <c r="AB34" s="542"/>
      <c r="AG34" s="542"/>
      <c r="AJ34" s="542"/>
      <c r="AM34" s="542"/>
      <c r="AO34" s="544"/>
      <c r="AP34" s="562"/>
    </row>
    <row r="35" ht="15.75" customHeight="1">
      <c r="A35" s="516"/>
      <c r="B35" s="537"/>
      <c r="E35" s="538"/>
      <c r="I35" s="538"/>
      <c r="K35" s="538"/>
      <c r="M35" s="538"/>
      <c r="O35" s="538"/>
      <c r="Q35" s="566"/>
      <c r="X35" s="538"/>
      <c r="AB35" s="538"/>
      <c r="AG35" s="538"/>
      <c r="AJ35" s="538"/>
      <c r="AM35" s="538"/>
      <c r="AO35" s="540"/>
      <c r="AP35" s="562"/>
    </row>
    <row r="36" ht="15.75" customHeight="1">
      <c r="A36" s="516"/>
      <c r="B36" s="541"/>
      <c r="E36" s="542"/>
      <c r="I36" s="542"/>
      <c r="K36" s="542"/>
      <c r="M36" s="542"/>
      <c r="O36" s="542"/>
      <c r="Q36" s="565"/>
      <c r="X36" s="542"/>
      <c r="AB36" s="542"/>
      <c r="AG36" s="542"/>
      <c r="AJ36" s="542"/>
      <c r="AM36" s="542"/>
      <c r="AO36" s="544"/>
      <c r="AP36" s="562"/>
    </row>
    <row r="37" ht="15.75" customHeight="1">
      <c r="A37" s="516"/>
      <c r="B37" s="537" t="s">
        <v>233</v>
      </c>
      <c r="E37" s="538" t="s">
        <v>32</v>
      </c>
      <c r="I37" s="538" t="s">
        <v>32</v>
      </c>
      <c r="K37" s="538" t="s">
        <v>622</v>
      </c>
      <c r="M37" s="538" t="s">
        <v>32</v>
      </c>
      <c r="O37" s="538" t="s">
        <v>32</v>
      </c>
      <c r="Q37" s="566" t="s">
        <v>632</v>
      </c>
      <c r="X37" s="538" t="s">
        <v>633</v>
      </c>
      <c r="AB37" s="538" t="s">
        <v>634</v>
      </c>
      <c r="AG37" s="538" t="s">
        <v>626</v>
      </c>
      <c r="AJ37" s="538" t="s">
        <v>33</v>
      </c>
      <c r="AM37" s="538" t="s">
        <v>32</v>
      </c>
      <c r="AO37" s="540"/>
      <c r="AP37" s="562">
        <f>if(isnumber(find(lower($B37),lower(concatenate(v2.1!$AR$6:$AR$15)))),vlookup($B37,v2.1!$AR$6:$AT$15,3,false),0)</f>
        <v>0</v>
      </c>
    </row>
    <row r="38" ht="15.75" customHeight="1">
      <c r="A38" s="516"/>
      <c r="B38" s="541"/>
      <c r="E38" s="542"/>
      <c r="I38" s="542"/>
      <c r="K38" s="542"/>
      <c r="M38" s="542"/>
      <c r="O38" s="542"/>
      <c r="Q38" s="565"/>
      <c r="X38" s="542"/>
      <c r="AB38" s="542"/>
      <c r="AG38" s="542"/>
      <c r="AJ38" s="542"/>
      <c r="AM38" s="542"/>
      <c r="AO38" s="544"/>
      <c r="AP38" s="562"/>
    </row>
    <row r="39" ht="15.75" customHeight="1">
      <c r="A39" s="516"/>
      <c r="B39" s="537"/>
      <c r="E39" s="538"/>
      <c r="I39" s="538"/>
      <c r="K39" s="538"/>
      <c r="M39" s="538"/>
      <c r="O39" s="538"/>
      <c r="Q39" s="566"/>
      <c r="X39" s="538"/>
      <c r="AB39" s="538"/>
      <c r="AG39" s="538"/>
      <c r="AJ39" s="538"/>
      <c r="AM39" s="538"/>
      <c r="AO39" s="540"/>
      <c r="AP39" s="562"/>
    </row>
    <row r="40" ht="15.75" customHeight="1">
      <c r="A40" s="516"/>
      <c r="B40" s="541" t="s">
        <v>233</v>
      </c>
      <c r="E40" s="542" t="s">
        <v>635</v>
      </c>
      <c r="I40" s="542" t="s">
        <v>32</v>
      </c>
      <c r="K40" s="542" t="s">
        <v>32</v>
      </c>
      <c r="M40" s="542" t="s">
        <v>32</v>
      </c>
      <c r="O40" s="542" t="s">
        <v>32</v>
      </c>
      <c r="Q40" s="565" t="s">
        <v>32</v>
      </c>
      <c r="X40" s="542" t="s">
        <v>32</v>
      </c>
      <c r="AB40" s="542" t="s">
        <v>32</v>
      </c>
      <c r="AG40" s="542" t="s">
        <v>32</v>
      </c>
      <c r="AJ40" s="542" t="s">
        <v>32</v>
      </c>
      <c r="AM40" s="542" t="s">
        <v>32</v>
      </c>
      <c r="AO40" s="544"/>
      <c r="AP40" s="562"/>
    </row>
    <row r="41" ht="15.75" customHeight="1">
      <c r="A41" s="516"/>
      <c r="B41" s="537"/>
      <c r="E41" s="538"/>
      <c r="I41" s="538"/>
      <c r="K41" s="538"/>
      <c r="M41" s="538"/>
      <c r="O41" s="538"/>
      <c r="Q41" s="566"/>
      <c r="X41" s="538"/>
      <c r="AB41" s="538"/>
      <c r="AG41" s="538"/>
      <c r="AJ41" s="538"/>
      <c r="AM41" s="538"/>
      <c r="AO41" s="540"/>
      <c r="AP41" s="562"/>
    </row>
    <row r="42" ht="15.75" customHeight="1">
      <c r="A42" s="516"/>
      <c r="B42" s="541"/>
      <c r="E42" s="542"/>
      <c r="I42" s="542"/>
      <c r="K42" s="542"/>
      <c r="M42" s="542"/>
      <c r="O42" s="542"/>
      <c r="Q42" s="565"/>
      <c r="X42" s="542"/>
      <c r="AB42" s="542"/>
      <c r="AG42" s="542"/>
      <c r="AJ42" s="542"/>
      <c r="AM42" s="542"/>
      <c r="AO42" s="544"/>
      <c r="AP42" s="562"/>
    </row>
    <row r="43" ht="15.75" customHeight="1">
      <c r="A43" s="516"/>
      <c r="B43" s="537" t="s">
        <v>235</v>
      </c>
      <c r="E43" s="538" t="s">
        <v>32</v>
      </c>
      <c r="I43" s="538" t="s">
        <v>32</v>
      </c>
      <c r="K43" s="538" t="s">
        <v>636</v>
      </c>
      <c r="M43" s="538" t="s">
        <v>32</v>
      </c>
      <c r="O43" s="538" t="s">
        <v>32</v>
      </c>
      <c r="Q43" s="568" t="s">
        <v>637</v>
      </c>
      <c r="X43" s="538" t="s">
        <v>527</v>
      </c>
      <c r="AB43" s="538" t="s">
        <v>638</v>
      </c>
      <c r="AG43" s="538" t="s">
        <v>32</v>
      </c>
      <c r="AJ43" s="538" t="s">
        <v>32</v>
      </c>
      <c r="AM43" s="538" t="s">
        <v>32</v>
      </c>
      <c r="AO43" s="540"/>
      <c r="AP43" s="562">
        <f>if(isnumber(find(lower($B43),lower(concatenate(v2.1!$AR$6:$AR$15)))),vlookup($B43,v2.1!$AR$6:$AT$15,3,false),0)</f>
        <v>0</v>
      </c>
    </row>
    <row r="44" ht="15.75" customHeight="1">
      <c r="A44" s="516"/>
      <c r="B44" s="541"/>
      <c r="E44" s="542"/>
      <c r="I44" s="542"/>
      <c r="K44" s="542"/>
      <c r="M44" s="542"/>
      <c r="O44" s="542"/>
      <c r="Q44" s="565"/>
      <c r="X44" s="542"/>
      <c r="AB44" s="542"/>
      <c r="AG44" s="542"/>
      <c r="AJ44" s="542"/>
      <c r="AM44" s="542"/>
      <c r="AO44" s="544"/>
      <c r="AP44" s="562"/>
    </row>
    <row r="45" ht="15.75" customHeight="1">
      <c r="A45" s="516"/>
      <c r="B45" s="537"/>
      <c r="E45" s="538"/>
      <c r="I45" s="538"/>
      <c r="K45" s="538"/>
      <c r="M45" s="538"/>
      <c r="O45" s="538"/>
      <c r="Q45" s="566"/>
      <c r="X45" s="538"/>
      <c r="AB45" s="538"/>
      <c r="AG45" s="538"/>
      <c r="AJ45" s="538"/>
      <c r="AM45" s="538"/>
      <c r="AO45" s="540"/>
      <c r="AP45" s="562"/>
    </row>
    <row r="46" ht="15.75" customHeight="1">
      <c r="A46" s="516"/>
      <c r="B46" s="541"/>
      <c r="E46" s="542"/>
      <c r="I46" s="542"/>
      <c r="K46" s="542"/>
      <c r="M46" s="542"/>
      <c r="O46" s="542"/>
      <c r="Q46" s="565"/>
      <c r="X46" s="542"/>
      <c r="AB46" s="542"/>
      <c r="AG46" s="542"/>
      <c r="AJ46" s="542"/>
      <c r="AM46" s="542"/>
      <c r="AO46" s="544"/>
      <c r="AP46" s="562"/>
    </row>
    <row r="47" ht="15.75" customHeight="1">
      <c r="A47" s="516"/>
      <c r="B47" s="537" t="s">
        <v>235</v>
      </c>
      <c r="E47" s="538" t="s">
        <v>639</v>
      </c>
      <c r="I47" s="538" t="s">
        <v>32</v>
      </c>
      <c r="K47" s="538" t="s">
        <v>32</v>
      </c>
      <c r="M47" s="538" t="s">
        <v>32</v>
      </c>
      <c r="O47" s="538" t="s">
        <v>32</v>
      </c>
      <c r="Q47" s="566" t="s">
        <v>32</v>
      </c>
      <c r="X47" s="538" t="s">
        <v>32</v>
      </c>
      <c r="AB47" s="538" t="s">
        <v>32</v>
      </c>
      <c r="AG47" s="538" t="s">
        <v>32</v>
      </c>
      <c r="AJ47" s="538" t="s">
        <v>32</v>
      </c>
      <c r="AM47" s="538" t="s">
        <v>32</v>
      </c>
      <c r="AO47" s="540"/>
      <c r="AP47" s="562"/>
    </row>
    <row r="48" ht="15.75" customHeight="1">
      <c r="A48" s="516"/>
      <c r="B48" s="541"/>
      <c r="E48" s="542"/>
      <c r="I48" s="542"/>
      <c r="K48" s="542"/>
      <c r="M48" s="542"/>
      <c r="O48" s="542"/>
      <c r="Q48" s="565"/>
      <c r="X48" s="542"/>
      <c r="AB48" s="542"/>
      <c r="AG48" s="542"/>
      <c r="AJ48" s="542"/>
      <c r="AM48" s="542"/>
      <c r="AO48" s="544"/>
      <c r="AP48" s="562"/>
    </row>
    <row r="49" ht="15.75" customHeight="1">
      <c r="A49" s="516"/>
      <c r="B49" s="537"/>
      <c r="E49" s="538"/>
      <c r="I49" s="538"/>
      <c r="K49" s="538"/>
      <c r="M49" s="538"/>
      <c r="O49" s="538"/>
      <c r="Q49" s="566"/>
      <c r="X49" s="538"/>
      <c r="AB49" s="538"/>
      <c r="AG49" s="538"/>
      <c r="AJ49" s="538"/>
      <c r="AM49" s="538"/>
      <c r="AO49" s="540"/>
      <c r="AP49" s="562"/>
    </row>
    <row r="50" ht="15.75" customHeight="1">
      <c r="A50" s="516"/>
      <c r="B50" s="541"/>
      <c r="E50" s="542"/>
      <c r="I50" s="542"/>
      <c r="K50" s="542"/>
      <c r="M50" s="542"/>
      <c r="O50" s="542"/>
      <c r="Q50" s="565"/>
      <c r="X50" s="542"/>
      <c r="AB50" s="542"/>
      <c r="AG50" s="542"/>
      <c r="AJ50" s="542"/>
      <c r="AM50" s="542"/>
      <c r="AO50" s="544"/>
      <c r="AP50" s="562"/>
    </row>
    <row r="51" ht="15.75" customHeight="1">
      <c r="A51" s="516"/>
      <c r="B51" s="537"/>
      <c r="E51" s="538"/>
      <c r="I51" s="538"/>
      <c r="K51" s="538"/>
      <c r="M51" s="538"/>
      <c r="O51" s="538"/>
      <c r="Q51" s="566"/>
      <c r="X51" s="538"/>
      <c r="AB51" s="538"/>
      <c r="AG51" s="538"/>
      <c r="AJ51" s="538"/>
      <c r="AM51" s="538"/>
      <c r="AO51" s="540"/>
      <c r="AP51" s="562"/>
    </row>
    <row r="52" ht="15.75" customHeight="1">
      <c r="A52" s="516"/>
      <c r="B52" s="541" t="s">
        <v>237</v>
      </c>
      <c r="E52" s="542" t="s">
        <v>32</v>
      </c>
      <c r="I52" s="542" t="s">
        <v>640</v>
      </c>
      <c r="K52" s="542" t="s">
        <v>622</v>
      </c>
      <c r="M52" s="542" t="s">
        <v>32</v>
      </c>
      <c r="O52" s="542" t="s">
        <v>32</v>
      </c>
      <c r="Q52" s="565" t="str">
        <f>"Strength, Dexterity"&amp;if(MonkLevel&gt;=14,", Constitution, Intelligence, Wisdom, Charisma","")&amp;", Choose 2, Acrobatics, Athletics, History, Insight, Religion, Stealth"</f>
        <v>Strength, Dexterity, Choose 2, Acrobatics, Athletics, History, Insight, Religion, Stealth</v>
      </c>
      <c r="X52" s="542" t="s">
        <v>641</v>
      </c>
      <c r="AB52" s="542" t="s">
        <v>642</v>
      </c>
      <c r="AG52" s="542" t="s">
        <v>32</v>
      </c>
      <c r="AJ52" s="542" t="s">
        <v>32</v>
      </c>
      <c r="AM52" s="542" t="str">
        <f>if(MonkLevel,choose(MonkLevel,0,10,10,10,10,15,15,15,15,20,20,20,20,25,25,25,25,30,30,30),"-")</f>
        <v>-</v>
      </c>
      <c r="AO52" s="544"/>
      <c r="AP52" s="562">
        <f>if(isnumber(find(lower($B52),lower(concatenate(v2.1!$AR$6:$AR$15)))),vlookup($B52,v2.1!$AR$6:$AT$15,3,false),0)</f>
        <v>0</v>
      </c>
    </row>
    <row r="53" ht="15.75" customHeight="1">
      <c r="A53" s="516"/>
      <c r="B53" s="537"/>
      <c r="E53" s="538"/>
      <c r="I53" s="538"/>
      <c r="K53" s="538"/>
      <c r="M53" s="538"/>
      <c r="O53" s="538"/>
      <c r="Q53" s="566"/>
      <c r="X53" s="538"/>
      <c r="AB53" s="538"/>
      <c r="AG53" s="538"/>
      <c r="AJ53" s="538"/>
      <c r="AM53" s="538"/>
      <c r="AO53" s="540"/>
      <c r="AP53" s="562"/>
    </row>
    <row r="54" ht="15.75" customHeight="1">
      <c r="A54" s="516"/>
      <c r="B54" s="541"/>
      <c r="E54" s="542"/>
      <c r="I54" s="542"/>
      <c r="K54" s="542"/>
      <c r="M54" s="542"/>
      <c r="O54" s="542"/>
      <c r="Q54" s="565"/>
      <c r="X54" s="542"/>
      <c r="AB54" s="542"/>
      <c r="AG54" s="542"/>
      <c r="AJ54" s="542"/>
      <c r="AM54" s="542"/>
      <c r="AO54" s="544"/>
      <c r="AP54" s="562"/>
    </row>
    <row r="55" ht="15.75" customHeight="1">
      <c r="A55" s="516"/>
      <c r="B55" s="537"/>
      <c r="E55" s="538"/>
      <c r="I55" s="538"/>
      <c r="K55" s="538"/>
      <c r="M55" s="538"/>
      <c r="O55" s="538"/>
      <c r="Q55" s="566"/>
      <c r="X55" s="538"/>
      <c r="AB55" s="538"/>
      <c r="AG55" s="538"/>
      <c r="AJ55" s="538"/>
      <c r="AM55" s="538"/>
      <c r="AO55" s="540"/>
      <c r="AP55" s="562"/>
    </row>
    <row r="56" ht="15.75" customHeight="1">
      <c r="A56" s="516"/>
      <c r="B56" s="541"/>
      <c r="E56" s="542"/>
      <c r="I56" s="542"/>
      <c r="K56" s="542"/>
      <c r="M56" s="542"/>
      <c r="O56" s="542"/>
      <c r="Q56" s="565"/>
      <c r="X56" s="542"/>
      <c r="AB56" s="542"/>
      <c r="AG56" s="542"/>
      <c r="AJ56" s="542"/>
      <c r="AM56" s="542"/>
      <c r="AO56" s="544"/>
      <c r="AP56" s="562"/>
    </row>
    <row r="57" ht="15.75" customHeight="1">
      <c r="A57" s="516"/>
      <c r="B57" s="537"/>
      <c r="E57" s="538"/>
      <c r="I57" s="538"/>
      <c r="K57" s="538"/>
      <c r="M57" s="538"/>
      <c r="O57" s="538"/>
      <c r="Q57" s="566"/>
      <c r="X57" s="538"/>
      <c r="AB57" s="538"/>
      <c r="AG57" s="538"/>
      <c r="AJ57" s="538"/>
      <c r="AM57" s="538"/>
      <c r="AO57" s="540"/>
      <c r="AP57" s="562"/>
    </row>
    <row r="58" ht="15.75" customHeight="1">
      <c r="A58" s="516"/>
      <c r="B58" s="541" t="s">
        <v>237</v>
      </c>
      <c r="E58" s="542" t="s">
        <v>643</v>
      </c>
      <c r="I58" s="542" t="s">
        <v>32</v>
      </c>
      <c r="K58" s="542" t="s">
        <v>32</v>
      </c>
      <c r="M58" s="542" t="s">
        <v>32</v>
      </c>
      <c r="O58" s="542" t="s">
        <v>32</v>
      </c>
      <c r="Q58" s="565" t="s">
        <v>32</v>
      </c>
      <c r="X58" s="542" t="s">
        <v>32</v>
      </c>
      <c r="AB58" s="542" t="s">
        <v>32</v>
      </c>
      <c r="AG58" s="542" t="s">
        <v>32</v>
      </c>
      <c r="AJ58" s="542" t="s">
        <v>32</v>
      </c>
      <c r="AM58" s="542" t="s">
        <v>32</v>
      </c>
      <c r="AO58" s="544"/>
      <c r="AP58" s="562"/>
    </row>
    <row r="59" ht="15.75" customHeight="1">
      <c r="A59" s="516"/>
      <c r="B59" s="537"/>
      <c r="E59" s="538"/>
      <c r="I59" s="538"/>
      <c r="K59" s="538"/>
      <c r="M59" s="538"/>
      <c r="O59" s="538"/>
      <c r="Q59" s="566"/>
      <c r="X59" s="538"/>
      <c r="AB59" s="538"/>
      <c r="AG59" s="538"/>
      <c r="AJ59" s="538"/>
      <c r="AM59" s="538"/>
      <c r="AO59" s="540"/>
      <c r="AP59" s="562"/>
    </row>
    <row r="60" ht="15.75" customHeight="1">
      <c r="A60" s="516"/>
      <c r="B60" s="541" t="s">
        <v>239</v>
      </c>
      <c r="E60" s="542" t="s">
        <v>32</v>
      </c>
      <c r="I60" s="542" t="s">
        <v>32</v>
      </c>
      <c r="K60" s="542" t="s">
        <v>636</v>
      </c>
      <c r="M60" s="542" t="s">
        <v>32</v>
      </c>
      <c r="O60" s="542" t="s">
        <v>32</v>
      </c>
      <c r="Q60" s="565" t="s">
        <v>644</v>
      </c>
      <c r="X60" s="542" t="s">
        <v>527</v>
      </c>
      <c r="AB60" s="542" t="s">
        <v>638</v>
      </c>
      <c r="AG60" s="542" t="s">
        <v>645</v>
      </c>
      <c r="AJ60" s="542" t="s">
        <v>35</v>
      </c>
      <c r="AM60" s="542" t="s">
        <v>32</v>
      </c>
      <c r="AO60" s="544"/>
      <c r="AP60" s="562">
        <f>if(isnumber(find(lower($B60),lower(concatenate(v2.1!$AR$6:$AR$15)))),vlookup($B60,v2.1!$AR$6:$AT$15,3,false),0)</f>
        <v>0</v>
      </c>
    </row>
    <row r="61" ht="15.75" customHeight="1">
      <c r="A61" s="516"/>
      <c r="B61" s="537"/>
      <c r="E61" s="538"/>
      <c r="I61" s="538"/>
      <c r="K61" s="538"/>
      <c r="M61" s="538"/>
      <c r="O61" s="538"/>
      <c r="Q61" s="566"/>
      <c r="X61" s="538"/>
      <c r="AB61" s="538"/>
      <c r="AG61" s="538"/>
      <c r="AJ61" s="538"/>
      <c r="AM61" s="538"/>
      <c r="AO61" s="540"/>
      <c r="AP61" s="562"/>
    </row>
    <row r="62" ht="15.75" customHeight="1">
      <c r="A62" s="516"/>
      <c r="B62" s="541" t="s">
        <v>239</v>
      </c>
      <c r="E62" s="542" t="s">
        <v>646</v>
      </c>
      <c r="I62" s="542" t="s">
        <v>32</v>
      </c>
      <c r="K62" s="542" t="s">
        <v>32</v>
      </c>
      <c r="M62" s="542" t="s">
        <v>32</v>
      </c>
      <c r="O62" s="542" t="s">
        <v>32</v>
      </c>
      <c r="Q62" s="565" t="s">
        <v>32</v>
      </c>
      <c r="X62" s="542" t="s">
        <v>32</v>
      </c>
      <c r="AB62" s="542" t="s">
        <v>32</v>
      </c>
      <c r="AG62" s="542" t="s">
        <v>32</v>
      </c>
      <c r="AJ62" s="542" t="s">
        <v>32</v>
      </c>
      <c r="AM62" s="542" t="s">
        <v>32</v>
      </c>
      <c r="AO62" s="544"/>
      <c r="AP62" s="562"/>
    </row>
    <row r="63" ht="15.75" customHeight="1">
      <c r="A63" s="516"/>
      <c r="B63" s="537"/>
      <c r="E63" s="538"/>
      <c r="I63" s="538"/>
      <c r="K63" s="538"/>
      <c r="M63" s="538"/>
      <c r="O63" s="538"/>
      <c r="Q63" s="566"/>
      <c r="X63" s="538"/>
      <c r="AB63" s="538"/>
      <c r="AG63" s="538"/>
      <c r="AJ63" s="538"/>
      <c r="AM63" s="538"/>
      <c r="AO63" s="540"/>
      <c r="AP63" s="562"/>
    </row>
    <row r="64" ht="15.75" customHeight="1">
      <c r="A64" s="516"/>
      <c r="B64" s="541"/>
      <c r="E64" s="542"/>
      <c r="I64" s="542"/>
      <c r="K64" s="542"/>
      <c r="M64" s="542"/>
      <c r="O64" s="542"/>
      <c r="Q64" s="565"/>
      <c r="X64" s="542"/>
      <c r="AB64" s="542"/>
      <c r="AG64" s="542"/>
      <c r="AJ64" s="542"/>
      <c r="AM64" s="542"/>
      <c r="AO64" s="544"/>
      <c r="AP64" s="562"/>
    </row>
    <row r="65" ht="15.75" customHeight="1">
      <c r="A65" s="516"/>
      <c r="B65" s="537"/>
      <c r="E65" s="538"/>
      <c r="I65" s="538"/>
      <c r="K65" s="538"/>
      <c r="M65" s="538"/>
      <c r="O65" s="538"/>
      <c r="Q65" s="566"/>
      <c r="X65" s="538"/>
      <c r="AB65" s="538"/>
      <c r="AG65" s="538"/>
      <c r="AJ65" s="538"/>
      <c r="AM65" s="538"/>
      <c r="AO65" s="540"/>
      <c r="AP65" s="562"/>
    </row>
    <row r="66" ht="15.75" customHeight="1">
      <c r="A66" s="516"/>
      <c r="B66" s="541"/>
      <c r="E66" s="542"/>
      <c r="I66" s="542"/>
      <c r="K66" s="542"/>
      <c r="M66" s="542"/>
      <c r="O66" s="542"/>
      <c r="Q66" s="565"/>
      <c r="X66" s="542"/>
      <c r="AB66" s="542"/>
      <c r="AG66" s="542"/>
      <c r="AJ66" s="542"/>
      <c r="AM66" s="542"/>
      <c r="AO66" s="544"/>
      <c r="AP66" s="562"/>
    </row>
    <row r="67" ht="15.75" customHeight="1">
      <c r="A67" s="516"/>
      <c r="B67" s="537"/>
      <c r="E67" s="538"/>
      <c r="I67" s="538"/>
      <c r="K67" s="538"/>
      <c r="M67" s="538"/>
      <c r="O67" s="538"/>
      <c r="Q67" s="566"/>
      <c r="X67" s="538"/>
      <c r="AB67" s="538"/>
      <c r="AG67" s="538"/>
      <c r="AJ67" s="538"/>
      <c r="AM67" s="538"/>
      <c r="AO67" s="540"/>
      <c r="AP67" s="562"/>
    </row>
    <row r="68" ht="15.75" customHeight="1">
      <c r="A68" s="516"/>
      <c r="B68" s="541" t="s">
        <v>241</v>
      </c>
      <c r="E68" s="542" t="s">
        <v>32</v>
      </c>
      <c r="I68" s="542" t="s">
        <v>32</v>
      </c>
      <c r="K68" s="542" t="s">
        <v>636</v>
      </c>
      <c r="M68" s="542" t="s">
        <v>32</v>
      </c>
      <c r="O68" s="542" t="s">
        <v>32</v>
      </c>
      <c r="Q68" s="567" t="s">
        <v>647</v>
      </c>
      <c r="X68" s="542" t="s">
        <v>32</v>
      </c>
      <c r="AB68" s="542" t="s">
        <v>648</v>
      </c>
      <c r="AG68" s="542" t="s">
        <v>645</v>
      </c>
      <c r="AJ68" s="542" t="s">
        <v>33</v>
      </c>
      <c r="AM68" s="542" t="s">
        <v>32</v>
      </c>
      <c r="AO68" s="544"/>
      <c r="AP68" s="562">
        <f>if(isnumber(find(lower($B68),lower(concatenate(v2.1!$AR$6:$AR$15)))),vlookup($B68,v2.1!$AR$6:$AT$15,3,false),0)</f>
        <v>0</v>
      </c>
    </row>
    <row r="69" ht="15.75" customHeight="1">
      <c r="A69" s="516"/>
      <c r="B69" s="537"/>
      <c r="E69" s="538"/>
      <c r="I69" s="538"/>
      <c r="K69" s="538"/>
      <c r="M69" s="538"/>
      <c r="O69" s="538"/>
      <c r="Q69" s="566"/>
      <c r="X69" s="538"/>
      <c r="AB69" s="538"/>
      <c r="AG69" s="538"/>
      <c r="AJ69" s="538"/>
      <c r="AM69" s="538"/>
      <c r="AO69" s="540"/>
      <c r="AP69" s="562"/>
    </row>
    <row r="70" ht="15.75" customHeight="1">
      <c r="A70" s="516"/>
      <c r="B70" s="541"/>
      <c r="E70" s="542"/>
      <c r="I70" s="542"/>
      <c r="K70" s="542"/>
      <c r="M70" s="569"/>
      <c r="O70" s="542"/>
      <c r="Q70" s="565"/>
      <c r="X70" s="542"/>
      <c r="AB70" s="542"/>
      <c r="AG70" s="542"/>
      <c r="AJ70" s="542"/>
      <c r="AM70" s="542"/>
      <c r="AO70" s="544"/>
      <c r="AP70" s="562"/>
    </row>
    <row r="71" ht="15.75" customHeight="1">
      <c r="A71" s="516"/>
      <c r="B71" s="537"/>
      <c r="E71" s="538"/>
      <c r="I71" s="538"/>
      <c r="K71" s="538"/>
      <c r="M71" s="538"/>
      <c r="O71" s="538"/>
      <c r="Q71" s="566"/>
      <c r="X71" s="538"/>
      <c r="AB71" s="538"/>
      <c r="AG71" s="538"/>
      <c r="AJ71" s="538"/>
      <c r="AM71" s="538"/>
      <c r="AO71" s="540"/>
      <c r="AP71" s="562"/>
    </row>
    <row r="72" ht="15.75" customHeight="1">
      <c r="A72" s="516"/>
      <c r="B72" s="541" t="s">
        <v>241</v>
      </c>
      <c r="E72" s="542" t="s">
        <v>649</v>
      </c>
      <c r="I72" s="542" t="s">
        <v>32</v>
      </c>
      <c r="K72" s="542" t="s">
        <v>32</v>
      </c>
      <c r="M72" s="542"/>
      <c r="O72" s="542" t="s">
        <v>32</v>
      </c>
      <c r="Q72" s="565" t="s">
        <v>32</v>
      </c>
      <c r="X72" s="542" t="s">
        <v>32</v>
      </c>
      <c r="AB72" s="542" t="s">
        <v>32</v>
      </c>
      <c r="AG72" s="542" t="s">
        <v>32</v>
      </c>
      <c r="AJ72" s="542" t="s">
        <v>32</v>
      </c>
      <c r="AM72" s="542" t="s">
        <v>32</v>
      </c>
      <c r="AO72" s="544"/>
      <c r="AP72" s="562"/>
    </row>
    <row r="73" ht="15.75" customHeight="1">
      <c r="A73" s="516"/>
      <c r="B73" s="537"/>
      <c r="E73" s="538"/>
      <c r="I73" s="538"/>
      <c r="K73" s="538"/>
      <c r="M73" s="538"/>
      <c r="O73" s="538"/>
      <c r="Q73" s="566"/>
      <c r="X73" s="538"/>
      <c r="AB73" s="538"/>
      <c r="AG73" s="538"/>
      <c r="AJ73" s="538"/>
      <c r="AM73" s="538"/>
      <c r="AO73" s="540"/>
      <c r="AP73" s="562"/>
    </row>
    <row r="74" ht="15.75" customHeight="1">
      <c r="A74" s="516"/>
      <c r="B74" s="541" t="s">
        <v>243</v>
      </c>
      <c r="E74" s="542" t="s">
        <v>32</v>
      </c>
      <c r="I74" s="542" t="s">
        <v>32</v>
      </c>
      <c r="K74" s="542" t="s">
        <v>622</v>
      </c>
      <c r="M74" s="542" t="s">
        <v>32</v>
      </c>
      <c r="O74" s="542" t="s">
        <v>32</v>
      </c>
      <c r="Q74" s="567" t="s">
        <v>650</v>
      </c>
      <c r="X74" s="542" t="s">
        <v>651</v>
      </c>
      <c r="AB74" s="546" t="s">
        <v>652</v>
      </c>
      <c r="AG74" s="542" t="s">
        <v>32</v>
      </c>
      <c r="AJ74" s="542" t="s">
        <v>32</v>
      </c>
      <c r="AM74" s="542" t="s">
        <v>32</v>
      </c>
      <c r="AO74" s="544"/>
      <c r="AP74" s="562">
        <f>if(isnumber(find(lower($B74),lower(concatenate(v2.1!$AR$6:$AR$15)))),vlookup($B74,v2.1!$AR$6:$AT$15,3,false),0)</f>
        <v>0</v>
      </c>
    </row>
    <row r="75" ht="15.75" customHeight="1">
      <c r="A75" s="516"/>
      <c r="B75" s="537"/>
      <c r="E75" s="538"/>
      <c r="I75" s="538"/>
      <c r="K75" s="538"/>
      <c r="M75" s="538"/>
      <c r="O75" s="538"/>
      <c r="Q75" s="566"/>
      <c r="X75" s="538"/>
      <c r="AB75" s="538"/>
      <c r="AG75" s="538"/>
      <c r="AJ75" s="538"/>
      <c r="AM75" s="538"/>
      <c r="AO75" s="540"/>
      <c r="AP75" s="562"/>
    </row>
    <row r="76" ht="15.75" customHeight="1">
      <c r="A76" s="516"/>
      <c r="B76" s="541"/>
      <c r="E76" s="542"/>
      <c r="I76" s="542"/>
      <c r="K76" s="542"/>
      <c r="M76" s="542"/>
      <c r="O76" s="542"/>
      <c r="Q76" s="565"/>
      <c r="X76" s="542"/>
      <c r="AB76" s="542"/>
      <c r="AG76" s="542"/>
      <c r="AJ76" s="542"/>
      <c r="AM76" s="542"/>
      <c r="AO76" s="544"/>
      <c r="AP76" s="562"/>
    </row>
    <row r="77" ht="15.75" customHeight="1">
      <c r="A77" s="516"/>
      <c r="B77" s="537"/>
      <c r="E77" s="538"/>
      <c r="I77" s="538"/>
      <c r="K77" s="538"/>
      <c r="M77" s="538"/>
      <c r="O77" s="538"/>
      <c r="Q77" s="566"/>
      <c r="X77" s="538"/>
      <c r="AB77" s="538"/>
      <c r="AG77" s="538"/>
      <c r="AJ77" s="538"/>
      <c r="AM77" s="538"/>
      <c r="AO77" s="540"/>
      <c r="AP77" s="562"/>
    </row>
    <row r="78" ht="15.75" customHeight="1">
      <c r="A78" s="516"/>
      <c r="B78" s="541"/>
      <c r="E78" s="542"/>
      <c r="I78" s="542"/>
      <c r="K78" s="542"/>
      <c r="M78" s="542"/>
      <c r="O78" s="542"/>
      <c r="Q78" s="565"/>
      <c r="X78" s="542"/>
      <c r="AB78" s="542"/>
      <c r="AG78" s="542"/>
      <c r="AJ78" s="542"/>
      <c r="AM78" s="542"/>
      <c r="AO78" s="544"/>
      <c r="AP78" s="562"/>
    </row>
    <row r="79" ht="15.75" customHeight="1">
      <c r="A79" s="516"/>
      <c r="B79" s="537"/>
      <c r="E79" s="538"/>
      <c r="I79" s="538"/>
      <c r="K79" s="538"/>
      <c r="M79" s="538"/>
      <c r="O79" s="538"/>
      <c r="Q79" s="566"/>
      <c r="X79" s="538"/>
      <c r="AB79" s="538"/>
      <c r="AG79" s="538"/>
      <c r="AJ79" s="538"/>
      <c r="AM79" s="538"/>
      <c r="AO79" s="540"/>
      <c r="AP79" s="562"/>
    </row>
    <row r="80" ht="15.75" customHeight="1">
      <c r="A80" s="516"/>
      <c r="B80" s="541"/>
      <c r="E80" s="542"/>
      <c r="I80" s="542"/>
      <c r="K80" s="542"/>
      <c r="M80" s="569"/>
      <c r="O80" s="542"/>
      <c r="Q80" s="565"/>
      <c r="X80" s="542"/>
      <c r="AB80" s="542"/>
      <c r="AG80" s="542"/>
      <c r="AJ80" s="542"/>
      <c r="AM80" s="542"/>
      <c r="AO80" s="544"/>
      <c r="AP80" s="562"/>
    </row>
    <row r="81" ht="15.75" customHeight="1">
      <c r="A81" s="516"/>
      <c r="B81" s="537" t="s">
        <v>243</v>
      </c>
      <c r="E81" s="538" t="s">
        <v>653</v>
      </c>
      <c r="I81" s="538" t="s">
        <v>32</v>
      </c>
      <c r="K81" s="538" t="s">
        <v>32</v>
      </c>
      <c r="M81" s="538" t="s">
        <v>32</v>
      </c>
      <c r="O81" s="538" t="s">
        <v>32</v>
      </c>
      <c r="Q81" s="566" t="s">
        <v>32</v>
      </c>
      <c r="X81" s="538" t="s">
        <v>32</v>
      </c>
      <c r="AB81" s="538" t="s">
        <v>32</v>
      </c>
      <c r="AG81" s="538" t="s">
        <v>32</v>
      </c>
      <c r="AJ81" s="538" t="s">
        <v>32</v>
      </c>
      <c r="AM81" s="538" t="s">
        <v>32</v>
      </c>
      <c r="AO81" s="540"/>
      <c r="AP81" s="562"/>
    </row>
    <row r="82" ht="15.75" customHeight="1">
      <c r="A82" s="516"/>
      <c r="B82" s="541" t="s">
        <v>245</v>
      </c>
      <c r="E82" s="542" t="s">
        <v>32</v>
      </c>
      <c r="I82" s="542" t="s">
        <v>32</v>
      </c>
      <c r="K82" s="542" t="s">
        <v>654</v>
      </c>
      <c r="M82" s="542" t="s">
        <v>32</v>
      </c>
      <c r="O82" s="542" t="s">
        <v>32</v>
      </c>
      <c r="Q82" s="565" t="s">
        <v>655</v>
      </c>
      <c r="X82" s="542" t="s">
        <v>656</v>
      </c>
      <c r="AB82" s="542" t="s">
        <v>32</v>
      </c>
      <c r="AG82" s="542" t="s">
        <v>626</v>
      </c>
      <c r="AJ82" s="542" t="s">
        <v>35</v>
      </c>
      <c r="AM82" s="542" t="s">
        <v>32</v>
      </c>
      <c r="AO82" s="544"/>
      <c r="AP82" s="562">
        <f>if(isnumber(find(lower($B82),lower(concatenate(v2.1!$AR$6:$AR$15)))),vlookup($B82,v2.1!$AR$6:$AT$15,3,false),0)</f>
        <v>0</v>
      </c>
    </row>
    <row r="83" ht="15.75" customHeight="1">
      <c r="A83" s="516"/>
      <c r="B83" s="537"/>
      <c r="E83" s="538"/>
      <c r="I83" s="538"/>
      <c r="K83" s="538"/>
      <c r="M83" s="538"/>
      <c r="O83" s="538"/>
      <c r="Q83" s="566"/>
      <c r="X83" s="538"/>
      <c r="AB83" s="538"/>
      <c r="AG83" s="538"/>
      <c r="AJ83" s="538"/>
      <c r="AM83" s="538"/>
      <c r="AO83" s="540"/>
      <c r="AP83" s="562"/>
    </row>
    <row r="84" ht="15.75" customHeight="1">
      <c r="A84" s="516"/>
      <c r="B84" s="541" t="s">
        <v>245</v>
      </c>
      <c r="E84" s="542" t="s">
        <v>657</v>
      </c>
      <c r="I84" s="542" t="s">
        <v>658</v>
      </c>
      <c r="K84" s="542" t="s">
        <v>32</v>
      </c>
      <c r="M84" s="542" t="s">
        <v>32</v>
      </c>
      <c r="O84" s="542">
        <v>1.0</v>
      </c>
      <c r="Q84" s="565" t="s">
        <v>32</v>
      </c>
      <c r="X84" s="542" t="s">
        <v>32</v>
      </c>
      <c r="AB84" s="542" t="s">
        <v>32</v>
      </c>
      <c r="AG84" s="542" t="s">
        <v>32</v>
      </c>
      <c r="AJ84" s="542" t="s">
        <v>32</v>
      </c>
      <c r="AM84" s="542" t="s">
        <v>32</v>
      </c>
      <c r="AO84" s="544"/>
      <c r="AP84" s="562"/>
    </row>
    <row r="85" ht="15.75" customHeight="1">
      <c r="A85" s="516"/>
      <c r="B85" s="537"/>
      <c r="E85" s="538"/>
      <c r="I85" s="538"/>
      <c r="K85" s="538"/>
      <c r="M85" s="538"/>
      <c r="O85" s="538"/>
      <c r="Q85" s="566"/>
      <c r="X85" s="538"/>
      <c r="AB85" s="538"/>
      <c r="AG85" s="538"/>
      <c r="AJ85" s="538"/>
      <c r="AM85" s="538"/>
      <c r="AO85" s="540"/>
      <c r="AP85" s="562"/>
    </row>
    <row r="86" ht="15.75" customHeight="1">
      <c r="A86" s="516"/>
      <c r="B86" s="541"/>
      <c r="E86" s="542"/>
      <c r="I86" s="542"/>
      <c r="K86" s="542"/>
      <c r="M86" s="542"/>
      <c r="O86" s="542"/>
      <c r="Q86" s="565"/>
      <c r="X86" s="542"/>
      <c r="AB86" s="546"/>
      <c r="AG86" s="542"/>
      <c r="AJ86" s="542"/>
      <c r="AM86" s="542"/>
      <c r="AO86" s="544"/>
      <c r="AP86" s="562"/>
    </row>
    <row r="87" ht="15.75" customHeight="1">
      <c r="A87" s="516"/>
      <c r="B87" s="537"/>
      <c r="E87" s="538"/>
      <c r="I87" s="538"/>
      <c r="K87" s="538"/>
      <c r="M87" s="538"/>
      <c r="O87" s="538"/>
      <c r="Q87" s="566"/>
      <c r="X87" s="538"/>
      <c r="AB87" s="538"/>
      <c r="AG87" s="538"/>
      <c r="AJ87" s="538"/>
      <c r="AM87" s="538"/>
      <c r="AO87" s="540"/>
      <c r="AP87" s="562"/>
    </row>
    <row r="88" ht="15.75" customHeight="1">
      <c r="A88" s="516"/>
      <c r="B88" s="541" t="s">
        <v>248</v>
      </c>
      <c r="E88" s="542" t="s">
        <v>32</v>
      </c>
      <c r="I88" s="542" t="s">
        <v>32</v>
      </c>
      <c r="K88" s="542" t="s">
        <v>622</v>
      </c>
      <c r="M88" s="542" t="s">
        <v>32</v>
      </c>
      <c r="O88" s="542" t="s">
        <v>32</v>
      </c>
      <c r="Q88" s="565" t="s">
        <v>659</v>
      </c>
      <c r="X88" s="542" t="s">
        <v>32</v>
      </c>
      <c r="AB88" s="542" t="s">
        <v>660</v>
      </c>
      <c r="AG88" s="542" t="s">
        <v>661</v>
      </c>
      <c r="AJ88" s="542" t="s">
        <v>35</v>
      </c>
      <c r="AM88" s="542" t="s">
        <v>32</v>
      </c>
      <c r="AO88" s="544"/>
      <c r="AP88" s="562">
        <f>if(isnumber(find(lower($B88),lower(concatenate(v2.1!$AR$6:$AR$15)))),vlookup($B88,v2.1!$AR$6:$AT$15,3,false),0)</f>
        <v>0</v>
      </c>
    </row>
    <row r="89" ht="15.75" customHeight="1">
      <c r="A89" s="516"/>
      <c r="B89" s="537"/>
      <c r="E89" s="538"/>
      <c r="I89" s="538"/>
      <c r="K89" s="538"/>
      <c r="M89" s="538"/>
      <c r="O89" s="538"/>
      <c r="Q89" s="566"/>
      <c r="X89" s="538"/>
      <c r="AB89" s="538"/>
      <c r="AG89" s="538"/>
      <c r="AJ89" s="538"/>
      <c r="AM89" s="538"/>
      <c r="AO89" s="540"/>
      <c r="AP89" s="562"/>
    </row>
    <row r="90" ht="15.75" customHeight="1">
      <c r="A90" s="516"/>
      <c r="B90" s="541"/>
      <c r="E90" s="542"/>
      <c r="I90" s="542"/>
      <c r="K90" s="542"/>
      <c r="M90" s="542"/>
      <c r="O90" s="542"/>
      <c r="Q90" s="565"/>
      <c r="X90" s="542"/>
      <c r="AB90" s="542"/>
      <c r="AG90" s="542"/>
      <c r="AJ90" s="542"/>
      <c r="AM90" s="542"/>
      <c r="AO90" s="544"/>
      <c r="AP90" s="562"/>
    </row>
    <row r="91" ht="15.75" customHeight="1">
      <c r="A91" s="516"/>
      <c r="B91" s="537" t="s">
        <v>248</v>
      </c>
      <c r="E91" s="538" t="s">
        <v>662</v>
      </c>
      <c r="I91" s="538" t="s">
        <v>32</v>
      </c>
      <c r="K91" s="538" t="s">
        <v>32</v>
      </c>
      <c r="M91" s="538" t="s">
        <v>32</v>
      </c>
      <c r="O91" s="538" t="s">
        <v>32</v>
      </c>
      <c r="Q91" s="566" t="s">
        <v>32</v>
      </c>
      <c r="X91" s="538" t="s">
        <v>32</v>
      </c>
      <c r="AB91" s="538" t="s">
        <v>32</v>
      </c>
      <c r="AG91" s="538" t="s">
        <v>32</v>
      </c>
      <c r="AJ91" s="538" t="s">
        <v>32</v>
      </c>
      <c r="AM91" s="538" t="s">
        <v>32</v>
      </c>
      <c r="AO91" s="540"/>
      <c r="AP91" s="562"/>
    </row>
    <row r="92" ht="15.75" customHeight="1">
      <c r="A92" s="516"/>
      <c r="B92" s="541"/>
      <c r="E92" s="542"/>
      <c r="I92" s="542"/>
      <c r="K92" s="542"/>
      <c r="M92" s="542"/>
      <c r="O92" s="542"/>
      <c r="Q92" s="565"/>
      <c r="X92" s="542"/>
      <c r="AB92" s="542"/>
      <c r="AG92" s="542"/>
      <c r="AJ92" s="542"/>
      <c r="AM92" s="542"/>
      <c r="AO92" s="544"/>
      <c r="AP92" s="562"/>
    </row>
    <row r="93" ht="15.75" customHeight="1">
      <c r="A93" s="516"/>
      <c r="B93" s="537"/>
      <c r="E93" s="538"/>
      <c r="I93" s="538"/>
      <c r="K93" s="538"/>
      <c r="M93" s="538"/>
      <c r="O93" s="538"/>
      <c r="Q93" s="566"/>
      <c r="X93" s="538"/>
      <c r="AB93" s="538"/>
      <c r="AG93" s="538"/>
      <c r="AJ93" s="538"/>
      <c r="AM93" s="538"/>
      <c r="AO93" s="540"/>
      <c r="AP93" s="562"/>
    </row>
    <row r="94" ht="15.75" customHeight="1">
      <c r="A94" s="516"/>
      <c r="B94" s="541"/>
      <c r="E94" s="542"/>
      <c r="I94" s="542"/>
      <c r="K94" s="542"/>
      <c r="M94" s="542"/>
      <c r="O94" s="542"/>
      <c r="Q94" s="565"/>
      <c r="X94" s="542"/>
      <c r="AB94" s="542"/>
      <c r="AG94" s="542"/>
      <c r="AJ94" s="542"/>
      <c r="AM94" s="542"/>
      <c r="AO94" s="544"/>
      <c r="AP94" s="562"/>
    </row>
    <row r="95" ht="15.75" customHeight="1">
      <c r="A95" s="516"/>
      <c r="B95" s="537" t="s">
        <v>150</v>
      </c>
      <c r="E95" s="538" t="s">
        <v>32</v>
      </c>
      <c r="I95" s="538" t="s">
        <v>32</v>
      </c>
      <c r="K95" s="538" t="s">
        <v>654</v>
      </c>
      <c r="M95" s="538" t="s">
        <v>32</v>
      </c>
      <c r="O95" s="538" t="s">
        <v>32</v>
      </c>
      <c r="Q95" s="566" t="s">
        <v>663</v>
      </c>
      <c r="X95" s="538" t="s">
        <v>656</v>
      </c>
      <c r="AB95" s="538" t="s">
        <v>32</v>
      </c>
      <c r="AG95" s="538" t="s">
        <v>626</v>
      </c>
      <c r="AJ95" s="538" t="s">
        <v>30</v>
      </c>
      <c r="AM95" s="538" t="s">
        <v>32</v>
      </c>
      <c r="AO95" s="540"/>
      <c r="AP95" s="562">
        <f>if(isnumber(find(lower($B95),lower(concatenate(v2.1!$AR$6:$AR$15)))),vlookup($B95,v2.1!$AR$6:$AT$15,3,false),0)</f>
        <v>8</v>
      </c>
    </row>
    <row r="96" ht="15.75" customHeight="1">
      <c r="A96" s="516"/>
      <c r="B96" s="541"/>
      <c r="E96" s="542"/>
      <c r="I96" s="542"/>
      <c r="K96" s="542"/>
      <c r="M96" s="542"/>
      <c r="O96" s="542"/>
      <c r="Q96" s="565"/>
      <c r="X96" s="542"/>
      <c r="AB96" s="542"/>
      <c r="AG96" s="542"/>
      <c r="AJ96" s="542"/>
      <c r="AM96" s="542"/>
      <c r="AO96" s="544"/>
      <c r="AP96" s="562"/>
    </row>
    <row r="97" ht="15.75" customHeight="1">
      <c r="A97" s="516"/>
      <c r="B97" s="537"/>
      <c r="E97" s="538"/>
      <c r="I97" s="538"/>
      <c r="K97" s="538"/>
      <c r="M97" s="538"/>
      <c r="O97" s="538"/>
      <c r="Q97" s="566"/>
      <c r="X97" s="538"/>
      <c r="AB97" s="538"/>
      <c r="AG97" s="538"/>
      <c r="AJ97" s="538"/>
      <c r="AM97" s="538"/>
      <c r="AO97" s="540"/>
      <c r="AP97" s="562"/>
    </row>
    <row r="98" ht="15.75" customHeight="1">
      <c r="A98" s="516"/>
      <c r="B98" s="541"/>
      <c r="E98" s="542"/>
      <c r="I98" s="542"/>
      <c r="K98" s="542"/>
      <c r="M98" s="542"/>
      <c r="O98" s="542"/>
      <c r="Q98" s="565"/>
      <c r="X98" s="542"/>
      <c r="AB98" s="542"/>
      <c r="AG98" s="542"/>
      <c r="AJ98" s="542"/>
      <c r="AM98" s="542"/>
      <c r="AO98" s="544"/>
      <c r="AP98" s="562"/>
    </row>
    <row r="99" ht="15.75" customHeight="1">
      <c r="A99" s="516"/>
      <c r="B99" s="537"/>
      <c r="E99" s="538"/>
      <c r="I99" s="538"/>
      <c r="K99" s="538"/>
      <c r="M99" s="538"/>
      <c r="O99" s="538"/>
      <c r="Q99" s="566"/>
      <c r="X99" s="538"/>
      <c r="AB99" s="538"/>
      <c r="AG99" s="538"/>
      <c r="AJ99" s="538"/>
      <c r="AM99" s="538"/>
      <c r="AO99" s="540"/>
      <c r="AP99" s="562"/>
    </row>
    <row r="100" ht="15.75" customHeight="1">
      <c r="A100" s="516"/>
      <c r="B100" s="541"/>
      <c r="E100" s="542"/>
      <c r="I100" s="542"/>
      <c r="K100" s="542"/>
      <c r="M100" s="542"/>
      <c r="O100" s="542"/>
      <c r="Q100" s="565"/>
      <c r="X100" s="542"/>
      <c r="AB100" s="542"/>
      <c r="AG100" s="542"/>
      <c r="AJ100" s="542"/>
      <c r="AM100" s="542"/>
      <c r="AO100" s="544"/>
      <c r="AP100" s="562"/>
    </row>
    <row r="101" ht="15.75" customHeight="1">
      <c r="A101" s="516"/>
      <c r="B101" s="537" t="s">
        <v>150</v>
      </c>
      <c r="E101" s="538" t="s">
        <v>664</v>
      </c>
      <c r="I101" s="538" t="s">
        <v>32</v>
      </c>
      <c r="K101" s="538" t="s">
        <v>32</v>
      </c>
      <c r="M101" s="538" t="s">
        <v>32</v>
      </c>
      <c r="O101" s="538" t="s">
        <v>32</v>
      </c>
      <c r="Q101" s="566" t="s">
        <v>32</v>
      </c>
      <c r="X101" s="538" t="s">
        <v>32</v>
      </c>
      <c r="AB101" s="538" t="s">
        <v>32</v>
      </c>
      <c r="AG101" s="538" t="s">
        <v>32</v>
      </c>
      <c r="AJ101" s="538" t="s">
        <v>32</v>
      </c>
      <c r="AM101" s="538" t="s">
        <v>32</v>
      </c>
      <c r="AO101" s="540"/>
      <c r="AP101" s="562"/>
    </row>
    <row r="102" ht="15.75" customHeight="1">
      <c r="A102" s="516"/>
      <c r="B102" s="541"/>
      <c r="E102" s="542"/>
      <c r="I102" s="542"/>
      <c r="K102" s="542"/>
      <c r="M102" s="542"/>
      <c r="O102" s="542"/>
      <c r="Q102" s="565"/>
      <c r="X102" s="542"/>
      <c r="AB102" s="542"/>
      <c r="AG102" s="542"/>
      <c r="AJ102" s="542"/>
      <c r="AM102" s="542"/>
      <c r="AO102" s="544"/>
      <c r="AP102" s="562"/>
    </row>
    <row r="103" ht="15.75" customHeight="1">
      <c r="A103" s="516"/>
      <c r="B103" s="537"/>
      <c r="E103" s="538"/>
      <c r="I103" s="538"/>
      <c r="K103" s="538"/>
      <c r="M103" s="538"/>
      <c r="O103" s="538"/>
      <c r="Q103" s="566"/>
      <c r="X103" s="538"/>
      <c r="AB103" s="538"/>
      <c r="AG103" s="538"/>
      <c r="AJ103" s="538"/>
      <c r="AM103" s="538"/>
      <c r="AO103" s="540"/>
      <c r="AP103" s="562"/>
    </row>
    <row r="104" ht="15.75" customHeight="1">
      <c r="A104" s="516"/>
      <c r="B104" s="541"/>
      <c r="E104" s="542"/>
      <c r="I104" s="542"/>
      <c r="K104" s="542"/>
      <c r="M104" s="542"/>
      <c r="O104" s="542"/>
      <c r="Q104" s="565"/>
      <c r="X104" s="542"/>
      <c r="AB104" s="542"/>
      <c r="AG104" s="542"/>
      <c r="AJ104" s="542"/>
      <c r="AM104" s="542"/>
      <c r="AO104" s="544"/>
      <c r="AP104" s="562"/>
    </row>
    <row r="105" ht="15.75" customHeight="1">
      <c r="A105" s="516"/>
      <c r="B105" s="537"/>
      <c r="E105" s="538"/>
      <c r="I105" s="538"/>
      <c r="K105" s="538"/>
      <c r="M105" s="570"/>
      <c r="O105" s="538"/>
      <c r="Q105" s="566"/>
      <c r="X105" s="538"/>
      <c r="AB105" s="538"/>
      <c r="AG105" s="538"/>
      <c r="AJ105" s="538"/>
      <c r="AM105" s="538"/>
      <c r="AO105" s="540"/>
      <c r="AP105" s="562"/>
    </row>
    <row r="106" ht="15.75" customHeight="1">
      <c r="A106" s="516"/>
      <c r="B106" s="541"/>
      <c r="E106" s="542"/>
      <c r="I106" s="542"/>
      <c r="K106" s="542"/>
      <c r="M106" s="542"/>
      <c r="O106" s="542"/>
      <c r="Q106" s="546" t="s">
        <v>665</v>
      </c>
      <c r="X106" s="542"/>
      <c r="AB106" s="542"/>
      <c r="AG106" s="542"/>
      <c r="AJ106" s="542"/>
      <c r="AM106" s="542"/>
      <c r="AO106" s="544"/>
      <c r="AP106" s="562"/>
    </row>
    <row r="107" ht="15.75" customHeight="1">
      <c r="A107" s="516"/>
      <c r="B107" s="537"/>
      <c r="E107" s="538"/>
      <c r="I107" s="538"/>
      <c r="K107" s="538"/>
      <c r="M107" s="538"/>
      <c r="O107" s="538"/>
      <c r="Q107" s="538"/>
      <c r="X107" s="538"/>
      <c r="AB107" s="538"/>
      <c r="AG107" s="538"/>
      <c r="AJ107" s="538"/>
      <c r="AM107" s="538"/>
      <c r="AO107" s="540"/>
      <c r="AP107" s="562"/>
    </row>
    <row r="108" ht="15.75" customHeight="1">
      <c r="A108" s="516"/>
      <c r="B108" s="541"/>
      <c r="E108" s="542"/>
      <c r="I108" s="542"/>
      <c r="K108" s="542"/>
      <c r="M108" s="542"/>
      <c r="O108" s="542"/>
      <c r="Q108" s="542"/>
      <c r="X108" s="542"/>
      <c r="AB108" s="542"/>
      <c r="AG108" s="542"/>
      <c r="AJ108" s="542"/>
      <c r="AM108" s="542"/>
      <c r="AO108" s="544"/>
      <c r="AP108" s="562"/>
    </row>
    <row r="109" ht="15.75" customHeight="1">
      <c r="A109" s="516"/>
      <c r="B109" s="537"/>
      <c r="E109" s="538"/>
      <c r="I109" s="538"/>
      <c r="K109" s="538"/>
      <c r="M109" s="538"/>
      <c r="O109" s="538"/>
      <c r="Q109" s="538"/>
      <c r="X109" s="538"/>
      <c r="AB109" s="538"/>
      <c r="AG109" s="538"/>
      <c r="AJ109" s="538"/>
      <c r="AM109" s="538"/>
      <c r="AO109" s="540"/>
      <c r="AP109" s="562"/>
    </row>
    <row r="110" ht="15.75" customHeight="1">
      <c r="A110" s="516"/>
      <c r="B110" s="541"/>
      <c r="E110" s="542"/>
      <c r="I110" s="542"/>
      <c r="K110" s="542"/>
      <c r="M110" s="542"/>
      <c r="O110" s="542"/>
      <c r="Q110" s="542"/>
      <c r="X110" s="542"/>
      <c r="AB110" s="542"/>
      <c r="AG110" s="542"/>
      <c r="AJ110" s="542"/>
      <c r="AM110" s="542"/>
      <c r="AO110" s="544"/>
      <c r="AP110" s="562"/>
    </row>
    <row r="111" ht="15.75" customHeight="1">
      <c r="A111" s="516"/>
      <c r="B111" s="537"/>
      <c r="E111" s="538"/>
      <c r="I111" s="538"/>
      <c r="K111" s="538"/>
      <c r="M111" s="538"/>
      <c r="O111" s="538"/>
      <c r="Q111" s="538"/>
      <c r="X111" s="538"/>
      <c r="AB111" s="538"/>
      <c r="AG111" s="538"/>
      <c r="AJ111" s="538"/>
      <c r="AM111" s="538"/>
      <c r="AO111" s="540"/>
      <c r="AP111" s="562"/>
    </row>
    <row r="112" ht="15.75" customHeight="1">
      <c r="A112" s="516"/>
      <c r="B112" s="541"/>
      <c r="E112" s="542"/>
      <c r="I112" s="542"/>
      <c r="K112" s="542"/>
      <c r="M112" s="542"/>
      <c r="O112" s="542"/>
      <c r="Q112" s="542"/>
      <c r="X112" s="542"/>
      <c r="AB112" s="542"/>
      <c r="AG112" s="542"/>
      <c r="AJ112" s="542"/>
      <c r="AM112" s="542"/>
      <c r="AO112" s="544"/>
      <c r="AP112" s="562"/>
    </row>
    <row r="113" ht="15.75" customHeight="1">
      <c r="A113" s="516"/>
      <c r="B113" s="537"/>
      <c r="E113" s="538"/>
      <c r="I113" s="538"/>
      <c r="K113" s="538"/>
      <c r="M113" s="538"/>
      <c r="O113" s="538"/>
      <c r="Q113" s="538"/>
      <c r="X113" s="538"/>
      <c r="AB113" s="538"/>
      <c r="AG113" s="538"/>
      <c r="AJ113" s="538"/>
      <c r="AM113" s="538"/>
      <c r="AO113" s="540"/>
      <c r="AP113" s="562"/>
    </row>
    <row r="114" ht="15.75" customHeight="1">
      <c r="A114" s="516"/>
      <c r="B114" s="541"/>
      <c r="E114" s="542"/>
      <c r="I114" s="542"/>
      <c r="K114" s="542"/>
      <c r="M114" s="542"/>
      <c r="O114" s="542"/>
      <c r="Q114" s="542"/>
      <c r="X114" s="542"/>
      <c r="AB114" s="542"/>
      <c r="AG114" s="542"/>
      <c r="AJ114" s="542"/>
      <c r="AM114" s="542"/>
      <c r="AO114" s="544"/>
      <c r="AP114" s="562"/>
    </row>
    <row r="115" ht="15.75" customHeight="1">
      <c r="A115" s="516"/>
      <c r="B115" s="537"/>
      <c r="E115" s="538"/>
      <c r="I115" s="538"/>
      <c r="K115" s="538"/>
      <c r="M115" s="538"/>
      <c r="O115" s="538"/>
      <c r="Q115" s="538"/>
      <c r="X115" s="538"/>
      <c r="AB115" s="538"/>
      <c r="AG115" s="538"/>
      <c r="AJ115" s="538"/>
      <c r="AM115" s="538"/>
      <c r="AO115" s="540"/>
      <c r="AP115" s="562"/>
    </row>
    <row r="116" ht="15.75" customHeight="1">
      <c r="A116" s="516"/>
      <c r="B116" s="541"/>
      <c r="E116" s="542"/>
      <c r="I116" s="542"/>
      <c r="K116" s="542"/>
      <c r="M116" s="542"/>
      <c r="O116" s="542"/>
      <c r="Q116" s="542"/>
      <c r="X116" s="542"/>
      <c r="AB116" s="542"/>
      <c r="AG116" s="542"/>
      <c r="AJ116" s="542"/>
      <c r="AM116" s="542"/>
      <c r="AO116" s="544"/>
      <c r="AP116" s="562"/>
    </row>
    <row r="117" ht="15.75" customHeight="1">
      <c r="A117" s="516"/>
      <c r="B117" s="537"/>
      <c r="E117" s="538"/>
      <c r="I117" s="538"/>
      <c r="K117" s="538"/>
      <c r="M117" s="538"/>
      <c r="O117" s="538"/>
      <c r="Q117" s="538"/>
      <c r="X117" s="538"/>
      <c r="AB117" s="538"/>
      <c r="AG117" s="538"/>
      <c r="AJ117" s="538"/>
      <c r="AM117" s="538"/>
      <c r="AO117" s="540"/>
      <c r="AP117" s="562"/>
    </row>
    <row r="118" ht="15.75" customHeight="1">
      <c r="A118" s="516"/>
      <c r="B118" s="541"/>
      <c r="E118" s="542"/>
      <c r="I118" s="542"/>
      <c r="K118" s="542"/>
      <c r="M118" s="542"/>
      <c r="O118" s="542"/>
      <c r="Q118" s="542"/>
      <c r="X118" s="542"/>
      <c r="AB118" s="542"/>
      <c r="AG118" s="542"/>
      <c r="AJ118" s="542"/>
      <c r="AM118" s="542"/>
      <c r="AO118" s="544"/>
      <c r="AP118" s="562"/>
    </row>
    <row r="119" ht="15.75" customHeight="1">
      <c r="A119" s="516"/>
      <c r="B119" s="537"/>
      <c r="E119" s="538"/>
      <c r="I119" s="538"/>
      <c r="K119" s="538"/>
      <c r="M119" s="538"/>
      <c r="O119" s="538"/>
      <c r="Q119" s="538"/>
      <c r="X119" s="538"/>
      <c r="AB119" s="538"/>
      <c r="AG119" s="538"/>
      <c r="AJ119" s="538"/>
      <c r="AM119" s="538"/>
      <c r="AO119" s="540"/>
      <c r="AP119" s="562"/>
    </row>
    <row r="120" ht="15.75" customHeight="1">
      <c r="A120" s="516"/>
      <c r="B120" s="541"/>
      <c r="E120" s="542"/>
      <c r="I120" s="542"/>
      <c r="K120" s="542"/>
      <c r="M120" s="542"/>
      <c r="O120" s="542"/>
      <c r="Q120" s="542"/>
      <c r="X120" s="542"/>
      <c r="AB120" s="542"/>
      <c r="AG120" s="542"/>
      <c r="AJ120" s="542"/>
      <c r="AM120" s="542"/>
      <c r="AO120" s="544"/>
      <c r="AP120" s="562"/>
    </row>
    <row r="121" ht="15.75" customHeight="1">
      <c r="A121" s="516"/>
      <c r="B121" s="537"/>
      <c r="E121" s="538"/>
      <c r="I121" s="538"/>
      <c r="K121" s="538"/>
      <c r="M121" s="538"/>
      <c r="O121" s="538"/>
      <c r="Q121" s="538"/>
      <c r="X121" s="538"/>
      <c r="AB121" s="538"/>
      <c r="AG121" s="538"/>
      <c r="AJ121" s="538"/>
      <c r="AM121" s="538"/>
      <c r="AO121" s="540"/>
      <c r="AP121" s="562"/>
    </row>
    <row r="122" ht="15.75" customHeight="1">
      <c r="A122" s="516"/>
      <c r="B122" s="541"/>
      <c r="E122" s="542"/>
      <c r="I122" s="542"/>
      <c r="K122" s="542"/>
      <c r="M122" s="542"/>
      <c r="O122" s="542"/>
      <c r="Q122" s="542"/>
      <c r="X122" s="542"/>
      <c r="AB122" s="542"/>
      <c r="AG122" s="542"/>
      <c r="AJ122" s="542"/>
      <c r="AM122" s="542"/>
      <c r="AO122" s="544"/>
      <c r="AP122" s="562"/>
    </row>
    <row r="123" ht="15.75" customHeight="1">
      <c r="A123" s="516"/>
      <c r="B123" s="537"/>
      <c r="E123" s="538"/>
      <c r="I123" s="538"/>
      <c r="K123" s="538"/>
      <c r="M123" s="538"/>
      <c r="O123" s="538"/>
      <c r="Q123" s="538"/>
      <c r="X123" s="538"/>
      <c r="AB123" s="538"/>
      <c r="AG123" s="538"/>
      <c r="AJ123" s="538"/>
      <c r="AM123" s="538"/>
      <c r="AO123" s="540"/>
      <c r="AP123" s="562"/>
    </row>
    <row r="124" ht="15.75" customHeight="1">
      <c r="A124" s="516"/>
      <c r="B124" s="541"/>
      <c r="E124" s="542"/>
      <c r="I124" s="542"/>
      <c r="K124" s="542"/>
      <c r="M124" s="542"/>
      <c r="O124" s="542"/>
      <c r="Q124" s="542"/>
      <c r="X124" s="542"/>
      <c r="AB124" s="542"/>
      <c r="AG124" s="542"/>
      <c r="AJ124" s="542"/>
      <c r="AM124" s="542"/>
      <c r="AO124" s="544"/>
      <c r="AP124" s="562"/>
    </row>
    <row r="125" ht="15.75" customHeight="1">
      <c r="A125" s="516"/>
      <c r="B125" s="537"/>
      <c r="E125" s="538"/>
      <c r="I125" s="538"/>
      <c r="K125" s="538"/>
      <c r="M125" s="538"/>
      <c r="O125" s="538"/>
      <c r="Q125" s="538"/>
      <c r="X125" s="538"/>
      <c r="AB125" s="538"/>
      <c r="AG125" s="538"/>
      <c r="AJ125" s="538"/>
      <c r="AM125" s="538"/>
      <c r="AO125" s="540"/>
      <c r="AP125" s="562"/>
    </row>
    <row r="126" ht="15.75" customHeight="1">
      <c r="A126" s="516"/>
      <c r="B126" s="541"/>
      <c r="E126" s="542"/>
      <c r="I126" s="542"/>
      <c r="K126" s="542"/>
      <c r="M126" s="542"/>
      <c r="O126" s="542"/>
      <c r="Q126" s="542"/>
      <c r="X126" s="542"/>
      <c r="AB126" s="542"/>
      <c r="AG126" s="542"/>
      <c r="AJ126" s="542"/>
      <c r="AM126" s="542"/>
      <c r="AO126" s="544"/>
      <c r="AP126" s="562"/>
    </row>
    <row r="127" ht="15.75" customHeight="1">
      <c r="A127" s="516"/>
      <c r="B127" s="537"/>
      <c r="E127" s="538"/>
      <c r="I127" s="538"/>
      <c r="K127" s="538"/>
      <c r="M127" s="538"/>
      <c r="O127" s="538"/>
      <c r="Q127" s="538"/>
      <c r="X127" s="538"/>
      <c r="AB127" s="538"/>
      <c r="AG127" s="538"/>
      <c r="AJ127" s="538"/>
      <c r="AM127" s="538"/>
      <c r="AO127" s="540"/>
      <c r="AP127" s="562"/>
    </row>
    <row r="128" ht="15.75" customHeight="1">
      <c r="A128" s="516"/>
      <c r="B128" s="541"/>
      <c r="E128" s="542"/>
      <c r="I128" s="542"/>
      <c r="K128" s="542"/>
      <c r="M128" s="542"/>
      <c r="O128" s="542"/>
      <c r="Q128" s="542"/>
      <c r="X128" s="542"/>
      <c r="AB128" s="542"/>
      <c r="AG128" s="542"/>
      <c r="AJ128" s="542"/>
      <c r="AM128" s="542"/>
      <c r="AO128" s="544"/>
      <c r="AP128" s="562"/>
    </row>
    <row r="129" ht="15.75" customHeight="1">
      <c r="A129" s="516"/>
      <c r="B129" s="537"/>
      <c r="E129" s="538"/>
      <c r="I129" s="538"/>
      <c r="K129" s="538"/>
      <c r="M129" s="538"/>
      <c r="O129" s="538"/>
      <c r="Q129" s="538"/>
      <c r="X129" s="538"/>
      <c r="AB129" s="538"/>
      <c r="AG129" s="538"/>
      <c r="AJ129" s="538"/>
      <c r="AM129" s="538"/>
      <c r="AO129" s="540"/>
      <c r="AP129" s="562"/>
    </row>
    <row r="130" ht="15.75" customHeight="1">
      <c r="A130" s="516"/>
      <c r="B130" s="541"/>
      <c r="E130" s="542"/>
      <c r="I130" s="542"/>
      <c r="K130" s="542"/>
      <c r="M130" s="542"/>
      <c r="O130" s="542"/>
      <c r="Q130" s="542"/>
      <c r="X130" s="542"/>
      <c r="AB130" s="542"/>
      <c r="AG130" s="542"/>
      <c r="AJ130" s="542"/>
      <c r="AM130" s="542"/>
      <c r="AO130" s="544"/>
      <c r="AP130" s="562"/>
    </row>
    <row r="131" ht="15.75" customHeight="1">
      <c r="A131" s="516"/>
      <c r="B131" s="537"/>
      <c r="E131" s="538"/>
      <c r="I131" s="538"/>
      <c r="K131" s="538"/>
      <c r="M131" s="538"/>
      <c r="O131" s="538"/>
      <c r="Q131" s="538"/>
      <c r="X131" s="538"/>
      <c r="AB131" s="538"/>
      <c r="AG131" s="538"/>
      <c r="AJ131" s="538"/>
      <c r="AM131" s="538"/>
      <c r="AO131" s="540"/>
      <c r="AP131" s="562"/>
    </row>
    <row r="132" ht="15.75" customHeight="1">
      <c r="A132" s="516"/>
      <c r="B132" s="541"/>
      <c r="E132" s="542"/>
      <c r="I132" s="542"/>
      <c r="K132" s="542"/>
      <c r="M132" s="542"/>
      <c r="O132" s="542"/>
      <c r="Q132" s="542"/>
      <c r="X132" s="542"/>
      <c r="AB132" s="542"/>
      <c r="AG132" s="542"/>
      <c r="AJ132" s="542"/>
      <c r="AM132" s="542"/>
      <c r="AO132" s="544"/>
      <c r="AP132" s="562"/>
    </row>
    <row r="133" ht="15.75" customHeight="1">
      <c r="A133" s="516"/>
      <c r="B133" s="537"/>
      <c r="E133" s="538"/>
      <c r="I133" s="538"/>
      <c r="K133" s="538"/>
      <c r="M133" s="538"/>
      <c r="O133" s="538"/>
      <c r="Q133" s="538"/>
      <c r="X133" s="538"/>
      <c r="AB133" s="538"/>
      <c r="AG133" s="538"/>
      <c r="AJ133" s="538"/>
      <c r="AM133" s="538"/>
      <c r="AO133" s="540"/>
      <c r="AP133" s="562"/>
    </row>
    <row r="134" ht="15.75" customHeight="1">
      <c r="A134" s="516"/>
      <c r="B134" s="541"/>
      <c r="E134" s="542"/>
      <c r="I134" s="542"/>
      <c r="K134" s="542"/>
      <c r="M134" s="542"/>
      <c r="O134" s="542"/>
      <c r="Q134" s="542"/>
      <c r="X134" s="542"/>
      <c r="AB134" s="542"/>
      <c r="AG134" s="542"/>
      <c r="AJ134" s="542"/>
      <c r="AM134" s="542"/>
      <c r="AO134" s="544"/>
      <c r="AP134" s="562"/>
    </row>
    <row r="135" ht="15.75" customHeight="1">
      <c r="A135" s="516"/>
      <c r="B135" s="537"/>
      <c r="E135" s="538"/>
      <c r="I135" s="538"/>
      <c r="K135" s="538"/>
      <c r="M135" s="538"/>
      <c r="O135" s="538"/>
      <c r="Q135" s="538"/>
      <c r="X135" s="538"/>
      <c r="AB135" s="538"/>
      <c r="AG135" s="538"/>
      <c r="AJ135" s="538"/>
      <c r="AM135" s="538"/>
      <c r="AO135" s="540"/>
      <c r="AP135" s="562"/>
    </row>
    <row r="136" ht="15.75" customHeight="1">
      <c r="A136" s="516"/>
      <c r="B136" s="541"/>
      <c r="E136" s="542"/>
      <c r="I136" s="542"/>
      <c r="K136" s="542"/>
      <c r="M136" s="542"/>
      <c r="O136" s="542"/>
      <c r="Q136" s="542"/>
      <c r="X136" s="542"/>
      <c r="AB136" s="542"/>
      <c r="AG136" s="542"/>
      <c r="AJ136" s="542"/>
      <c r="AM136" s="542"/>
      <c r="AO136" s="544"/>
      <c r="AP136" s="562"/>
    </row>
    <row r="137" ht="15.75" customHeight="1">
      <c r="A137" s="516"/>
      <c r="B137" s="537"/>
      <c r="E137" s="538"/>
      <c r="I137" s="538"/>
      <c r="K137" s="538"/>
      <c r="M137" s="538"/>
      <c r="O137" s="538"/>
      <c r="Q137" s="538"/>
      <c r="X137" s="538"/>
      <c r="AB137" s="538"/>
      <c r="AG137" s="538"/>
      <c r="AJ137" s="538"/>
      <c r="AM137" s="538"/>
      <c r="AO137" s="540"/>
      <c r="AP137" s="562"/>
    </row>
    <row r="138" ht="15.75" customHeight="1">
      <c r="A138" s="516"/>
      <c r="B138" s="541"/>
      <c r="E138" s="542"/>
      <c r="I138" s="542"/>
      <c r="K138" s="542"/>
      <c r="M138" s="542"/>
      <c r="O138" s="542"/>
      <c r="Q138" s="542"/>
      <c r="X138" s="542"/>
      <c r="AB138" s="542"/>
      <c r="AG138" s="542"/>
      <c r="AJ138" s="542"/>
      <c r="AM138" s="542"/>
      <c r="AO138" s="544"/>
      <c r="AP138" s="562"/>
    </row>
    <row r="139" ht="15.75" customHeight="1">
      <c r="A139" s="516"/>
      <c r="B139" s="537"/>
      <c r="E139" s="538"/>
      <c r="I139" s="538"/>
      <c r="K139" s="538"/>
      <c r="M139" s="538"/>
      <c r="O139" s="538"/>
      <c r="Q139" s="538"/>
      <c r="X139" s="538"/>
      <c r="AB139" s="538"/>
      <c r="AG139" s="538"/>
      <c r="AJ139" s="538"/>
      <c r="AM139" s="538"/>
      <c r="AO139" s="540"/>
      <c r="AP139" s="562"/>
    </row>
    <row r="140" ht="15.75" customHeight="1">
      <c r="A140" s="516"/>
      <c r="B140" s="541"/>
      <c r="E140" s="542"/>
      <c r="I140" s="542"/>
      <c r="K140" s="542"/>
      <c r="M140" s="542"/>
      <c r="O140" s="542"/>
      <c r="Q140" s="542"/>
      <c r="X140" s="542"/>
      <c r="AB140" s="542"/>
      <c r="AG140" s="542"/>
      <c r="AJ140" s="542"/>
      <c r="AM140" s="542"/>
      <c r="AO140" s="544"/>
      <c r="AP140" s="562"/>
    </row>
    <row r="141" ht="15.75" customHeight="1">
      <c r="A141" s="516"/>
      <c r="B141" s="537"/>
      <c r="E141" s="538"/>
      <c r="I141" s="538"/>
      <c r="K141" s="538"/>
      <c r="M141" s="538"/>
      <c r="O141" s="538"/>
      <c r="Q141" s="538"/>
      <c r="X141" s="538"/>
      <c r="AB141" s="538"/>
      <c r="AG141" s="538"/>
      <c r="AJ141" s="538"/>
      <c r="AM141" s="538"/>
      <c r="AO141" s="540"/>
      <c r="AP141" s="562"/>
    </row>
    <row r="142" ht="15.75" customHeight="1">
      <c r="A142" s="516"/>
      <c r="B142" s="541"/>
      <c r="E142" s="542"/>
      <c r="I142" s="542"/>
      <c r="K142" s="542"/>
      <c r="M142" s="542"/>
      <c r="O142" s="542"/>
      <c r="Q142" s="542"/>
      <c r="X142" s="542"/>
      <c r="AB142" s="542"/>
      <c r="AG142" s="542"/>
      <c r="AJ142" s="542"/>
      <c r="AM142" s="542"/>
      <c r="AO142" s="544"/>
      <c r="AP142" s="562"/>
    </row>
    <row r="143" ht="15.75" customHeight="1">
      <c r="A143" s="516"/>
      <c r="B143" s="537"/>
      <c r="E143" s="538"/>
      <c r="I143" s="538"/>
      <c r="K143" s="538"/>
      <c r="M143" s="538"/>
      <c r="O143" s="538"/>
      <c r="Q143" s="538"/>
      <c r="X143" s="538"/>
      <c r="AB143" s="538"/>
      <c r="AG143" s="538"/>
      <c r="AJ143" s="538"/>
      <c r="AM143" s="538"/>
      <c r="AO143" s="540"/>
      <c r="AP143" s="562"/>
    </row>
    <row r="144" ht="15.75" customHeight="1">
      <c r="A144" s="516"/>
      <c r="B144" s="541"/>
      <c r="E144" s="542"/>
      <c r="I144" s="542"/>
      <c r="K144" s="542"/>
      <c r="M144" s="542"/>
      <c r="O144" s="542"/>
      <c r="Q144" s="542"/>
      <c r="X144" s="542"/>
      <c r="AB144" s="542"/>
      <c r="AG144" s="542"/>
      <c r="AJ144" s="542"/>
      <c r="AM144" s="542"/>
      <c r="AO144" s="544"/>
      <c r="AP144" s="562"/>
    </row>
    <row r="145" ht="15.75" customHeight="1">
      <c r="A145" s="516"/>
      <c r="B145" s="537"/>
      <c r="E145" s="538"/>
      <c r="I145" s="538"/>
      <c r="K145" s="538"/>
      <c r="M145" s="538"/>
      <c r="O145" s="538"/>
      <c r="Q145" s="538"/>
      <c r="X145" s="538"/>
      <c r="AB145" s="538"/>
      <c r="AG145" s="538"/>
      <c r="AJ145" s="538"/>
      <c r="AM145" s="538"/>
      <c r="AO145" s="540"/>
      <c r="AP145" s="562"/>
    </row>
    <row r="146" ht="15.75" customHeight="1">
      <c r="A146" s="516"/>
      <c r="B146" s="541"/>
      <c r="E146" s="542"/>
      <c r="I146" s="542"/>
      <c r="K146" s="542"/>
      <c r="M146" s="542"/>
      <c r="O146" s="542"/>
      <c r="Q146" s="542"/>
      <c r="X146" s="542"/>
      <c r="AB146" s="542"/>
      <c r="AG146" s="542"/>
      <c r="AJ146" s="542"/>
      <c r="AM146" s="542"/>
      <c r="AO146" s="544"/>
      <c r="AP146" s="562"/>
    </row>
    <row r="147" ht="15.75" customHeight="1">
      <c r="A147" s="516"/>
      <c r="B147" s="537"/>
      <c r="E147" s="538"/>
      <c r="I147" s="538"/>
      <c r="K147" s="538"/>
      <c r="M147" s="538"/>
      <c r="O147" s="538"/>
      <c r="Q147" s="538"/>
      <c r="X147" s="538"/>
      <c r="AB147" s="538"/>
      <c r="AG147" s="538"/>
      <c r="AJ147" s="538"/>
      <c r="AM147" s="538"/>
      <c r="AO147" s="540"/>
      <c r="AP147" s="562"/>
    </row>
    <row r="148" ht="15.75" customHeight="1">
      <c r="A148" s="516"/>
      <c r="B148" s="541"/>
      <c r="E148" s="542"/>
      <c r="I148" s="542"/>
      <c r="K148" s="542"/>
      <c r="M148" s="542"/>
      <c r="O148" s="542"/>
      <c r="Q148" s="542"/>
      <c r="X148" s="542"/>
      <c r="AB148" s="542"/>
      <c r="AG148" s="542"/>
      <c r="AJ148" s="542"/>
      <c r="AM148" s="542"/>
      <c r="AO148" s="544"/>
      <c r="AP148" s="562"/>
    </row>
    <row r="149" ht="15.75" customHeight="1">
      <c r="A149" s="516"/>
      <c r="B149" s="537"/>
      <c r="E149" s="538"/>
      <c r="I149" s="538"/>
      <c r="K149" s="538"/>
      <c r="M149" s="538"/>
      <c r="O149" s="538"/>
      <c r="Q149" s="538"/>
      <c r="X149" s="538"/>
      <c r="AB149" s="538"/>
      <c r="AG149" s="538"/>
      <c r="AJ149" s="538"/>
      <c r="AM149" s="538"/>
      <c r="AO149" s="540"/>
      <c r="AP149" s="562"/>
    </row>
    <row r="150" ht="15.75" customHeight="1">
      <c r="A150" s="516"/>
      <c r="B150" s="541"/>
      <c r="E150" s="542"/>
      <c r="I150" s="542"/>
      <c r="K150" s="542"/>
      <c r="M150" s="542"/>
      <c r="O150" s="542"/>
      <c r="Q150" s="542"/>
      <c r="X150" s="542"/>
      <c r="AB150" s="542"/>
      <c r="AG150" s="542"/>
      <c r="AJ150" s="542"/>
      <c r="AM150" s="542"/>
      <c r="AO150" s="544"/>
      <c r="AP150" s="562"/>
    </row>
    <row r="151" ht="15.75" customHeight="1">
      <c r="A151" s="516"/>
      <c r="B151" s="537"/>
      <c r="E151" s="538"/>
      <c r="I151" s="538"/>
      <c r="K151" s="538"/>
      <c r="M151" s="538"/>
      <c r="O151" s="538"/>
      <c r="Q151" s="538"/>
      <c r="X151" s="538"/>
      <c r="AB151" s="538"/>
      <c r="AG151" s="538"/>
      <c r="AJ151" s="538"/>
      <c r="AM151" s="538"/>
      <c r="AO151" s="540"/>
      <c r="AP151" s="562"/>
    </row>
    <row r="152" ht="15.75" customHeight="1">
      <c r="A152" s="516"/>
      <c r="B152" s="541"/>
      <c r="E152" s="542"/>
      <c r="I152" s="542"/>
      <c r="K152" s="542"/>
      <c r="M152" s="542"/>
      <c r="O152" s="542"/>
      <c r="Q152" s="542"/>
      <c r="X152" s="542"/>
      <c r="AB152" s="542"/>
      <c r="AG152" s="542"/>
      <c r="AJ152" s="542"/>
      <c r="AM152" s="542"/>
      <c r="AO152" s="544"/>
      <c r="AP152" s="562"/>
    </row>
    <row r="153" ht="15.75" customHeight="1">
      <c r="A153" s="516"/>
      <c r="B153" s="537"/>
      <c r="E153" s="538"/>
      <c r="I153" s="538"/>
      <c r="K153" s="538"/>
      <c r="M153" s="538"/>
      <c r="O153" s="538"/>
      <c r="Q153" s="538"/>
      <c r="X153" s="538"/>
      <c r="AB153" s="538"/>
      <c r="AG153" s="538"/>
      <c r="AJ153" s="538"/>
      <c r="AM153" s="538"/>
      <c r="AO153" s="540"/>
      <c r="AP153" s="562"/>
    </row>
    <row r="154" ht="15.75" customHeight="1">
      <c r="A154" s="516"/>
      <c r="B154" s="541"/>
      <c r="E154" s="542"/>
      <c r="I154" s="542"/>
      <c r="K154" s="542"/>
      <c r="M154" s="542"/>
      <c r="O154" s="542"/>
      <c r="Q154" s="542"/>
      <c r="X154" s="542"/>
      <c r="AB154" s="542"/>
      <c r="AG154" s="542"/>
      <c r="AJ154" s="542"/>
      <c r="AM154" s="542"/>
      <c r="AO154" s="544"/>
      <c r="AP154" s="562"/>
    </row>
    <row r="155" ht="15.75" customHeight="1">
      <c r="A155" s="516"/>
      <c r="B155" s="537"/>
      <c r="E155" s="538"/>
      <c r="I155" s="538"/>
      <c r="K155" s="538"/>
      <c r="M155" s="538"/>
      <c r="O155" s="538"/>
      <c r="Q155" s="538"/>
      <c r="X155" s="538"/>
      <c r="AB155" s="538"/>
      <c r="AG155" s="538"/>
      <c r="AJ155" s="538"/>
      <c r="AM155" s="538"/>
      <c r="AO155" s="540"/>
      <c r="AP155" s="562"/>
    </row>
    <row r="156" ht="15.75" customHeight="1">
      <c r="A156" s="516"/>
      <c r="B156" s="541"/>
      <c r="E156" s="542"/>
      <c r="I156" s="542"/>
      <c r="K156" s="542"/>
      <c r="M156" s="542"/>
      <c r="O156" s="542"/>
      <c r="Q156" s="542"/>
      <c r="X156" s="542"/>
      <c r="AB156" s="542"/>
      <c r="AG156" s="542"/>
      <c r="AJ156" s="542"/>
      <c r="AM156" s="542"/>
      <c r="AO156" s="544"/>
      <c r="AP156" s="562"/>
    </row>
    <row r="157" ht="15.75" customHeight="1">
      <c r="A157" s="516"/>
      <c r="B157" s="537"/>
      <c r="E157" s="538"/>
      <c r="I157" s="538"/>
      <c r="K157" s="538"/>
      <c r="M157" s="538"/>
      <c r="O157" s="538"/>
      <c r="Q157" s="538"/>
      <c r="X157" s="538"/>
      <c r="AB157" s="538"/>
      <c r="AG157" s="538"/>
      <c r="AJ157" s="538"/>
      <c r="AM157" s="538"/>
      <c r="AO157" s="540"/>
      <c r="AP157" s="562"/>
    </row>
    <row r="158" ht="15.75" customHeight="1">
      <c r="A158" s="516"/>
      <c r="B158" s="541"/>
      <c r="E158" s="542"/>
      <c r="I158" s="542"/>
      <c r="K158" s="542"/>
      <c r="M158" s="542"/>
      <c r="O158" s="542"/>
      <c r="Q158" s="542"/>
      <c r="X158" s="542"/>
      <c r="AB158" s="542"/>
      <c r="AG158" s="542"/>
      <c r="AJ158" s="542"/>
      <c r="AM158" s="542"/>
      <c r="AO158" s="544"/>
      <c r="AP158" s="562"/>
    </row>
    <row r="159" ht="15.75" customHeight="1">
      <c r="A159" s="516"/>
      <c r="B159" s="537"/>
      <c r="E159" s="538"/>
      <c r="I159" s="538"/>
      <c r="K159" s="538"/>
      <c r="M159" s="538"/>
      <c r="O159" s="538"/>
      <c r="Q159" s="538"/>
      <c r="X159" s="538"/>
      <c r="AB159" s="538"/>
      <c r="AG159" s="538"/>
      <c r="AJ159" s="538"/>
      <c r="AM159" s="538"/>
      <c r="AO159" s="540"/>
      <c r="AP159" s="562"/>
    </row>
    <row r="160" ht="15.75" customHeight="1">
      <c r="A160" s="516"/>
      <c r="B160" s="541"/>
      <c r="E160" s="542"/>
      <c r="I160" s="542"/>
      <c r="K160" s="542"/>
      <c r="M160" s="542"/>
      <c r="O160" s="542"/>
      <c r="Q160" s="542"/>
      <c r="X160" s="542"/>
      <c r="AB160" s="542"/>
      <c r="AG160" s="542"/>
      <c r="AJ160" s="542"/>
      <c r="AM160" s="542"/>
      <c r="AO160" s="544"/>
      <c r="AP160" s="562"/>
    </row>
    <row r="161" ht="15.75" customHeight="1">
      <c r="A161" s="516"/>
      <c r="B161" s="537"/>
      <c r="E161" s="538"/>
      <c r="I161" s="538"/>
      <c r="K161" s="538"/>
      <c r="M161" s="538"/>
      <c r="O161" s="538"/>
      <c r="Q161" s="538"/>
      <c r="X161" s="538"/>
      <c r="AB161" s="538"/>
      <c r="AG161" s="538"/>
      <c r="AJ161" s="538"/>
      <c r="AM161" s="538"/>
      <c r="AO161" s="540"/>
      <c r="AP161" s="562"/>
    </row>
    <row r="162" ht="15.75" customHeight="1">
      <c r="A162" s="516"/>
      <c r="B162" s="541"/>
      <c r="E162" s="542"/>
      <c r="I162" s="542"/>
      <c r="K162" s="542"/>
      <c r="M162" s="542"/>
      <c r="O162" s="542"/>
      <c r="Q162" s="542"/>
      <c r="X162" s="542"/>
      <c r="AB162" s="542"/>
      <c r="AG162" s="542"/>
      <c r="AJ162" s="542"/>
      <c r="AM162" s="542"/>
      <c r="AO162" s="544"/>
      <c r="AP162" s="562"/>
    </row>
    <row r="163" ht="15.75" customHeight="1">
      <c r="A163" s="516"/>
      <c r="B163" s="537"/>
      <c r="E163" s="538"/>
      <c r="I163" s="538"/>
      <c r="K163" s="538"/>
      <c r="M163" s="538"/>
      <c r="O163" s="538"/>
      <c r="Q163" s="538"/>
      <c r="X163" s="538"/>
      <c r="AB163" s="538"/>
      <c r="AG163" s="538"/>
      <c r="AJ163" s="538"/>
      <c r="AM163" s="538"/>
      <c r="AO163" s="540"/>
      <c r="AP163" s="562"/>
    </row>
    <row r="164" ht="15.75" customHeight="1">
      <c r="A164" s="516"/>
      <c r="B164" s="541"/>
      <c r="E164" s="542"/>
      <c r="I164" s="542"/>
      <c r="K164" s="542"/>
      <c r="M164" s="542"/>
      <c r="O164" s="542"/>
      <c r="Q164" s="542"/>
      <c r="X164" s="542"/>
      <c r="AB164" s="542"/>
      <c r="AG164" s="542"/>
      <c r="AJ164" s="542"/>
      <c r="AM164" s="542"/>
      <c r="AO164" s="544"/>
      <c r="AP164" s="562"/>
    </row>
    <row r="165" ht="15.75" customHeight="1">
      <c r="A165" s="516"/>
      <c r="B165" s="537"/>
      <c r="E165" s="538"/>
      <c r="I165" s="538"/>
      <c r="K165" s="538"/>
      <c r="M165" s="538"/>
      <c r="O165" s="538"/>
      <c r="Q165" s="538"/>
      <c r="X165" s="538"/>
      <c r="AB165" s="538"/>
      <c r="AG165" s="538"/>
      <c r="AJ165" s="538"/>
      <c r="AM165" s="538"/>
      <c r="AO165" s="540"/>
      <c r="AP165" s="562"/>
    </row>
    <row r="166" ht="15.75" customHeight="1">
      <c r="A166" s="516"/>
      <c r="B166" s="541"/>
      <c r="E166" s="542"/>
      <c r="I166" s="542"/>
      <c r="K166" s="542"/>
      <c r="M166" s="542"/>
      <c r="O166" s="542"/>
      <c r="Q166" s="542"/>
      <c r="X166" s="542"/>
      <c r="AB166" s="542"/>
      <c r="AG166" s="542"/>
      <c r="AJ166" s="542"/>
      <c r="AM166" s="542"/>
      <c r="AO166" s="544"/>
      <c r="AP166" s="562"/>
    </row>
    <row r="167" ht="15.75" customHeight="1">
      <c r="A167" s="516"/>
      <c r="B167" s="537"/>
      <c r="E167" s="538"/>
      <c r="I167" s="538"/>
      <c r="K167" s="538"/>
      <c r="M167" s="538"/>
      <c r="O167" s="538"/>
      <c r="Q167" s="538"/>
      <c r="X167" s="538"/>
      <c r="AB167" s="538"/>
      <c r="AG167" s="538"/>
      <c r="AJ167" s="538"/>
      <c r="AM167" s="538"/>
      <c r="AO167" s="540"/>
      <c r="AP167" s="562"/>
    </row>
    <row r="168" ht="15.75" customHeight="1">
      <c r="A168" s="516"/>
      <c r="B168" s="541"/>
      <c r="E168" s="542"/>
      <c r="I168" s="542"/>
      <c r="K168" s="542"/>
      <c r="M168" s="542"/>
      <c r="O168" s="542"/>
      <c r="Q168" s="542"/>
      <c r="X168" s="542"/>
      <c r="AB168" s="542"/>
      <c r="AG168" s="542"/>
      <c r="AJ168" s="542"/>
      <c r="AM168" s="542"/>
      <c r="AO168" s="544"/>
      <c r="AP168" s="562"/>
    </row>
    <row r="169" ht="15.75" customHeight="1">
      <c r="A169" s="516"/>
      <c r="B169" s="537"/>
      <c r="E169" s="538"/>
      <c r="I169" s="538"/>
      <c r="K169" s="538"/>
      <c r="M169" s="538"/>
      <c r="O169" s="538"/>
      <c r="Q169" s="538"/>
      <c r="X169" s="538"/>
      <c r="AB169" s="538"/>
      <c r="AG169" s="538"/>
      <c r="AJ169" s="538"/>
      <c r="AM169" s="538"/>
      <c r="AO169" s="540"/>
      <c r="AP169" s="562"/>
    </row>
    <row r="170" ht="15.75" customHeight="1">
      <c r="A170" s="516"/>
      <c r="B170" s="541"/>
      <c r="E170" s="542"/>
      <c r="I170" s="542"/>
      <c r="K170" s="542"/>
      <c r="M170" s="542"/>
      <c r="O170" s="542"/>
      <c r="Q170" s="542"/>
      <c r="X170" s="542"/>
      <c r="AB170" s="542"/>
      <c r="AG170" s="542"/>
      <c r="AJ170" s="542"/>
      <c r="AM170" s="542"/>
      <c r="AO170" s="544"/>
      <c r="AP170" s="562"/>
    </row>
    <row r="171" ht="15.75" customHeight="1">
      <c r="A171" s="516"/>
      <c r="B171" s="537"/>
      <c r="E171" s="538"/>
      <c r="I171" s="538"/>
      <c r="K171" s="538"/>
      <c r="M171" s="538"/>
      <c r="O171" s="538"/>
      <c r="Q171" s="538"/>
      <c r="X171" s="538"/>
      <c r="AB171" s="538"/>
      <c r="AG171" s="538"/>
      <c r="AJ171" s="538"/>
      <c r="AM171" s="538"/>
      <c r="AO171" s="540"/>
      <c r="AP171" s="562"/>
    </row>
    <row r="172" ht="15.75" customHeight="1">
      <c r="A172" s="516"/>
      <c r="B172" s="541"/>
      <c r="E172" s="542"/>
      <c r="I172" s="542"/>
      <c r="K172" s="542"/>
      <c r="M172" s="542"/>
      <c r="O172" s="542"/>
      <c r="Q172" s="542"/>
      <c r="X172" s="542"/>
      <c r="AB172" s="542"/>
      <c r="AG172" s="542"/>
      <c r="AJ172" s="542"/>
      <c r="AM172" s="542"/>
      <c r="AO172" s="544"/>
      <c r="AP172" s="562"/>
    </row>
    <row r="173" ht="15.75" customHeight="1">
      <c r="A173" s="516"/>
      <c r="B173" s="537"/>
      <c r="E173" s="538"/>
      <c r="I173" s="538"/>
      <c r="K173" s="538"/>
      <c r="M173" s="538"/>
      <c r="O173" s="538"/>
      <c r="Q173" s="538"/>
      <c r="X173" s="538"/>
      <c r="AB173" s="538"/>
      <c r="AG173" s="538"/>
      <c r="AJ173" s="538"/>
      <c r="AM173" s="538"/>
      <c r="AO173" s="540"/>
      <c r="AP173" s="562"/>
    </row>
    <row r="174" ht="15.75" customHeight="1">
      <c r="A174" s="516"/>
      <c r="B174" s="541"/>
      <c r="E174" s="542"/>
      <c r="I174" s="542"/>
      <c r="K174" s="542"/>
      <c r="M174" s="542"/>
      <c r="O174" s="542"/>
      <c r="Q174" s="542"/>
      <c r="X174" s="542"/>
      <c r="AB174" s="542"/>
      <c r="AG174" s="542"/>
      <c r="AJ174" s="542"/>
      <c r="AM174" s="542"/>
      <c r="AO174" s="544"/>
      <c r="AP174" s="562"/>
    </row>
    <row r="175" ht="15.75" customHeight="1">
      <c r="A175" s="516"/>
      <c r="B175" s="537"/>
      <c r="E175" s="538"/>
      <c r="I175" s="538"/>
      <c r="K175" s="538"/>
      <c r="M175" s="538"/>
      <c r="O175" s="538"/>
      <c r="Q175" s="538"/>
      <c r="X175" s="538"/>
      <c r="AB175" s="538"/>
      <c r="AG175" s="538"/>
      <c r="AJ175" s="538"/>
      <c r="AM175" s="538"/>
      <c r="AO175" s="540"/>
      <c r="AP175" s="562"/>
    </row>
    <row r="176" ht="15.75" customHeight="1">
      <c r="A176" s="516"/>
      <c r="B176" s="541"/>
      <c r="E176" s="542"/>
      <c r="I176" s="542"/>
      <c r="K176" s="542"/>
      <c r="M176" s="542"/>
      <c r="O176" s="542"/>
      <c r="Q176" s="542"/>
      <c r="X176" s="542"/>
      <c r="AB176" s="542"/>
      <c r="AG176" s="542"/>
      <c r="AJ176" s="542"/>
      <c r="AM176" s="542"/>
      <c r="AO176" s="544"/>
      <c r="AP176" s="562"/>
    </row>
    <row r="177" ht="15.75" customHeight="1">
      <c r="A177" s="516"/>
      <c r="B177" s="537"/>
      <c r="E177" s="538"/>
      <c r="I177" s="538"/>
      <c r="K177" s="538"/>
      <c r="M177" s="538"/>
      <c r="O177" s="538"/>
      <c r="Q177" s="538"/>
      <c r="X177" s="538"/>
      <c r="AB177" s="538"/>
      <c r="AG177" s="538"/>
      <c r="AJ177" s="538"/>
      <c r="AM177" s="538"/>
      <c r="AO177" s="540"/>
      <c r="AP177" s="562"/>
    </row>
    <row r="178" ht="15.75" customHeight="1">
      <c r="A178" s="516"/>
      <c r="B178" s="541"/>
      <c r="E178" s="542"/>
      <c r="I178" s="542"/>
      <c r="K178" s="542"/>
      <c r="M178" s="542"/>
      <c r="O178" s="542"/>
      <c r="Q178" s="542"/>
      <c r="X178" s="542"/>
      <c r="AB178" s="542"/>
      <c r="AG178" s="542"/>
      <c r="AJ178" s="542"/>
      <c r="AM178" s="542"/>
      <c r="AO178" s="544"/>
      <c r="AP178" s="562"/>
    </row>
    <row r="179" ht="15.75" customHeight="1">
      <c r="A179" s="516"/>
      <c r="B179" s="537"/>
      <c r="E179" s="538"/>
      <c r="I179" s="538"/>
      <c r="K179" s="538"/>
      <c r="M179" s="538"/>
      <c r="O179" s="538"/>
      <c r="Q179" s="538"/>
      <c r="X179" s="538"/>
      <c r="AB179" s="538"/>
      <c r="AG179" s="538"/>
      <c r="AJ179" s="538"/>
      <c r="AM179" s="538"/>
      <c r="AO179" s="540"/>
      <c r="AP179" s="562"/>
    </row>
    <row r="180" ht="15.75" customHeight="1">
      <c r="A180" s="516"/>
      <c r="B180" s="541"/>
      <c r="E180" s="542"/>
      <c r="I180" s="542"/>
      <c r="K180" s="542"/>
      <c r="M180" s="542"/>
      <c r="O180" s="542"/>
      <c r="Q180" s="542"/>
      <c r="X180" s="542"/>
      <c r="AB180" s="542"/>
      <c r="AG180" s="542"/>
      <c r="AJ180" s="542"/>
      <c r="AM180" s="542"/>
      <c r="AO180" s="544"/>
      <c r="AP180" s="562"/>
    </row>
    <row r="181" ht="15.75" customHeight="1">
      <c r="A181" s="516"/>
      <c r="B181" s="537"/>
      <c r="E181" s="538"/>
      <c r="I181" s="538"/>
      <c r="K181" s="538"/>
      <c r="M181" s="538"/>
      <c r="O181" s="538"/>
      <c r="Q181" s="538"/>
      <c r="X181" s="538"/>
      <c r="AB181" s="538"/>
      <c r="AG181" s="538"/>
      <c r="AJ181" s="538"/>
      <c r="AM181" s="538"/>
      <c r="AO181" s="540"/>
      <c r="AP181" s="562"/>
    </row>
    <row r="182" ht="15.75" customHeight="1">
      <c r="A182" s="516"/>
      <c r="B182" s="541"/>
      <c r="E182" s="542"/>
      <c r="I182" s="542"/>
      <c r="K182" s="542"/>
      <c r="M182" s="542"/>
      <c r="O182" s="542"/>
      <c r="Q182" s="542"/>
      <c r="X182" s="542"/>
      <c r="AB182" s="542"/>
      <c r="AG182" s="542"/>
      <c r="AJ182" s="542"/>
      <c r="AM182" s="542"/>
      <c r="AO182" s="544"/>
      <c r="AP182" s="562"/>
    </row>
    <row r="183" ht="15.75" customHeight="1">
      <c r="A183" s="516"/>
      <c r="B183" s="537"/>
      <c r="E183" s="538"/>
      <c r="I183" s="538"/>
      <c r="K183" s="538"/>
      <c r="M183" s="538"/>
      <c r="O183" s="538"/>
      <c r="Q183" s="538"/>
      <c r="X183" s="538"/>
      <c r="AB183" s="538"/>
      <c r="AG183" s="538"/>
      <c r="AJ183" s="538"/>
      <c r="AM183" s="538"/>
      <c r="AO183" s="540"/>
      <c r="AP183" s="562"/>
    </row>
    <row r="184" ht="15.75" customHeight="1">
      <c r="A184" s="516"/>
      <c r="B184" s="541"/>
      <c r="E184" s="542"/>
      <c r="I184" s="542"/>
      <c r="K184" s="542"/>
      <c r="M184" s="542"/>
      <c r="O184" s="542"/>
      <c r="Q184" s="542"/>
      <c r="X184" s="542"/>
      <c r="AB184" s="542"/>
      <c r="AG184" s="542"/>
      <c r="AJ184" s="542"/>
      <c r="AM184" s="542"/>
      <c r="AO184" s="544"/>
      <c r="AP184" s="562"/>
    </row>
    <row r="185" ht="15.75" customHeight="1">
      <c r="A185" s="516"/>
      <c r="B185" s="537"/>
      <c r="E185" s="538"/>
      <c r="I185" s="538"/>
      <c r="K185" s="538"/>
      <c r="M185" s="538"/>
      <c r="O185" s="538"/>
      <c r="Q185" s="538"/>
      <c r="X185" s="538"/>
      <c r="AB185" s="538"/>
      <c r="AG185" s="538"/>
      <c r="AJ185" s="538"/>
      <c r="AM185" s="538"/>
      <c r="AO185" s="540"/>
      <c r="AP185" s="562"/>
    </row>
    <row r="186" ht="15.75" customHeight="1">
      <c r="A186" s="516"/>
      <c r="B186" s="541"/>
      <c r="E186" s="542"/>
      <c r="I186" s="542"/>
      <c r="K186" s="542"/>
      <c r="M186" s="542"/>
      <c r="O186" s="542"/>
      <c r="Q186" s="542"/>
      <c r="X186" s="542"/>
      <c r="AB186" s="542"/>
      <c r="AG186" s="542"/>
      <c r="AJ186" s="542"/>
      <c r="AM186" s="542"/>
      <c r="AO186" s="544"/>
      <c r="AP186" s="562"/>
    </row>
    <row r="187" ht="15.75" customHeight="1">
      <c r="A187" s="516"/>
      <c r="B187" s="537"/>
      <c r="E187" s="538"/>
      <c r="I187" s="538"/>
      <c r="K187" s="538"/>
      <c r="M187" s="538"/>
      <c r="O187" s="538"/>
      <c r="Q187" s="538"/>
      <c r="X187" s="538"/>
      <c r="AB187" s="538"/>
      <c r="AG187" s="538"/>
      <c r="AJ187" s="538"/>
      <c r="AM187" s="538"/>
      <c r="AO187" s="540"/>
      <c r="AP187" s="562"/>
    </row>
    <row r="188" ht="15.75" customHeight="1">
      <c r="A188" s="516"/>
      <c r="B188" s="541"/>
      <c r="E188" s="542"/>
      <c r="I188" s="542"/>
      <c r="K188" s="542"/>
      <c r="M188" s="542"/>
      <c r="O188" s="542"/>
      <c r="Q188" s="542"/>
      <c r="X188" s="542"/>
      <c r="AB188" s="542"/>
      <c r="AG188" s="542"/>
      <c r="AJ188" s="542"/>
      <c r="AM188" s="542"/>
      <c r="AO188" s="544"/>
      <c r="AP188" s="562"/>
    </row>
    <row r="189" ht="15.75" customHeight="1">
      <c r="A189" s="516"/>
      <c r="B189" s="537"/>
      <c r="E189" s="538"/>
      <c r="I189" s="538"/>
      <c r="K189" s="538"/>
      <c r="M189" s="538"/>
      <c r="O189" s="538"/>
      <c r="Q189" s="538"/>
      <c r="X189" s="538"/>
      <c r="AB189" s="538"/>
      <c r="AG189" s="538"/>
      <c r="AJ189" s="538"/>
      <c r="AM189" s="538"/>
      <c r="AO189" s="540"/>
      <c r="AP189" s="562"/>
    </row>
    <row r="190" ht="15.75" customHeight="1">
      <c r="A190" s="516"/>
      <c r="B190" s="541"/>
      <c r="E190" s="542"/>
      <c r="I190" s="542"/>
      <c r="K190" s="542"/>
      <c r="M190" s="542"/>
      <c r="O190" s="542"/>
      <c r="Q190" s="542"/>
      <c r="X190" s="542"/>
      <c r="AB190" s="542"/>
      <c r="AG190" s="542"/>
      <c r="AJ190" s="542"/>
      <c r="AM190" s="542"/>
      <c r="AO190" s="544"/>
      <c r="AP190" s="562"/>
    </row>
    <row r="191" ht="15.75" customHeight="1">
      <c r="A191" s="516"/>
      <c r="B191" s="537"/>
      <c r="E191" s="538"/>
      <c r="I191" s="538"/>
      <c r="K191" s="538"/>
      <c r="M191" s="538"/>
      <c r="O191" s="538"/>
      <c r="Q191" s="538"/>
      <c r="X191" s="538"/>
      <c r="AB191" s="538"/>
      <c r="AG191" s="538"/>
      <c r="AJ191" s="538"/>
      <c r="AM191" s="538"/>
      <c r="AO191" s="540"/>
      <c r="AP191" s="562"/>
    </row>
    <row r="192" ht="15.75" customHeight="1">
      <c r="A192" s="516"/>
      <c r="B192" s="541"/>
      <c r="E192" s="542"/>
      <c r="I192" s="542"/>
      <c r="K192" s="542"/>
      <c r="M192" s="542"/>
      <c r="O192" s="542"/>
      <c r="Q192" s="542"/>
      <c r="X192" s="542"/>
      <c r="AB192" s="542"/>
      <c r="AG192" s="542"/>
      <c r="AJ192" s="542"/>
      <c r="AM192" s="542"/>
      <c r="AO192" s="544"/>
      <c r="AP192" s="562"/>
    </row>
    <row r="193" ht="15.75" customHeight="1">
      <c r="A193" s="516"/>
      <c r="B193" s="537"/>
      <c r="E193" s="538"/>
      <c r="I193" s="538"/>
      <c r="K193" s="538"/>
      <c r="M193" s="538"/>
      <c r="O193" s="538"/>
      <c r="Q193" s="538"/>
      <c r="X193" s="538"/>
      <c r="AB193" s="538"/>
      <c r="AG193" s="538"/>
      <c r="AJ193" s="538"/>
      <c r="AM193" s="538"/>
      <c r="AO193" s="540"/>
      <c r="AP193" s="562"/>
    </row>
    <row r="194" ht="15.75" customHeight="1">
      <c r="A194" s="516"/>
      <c r="B194" s="541"/>
      <c r="E194" s="542"/>
      <c r="I194" s="542"/>
      <c r="K194" s="542"/>
      <c r="M194" s="542"/>
      <c r="O194" s="542"/>
      <c r="Q194" s="542"/>
      <c r="X194" s="542"/>
      <c r="AB194" s="542"/>
      <c r="AG194" s="542"/>
      <c r="AJ194" s="542"/>
      <c r="AM194" s="542"/>
      <c r="AO194" s="544"/>
      <c r="AP194" s="562"/>
    </row>
    <row r="195" ht="15.75" customHeight="1">
      <c r="A195" s="516"/>
      <c r="B195" s="537"/>
      <c r="E195" s="538"/>
      <c r="I195" s="538"/>
      <c r="K195" s="538"/>
      <c r="M195" s="538"/>
      <c r="O195" s="538"/>
      <c r="Q195" s="538"/>
      <c r="X195" s="538"/>
      <c r="AB195" s="538"/>
      <c r="AG195" s="538"/>
      <c r="AJ195" s="538"/>
      <c r="AM195" s="538"/>
      <c r="AO195" s="540"/>
      <c r="AP195" s="562"/>
    </row>
    <row r="196" ht="15.75" customHeight="1">
      <c r="A196" s="516"/>
      <c r="B196" s="541"/>
      <c r="E196" s="542"/>
      <c r="I196" s="542"/>
      <c r="K196" s="542"/>
      <c r="M196" s="542"/>
      <c r="O196" s="542"/>
      <c r="Q196" s="542"/>
      <c r="X196" s="542"/>
      <c r="AB196" s="542"/>
      <c r="AG196" s="542"/>
      <c r="AJ196" s="542"/>
      <c r="AM196" s="542"/>
      <c r="AO196" s="544"/>
      <c r="AP196" s="562"/>
    </row>
    <row r="197" ht="15.75" customHeight="1">
      <c r="A197" s="516"/>
      <c r="B197" s="537"/>
      <c r="E197" s="538"/>
      <c r="I197" s="538"/>
      <c r="K197" s="538"/>
      <c r="M197" s="538"/>
      <c r="O197" s="538"/>
      <c r="Q197" s="538"/>
      <c r="X197" s="538"/>
      <c r="AB197" s="538"/>
      <c r="AG197" s="538"/>
      <c r="AJ197" s="538"/>
      <c r="AM197" s="538"/>
      <c r="AO197" s="540"/>
      <c r="AP197" s="562"/>
    </row>
    <row r="198" ht="15.75" customHeight="1">
      <c r="A198" s="516"/>
      <c r="B198" s="541"/>
      <c r="E198" s="542"/>
      <c r="I198" s="542"/>
      <c r="K198" s="542"/>
      <c r="M198" s="542"/>
      <c r="O198" s="542"/>
      <c r="Q198" s="542"/>
      <c r="X198" s="542"/>
      <c r="AB198" s="542"/>
      <c r="AG198" s="542"/>
      <c r="AJ198" s="542"/>
      <c r="AM198" s="542"/>
      <c r="AO198" s="544"/>
      <c r="AP198" s="562"/>
    </row>
    <row r="199" ht="15.75" customHeight="1">
      <c r="A199" s="516"/>
      <c r="B199" s="537"/>
      <c r="E199" s="538"/>
      <c r="I199" s="538"/>
      <c r="K199" s="538"/>
      <c r="M199" s="538"/>
      <c r="O199" s="538"/>
      <c r="Q199" s="538"/>
      <c r="X199" s="538"/>
      <c r="AB199" s="538"/>
      <c r="AG199" s="538"/>
      <c r="AJ199" s="538"/>
      <c r="AM199" s="538"/>
      <c r="AO199" s="540"/>
      <c r="AP199" s="562"/>
    </row>
    <row r="200" ht="15.75" customHeight="1">
      <c r="A200" s="516"/>
      <c r="B200" s="541"/>
      <c r="E200" s="542"/>
      <c r="I200" s="542"/>
      <c r="K200" s="542"/>
      <c r="M200" s="542"/>
      <c r="O200" s="542"/>
      <c r="Q200" s="542"/>
      <c r="X200" s="542"/>
      <c r="AB200" s="542"/>
      <c r="AG200" s="542"/>
      <c r="AJ200" s="542"/>
      <c r="AM200" s="542"/>
      <c r="AO200" s="544"/>
      <c r="AP200" s="562"/>
    </row>
    <row r="201" ht="15.75" customHeight="1">
      <c r="A201" s="516"/>
      <c r="B201" s="537"/>
      <c r="E201" s="538"/>
      <c r="I201" s="538"/>
      <c r="K201" s="538"/>
      <c r="M201" s="538"/>
      <c r="O201" s="538"/>
      <c r="Q201" s="538"/>
      <c r="X201" s="538"/>
      <c r="AB201" s="538"/>
      <c r="AG201" s="538"/>
      <c r="AJ201" s="538"/>
      <c r="AM201" s="538"/>
      <c r="AO201" s="540"/>
      <c r="AP201" s="562"/>
    </row>
  </sheetData>
  <mergeCells count="2361">
    <mergeCell ref="X8:AA8"/>
    <mergeCell ref="AB8:AF8"/>
    <mergeCell ref="AG8:AI8"/>
    <mergeCell ref="AJ8:AL8"/>
    <mergeCell ref="AM8:AO8"/>
    <mergeCell ref="B8:D8"/>
    <mergeCell ref="E8:H8"/>
    <mergeCell ref="I8:J8"/>
    <mergeCell ref="K8:L8"/>
    <mergeCell ref="M8:N8"/>
    <mergeCell ref="O8:P8"/>
    <mergeCell ref="Q8:W8"/>
    <mergeCell ref="X9:AA9"/>
    <mergeCell ref="AB9:AF9"/>
    <mergeCell ref="AG9:AI9"/>
    <mergeCell ref="AJ9:AL9"/>
    <mergeCell ref="AM9:AO9"/>
    <mergeCell ref="B9:D9"/>
    <mergeCell ref="E9:H9"/>
    <mergeCell ref="I9:J9"/>
    <mergeCell ref="K9:L9"/>
    <mergeCell ref="M9:N9"/>
    <mergeCell ref="O9:P9"/>
    <mergeCell ref="Q9:W9"/>
    <mergeCell ref="X10:AA10"/>
    <mergeCell ref="AB10:AF10"/>
    <mergeCell ref="AG10:AI10"/>
    <mergeCell ref="AJ10:AL10"/>
    <mergeCell ref="AM10:AO10"/>
    <mergeCell ref="B10:D10"/>
    <mergeCell ref="E10:H10"/>
    <mergeCell ref="I10:J10"/>
    <mergeCell ref="K10:L10"/>
    <mergeCell ref="M10:N10"/>
    <mergeCell ref="O10:P10"/>
    <mergeCell ref="Q10:W10"/>
    <mergeCell ref="X11:AA11"/>
    <mergeCell ref="AB11:AF11"/>
    <mergeCell ref="AG11:AI11"/>
    <mergeCell ref="AJ11:AL11"/>
    <mergeCell ref="AM11:AO11"/>
    <mergeCell ref="B11:D11"/>
    <mergeCell ref="E11:H11"/>
    <mergeCell ref="I11:J11"/>
    <mergeCell ref="K11:L11"/>
    <mergeCell ref="M11:N11"/>
    <mergeCell ref="O11:P11"/>
    <mergeCell ref="Q11:W11"/>
    <mergeCell ref="X12:AA12"/>
    <mergeCell ref="AB12:AF12"/>
    <mergeCell ref="AG12:AI12"/>
    <mergeCell ref="AJ12:AL12"/>
    <mergeCell ref="AM12:AO12"/>
    <mergeCell ref="B12:D12"/>
    <mergeCell ref="E12:H12"/>
    <mergeCell ref="I12:J12"/>
    <mergeCell ref="K12:L12"/>
    <mergeCell ref="M12:N12"/>
    <mergeCell ref="O12:P12"/>
    <mergeCell ref="Q12:W12"/>
    <mergeCell ref="X13:AA13"/>
    <mergeCell ref="AB13:AF13"/>
    <mergeCell ref="AG13:AI13"/>
    <mergeCell ref="AJ13:AL13"/>
    <mergeCell ref="AM13:AO13"/>
    <mergeCell ref="B13:D13"/>
    <mergeCell ref="E13:H13"/>
    <mergeCell ref="I13:J13"/>
    <mergeCell ref="K13:L13"/>
    <mergeCell ref="M13:N13"/>
    <mergeCell ref="O13:P13"/>
    <mergeCell ref="Q13:W13"/>
    <mergeCell ref="X14:AA14"/>
    <mergeCell ref="AB14:AF14"/>
    <mergeCell ref="AG14:AI14"/>
    <mergeCell ref="AJ14:AL14"/>
    <mergeCell ref="AM14:AO14"/>
    <mergeCell ref="B14:D14"/>
    <mergeCell ref="E14:H14"/>
    <mergeCell ref="I14:J14"/>
    <mergeCell ref="K14:L14"/>
    <mergeCell ref="M14:N14"/>
    <mergeCell ref="O14:P14"/>
    <mergeCell ref="Q14:W14"/>
    <mergeCell ref="X15:AA15"/>
    <mergeCell ref="AB15:AF15"/>
    <mergeCell ref="AG15:AI15"/>
    <mergeCell ref="AJ15:AL15"/>
    <mergeCell ref="AM15:AO15"/>
    <mergeCell ref="B15:D15"/>
    <mergeCell ref="E15:H15"/>
    <mergeCell ref="I15:J15"/>
    <mergeCell ref="K15:L15"/>
    <mergeCell ref="M15:N15"/>
    <mergeCell ref="O15:P15"/>
    <mergeCell ref="Q15:W15"/>
    <mergeCell ref="X16:AA16"/>
    <mergeCell ref="AB16:AF16"/>
    <mergeCell ref="AG16:AI16"/>
    <mergeCell ref="AJ16:AL16"/>
    <mergeCell ref="AM16:AO16"/>
    <mergeCell ref="B16:D16"/>
    <mergeCell ref="E16:H16"/>
    <mergeCell ref="I16:J16"/>
    <mergeCell ref="K16:L16"/>
    <mergeCell ref="M16:N16"/>
    <mergeCell ref="O16:P16"/>
    <mergeCell ref="Q16:W16"/>
    <mergeCell ref="X17:AA17"/>
    <mergeCell ref="AB17:AF17"/>
    <mergeCell ref="AG17:AI17"/>
    <mergeCell ref="AJ17:AL17"/>
    <mergeCell ref="AM17:AO17"/>
    <mergeCell ref="B17:D17"/>
    <mergeCell ref="E17:H17"/>
    <mergeCell ref="I17:J17"/>
    <mergeCell ref="K17:L17"/>
    <mergeCell ref="M17:N17"/>
    <mergeCell ref="O17:P17"/>
    <mergeCell ref="Q17:W17"/>
    <mergeCell ref="X18:AA18"/>
    <mergeCell ref="AB18:AF18"/>
    <mergeCell ref="AG18:AI18"/>
    <mergeCell ref="AJ18:AL18"/>
    <mergeCell ref="AM18:AO18"/>
    <mergeCell ref="B18:D18"/>
    <mergeCell ref="E18:H18"/>
    <mergeCell ref="I18:J18"/>
    <mergeCell ref="K18:L18"/>
    <mergeCell ref="M18:N18"/>
    <mergeCell ref="O18:P18"/>
    <mergeCell ref="Q18:W18"/>
    <mergeCell ref="X19:AA19"/>
    <mergeCell ref="AB19:AF19"/>
    <mergeCell ref="AG19:AI19"/>
    <mergeCell ref="AJ19:AL19"/>
    <mergeCell ref="AM19:AO19"/>
    <mergeCell ref="B19:D19"/>
    <mergeCell ref="E19:H19"/>
    <mergeCell ref="I19:J19"/>
    <mergeCell ref="K19:L19"/>
    <mergeCell ref="M19:N19"/>
    <mergeCell ref="O19:P19"/>
    <mergeCell ref="Q19:W19"/>
    <mergeCell ref="X20:AA20"/>
    <mergeCell ref="AB20:AF20"/>
    <mergeCell ref="AG20:AI20"/>
    <mergeCell ref="AJ20:AL20"/>
    <mergeCell ref="AM20:AO20"/>
    <mergeCell ref="B20:D20"/>
    <mergeCell ref="E20:H20"/>
    <mergeCell ref="I20:J20"/>
    <mergeCell ref="K20:L20"/>
    <mergeCell ref="M20:N20"/>
    <mergeCell ref="O20:P20"/>
    <mergeCell ref="Q20:W20"/>
    <mergeCell ref="X21:AA21"/>
    <mergeCell ref="AB21:AF21"/>
    <mergeCell ref="AG21:AI21"/>
    <mergeCell ref="AJ21:AL21"/>
    <mergeCell ref="AM21:AO21"/>
    <mergeCell ref="B21:D21"/>
    <mergeCell ref="E21:H21"/>
    <mergeCell ref="I21:J21"/>
    <mergeCell ref="K21:L21"/>
    <mergeCell ref="M21:N21"/>
    <mergeCell ref="O21:P21"/>
    <mergeCell ref="Q21:W21"/>
    <mergeCell ref="X22:AA22"/>
    <mergeCell ref="AB22:AF22"/>
    <mergeCell ref="AG22:AI22"/>
    <mergeCell ref="AJ22:AL22"/>
    <mergeCell ref="AM22:AO22"/>
    <mergeCell ref="B22:D22"/>
    <mergeCell ref="E22:H22"/>
    <mergeCell ref="I22:J22"/>
    <mergeCell ref="K22:L22"/>
    <mergeCell ref="M22:N22"/>
    <mergeCell ref="O22:P22"/>
    <mergeCell ref="Q22:W22"/>
    <mergeCell ref="X23:AA23"/>
    <mergeCell ref="AB23:AF23"/>
    <mergeCell ref="AG23:AI23"/>
    <mergeCell ref="AJ23:AL23"/>
    <mergeCell ref="AM23:AO23"/>
    <mergeCell ref="B23:D23"/>
    <mergeCell ref="E23:H23"/>
    <mergeCell ref="I23:J23"/>
    <mergeCell ref="K23:L23"/>
    <mergeCell ref="M23:N23"/>
    <mergeCell ref="O23:P23"/>
    <mergeCell ref="Q23:W23"/>
    <mergeCell ref="X24:AA24"/>
    <mergeCell ref="AB24:AF24"/>
    <mergeCell ref="AG24:AI24"/>
    <mergeCell ref="AJ24:AL24"/>
    <mergeCell ref="AM24:AO24"/>
    <mergeCell ref="B24:D24"/>
    <mergeCell ref="E24:H24"/>
    <mergeCell ref="I24:J24"/>
    <mergeCell ref="K24:L24"/>
    <mergeCell ref="M24:N24"/>
    <mergeCell ref="O24:P24"/>
    <mergeCell ref="Q24:W24"/>
    <mergeCell ref="X25:AA25"/>
    <mergeCell ref="AB25:AF25"/>
    <mergeCell ref="AG25:AI25"/>
    <mergeCell ref="AJ25:AL25"/>
    <mergeCell ref="AM25:AO25"/>
    <mergeCell ref="B25:D25"/>
    <mergeCell ref="E25:H25"/>
    <mergeCell ref="I25:J25"/>
    <mergeCell ref="K25:L25"/>
    <mergeCell ref="M25:N25"/>
    <mergeCell ref="O25:P25"/>
    <mergeCell ref="Q25:W25"/>
    <mergeCell ref="X26:AA26"/>
    <mergeCell ref="AB26:AF26"/>
    <mergeCell ref="AG26:AI26"/>
    <mergeCell ref="AJ26:AL26"/>
    <mergeCell ref="AM26:AO26"/>
    <mergeCell ref="B26:D26"/>
    <mergeCell ref="E26:H26"/>
    <mergeCell ref="I26:J26"/>
    <mergeCell ref="K26:L26"/>
    <mergeCell ref="M26:N26"/>
    <mergeCell ref="O26:P26"/>
    <mergeCell ref="Q26:W26"/>
    <mergeCell ref="X27:AA27"/>
    <mergeCell ref="AB27:AF27"/>
    <mergeCell ref="AG27:AI27"/>
    <mergeCell ref="AJ27:AL27"/>
    <mergeCell ref="AM27:AO27"/>
    <mergeCell ref="B27:D27"/>
    <mergeCell ref="E27:H27"/>
    <mergeCell ref="I27:J27"/>
    <mergeCell ref="K27:L27"/>
    <mergeCell ref="M27:N27"/>
    <mergeCell ref="O27:P27"/>
    <mergeCell ref="Q27:W27"/>
    <mergeCell ref="X28:AA28"/>
    <mergeCell ref="AB28:AF28"/>
    <mergeCell ref="AG28:AI28"/>
    <mergeCell ref="AJ28:AL28"/>
    <mergeCell ref="AM28:AO28"/>
    <mergeCell ref="B28:D28"/>
    <mergeCell ref="E28:H28"/>
    <mergeCell ref="I28:J28"/>
    <mergeCell ref="K28:L28"/>
    <mergeCell ref="M28:N28"/>
    <mergeCell ref="O28:P28"/>
    <mergeCell ref="Q28:W28"/>
    <mergeCell ref="X29:AA29"/>
    <mergeCell ref="AB29:AF29"/>
    <mergeCell ref="AG29:AI29"/>
    <mergeCell ref="AJ29:AL29"/>
    <mergeCell ref="AM29:AO29"/>
    <mergeCell ref="B29:D29"/>
    <mergeCell ref="E29:H29"/>
    <mergeCell ref="I29:J29"/>
    <mergeCell ref="K29:L29"/>
    <mergeCell ref="M29:N29"/>
    <mergeCell ref="O29:P29"/>
    <mergeCell ref="Q29:W29"/>
    <mergeCell ref="X30:AA30"/>
    <mergeCell ref="AB30:AF30"/>
    <mergeCell ref="AG30:AI30"/>
    <mergeCell ref="AJ30:AL30"/>
    <mergeCell ref="AM30:AO30"/>
    <mergeCell ref="B30:D30"/>
    <mergeCell ref="E30:H30"/>
    <mergeCell ref="I30:J30"/>
    <mergeCell ref="K30:L30"/>
    <mergeCell ref="M30:N30"/>
    <mergeCell ref="O30:P30"/>
    <mergeCell ref="Q30:W30"/>
    <mergeCell ref="X31:AA31"/>
    <mergeCell ref="AB31:AF31"/>
    <mergeCell ref="AG31:AI31"/>
    <mergeCell ref="AJ31:AL31"/>
    <mergeCell ref="AM31:AO31"/>
    <mergeCell ref="B31:D31"/>
    <mergeCell ref="E31:H31"/>
    <mergeCell ref="I31:J31"/>
    <mergeCell ref="K31:L31"/>
    <mergeCell ref="M31:N31"/>
    <mergeCell ref="O31:P31"/>
    <mergeCell ref="Q31:W31"/>
    <mergeCell ref="X32:AA32"/>
    <mergeCell ref="AB32:AF32"/>
    <mergeCell ref="AG32:AI32"/>
    <mergeCell ref="AJ32:AL32"/>
    <mergeCell ref="AM32:AO32"/>
    <mergeCell ref="B32:D32"/>
    <mergeCell ref="E32:H32"/>
    <mergeCell ref="I32:J32"/>
    <mergeCell ref="K32:L32"/>
    <mergeCell ref="M32:N32"/>
    <mergeCell ref="O32:P32"/>
    <mergeCell ref="Q32:W32"/>
    <mergeCell ref="X33:AA33"/>
    <mergeCell ref="AB33:AF33"/>
    <mergeCell ref="AG33:AI33"/>
    <mergeCell ref="AJ33:AL33"/>
    <mergeCell ref="AM33:AO33"/>
    <mergeCell ref="B33:D33"/>
    <mergeCell ref="E33:H33"/>
    <mergeCell ref="I33:J33"/>
    <mergeCell ref="K33:L33"/>
    <mergeCell ref="M33:N33"/>
    <mergeCell ref="O33:P33"/>
    <mergeCell ref="Q33:W33"/>
    <mergeCell ref="X34:AA34"/>
    <mergeCell ref="AB34:AF34"/>
    <mergeCell ref="AG34:AI34"/>
    <mergeCell ref="AJ34:AL34"/>
    <mergeCell ref="AM34:AO34"/>
    <mergeCell ref="B34:D34"/>
    <mergeCell ref="E34:H34"/>
    <mergeCell ref="I34:J34"/>
    <mergeCell ref="K34:L34"/>
    <mergeCell ref="M34:N34"/>
    <mergeCell ref="O34:P34"/>
    <mergeCell ref="Q34:W34"/>
    <mergeCell ref="X35:AA35"/>
    <mergeCell ref="AB35:AF35"/>
    <mergeCell ref="AG35:AI35"/>
    <mergeCell ref="AJ35:AL35"/>
    <mergeCell ref="AM35:AO35"/>
    <mergeCell ref="B35:D35"/>
    <mergeCell ref="E35:H35"/>
    <mergeCell ref="I35:J35"/>
    <mergeCell ref="K35:L35"/>
    <mergeCell ref="M35:N35"/>
    <mergeCell ref="O35:P35"/>
    <mergeCell ref="Q35:W35"/>
    <mergeCell ref="X36:AA36"/>
    <mergeCell ref="AB36:AF36"/>
    <mergeCell ref="AG36:AI36"/>
    <mergeCell ref="AJ36:AL36"/>
    <mergeCell ref="AM36:AO36"/>
    <mergeCell ref="B36:D36"/>
    <mergeCell ref="E36:H36"/>
    <mergeCell ref="I36:J36"/>
    <mergeCell ref="K36:L36"/>
    <mergeCell ref="M36:N36"/>
    <mergeCell ref="O36:P36"/>
    <mergeCell ref="Q36:W36"/>
    <mergeCell ref="X37:AA37"/>
    <mergeCell ref="AB37:AF37"/>
    <mergeCell ref="AG37:AI37"/>
    <mergeCell ref="AJ37:AL37"/>
    <mergeCell ref="AM37:AO37"/>
    <mergeCell ref="B37:D37"/>
    <mergeCell ref="E37:H37"/>
    <mergeCell ref="I37:J37"/>
    <mergeCell ref="K37:L37"/>
    <mergeCell ref="M37:N37"/>
    <mergeCell ref="O37:P37"/>
    <mergeCell ref="Q37:W37"/>
    <mergeCell ref="X38:AA38"/>
    <mergeCell ref="AB38:AF38"/>
    <mergeCell ref="AG38:AI38"/>
    <mergeCell ref="AJ38:AL38"/>
    <mergeCell ref="AM38:AO38"/>
    <mergeCell ref="B38:D38"/>
    <mergeCell ref="E38:H38"/>
    <mergeCell ref="I38:J38"/>
    <mergeCell ref="K38:L38"/>
    <mergeCell ref="M38:N38"/>
    <mergeCell ref="O38:P38"/>
    <mergeCell ref="Q38:W38"/>
    <mergeCell ref="X39:AA39"/>
    <mergeCell ref="AB39:AF39"/>
    <mergeCell ref="AG39:AI39"/>
    <mergeCell ref="AJ39:AL39"/>
    <mergeCell ref="AM39:AO39"/>
    <mergeCell ref="B39:D39"/>
    <mergeCell ref="E39:H39"/>
    <mergeCell ref="I39:J39"/>
    <mergeCell ref="K39:L39"/>
    <mergeCell ref="M39:N39"/>
    <mergeCell ref="O39:P39"/>
    <mergeCell ref="Q39:W39"/>
    <mergeCell ref="X40:AA40"/>
    <mergeCell ref="AB40:AF40"/>
    <mergeCell ref="AG40:AI40"/>
    <mergeCell ref="AJ40:AL40"/>
    <mergeCell ref="AM40:AO40"/>
    <mergeCell ref="B40:D40"/>
    <mergeCell ref="E40:H40"/>
    <mergeCell ref="I40:J40"/>
    <mergeCell ref="K40:L40"/>
    <mergeCell ref="M40:N40"/>
    <mergeCell ref="O40:P40"/>
    <mergeCell ref="Q40:W40"/>
    <mergeCell ref="X41:AA41"/>
    <mergeCell ref="AB41:AF41"/>
    <mergeCell ref="AG41:AI41"/>
    <mergeCell ref="AJ41:AL41"/>
    <mergeCell ref="AM41:AO41"/>
    <mergeCell ref="B41:D41"/>
    <mergeCell ref="E41:H41"/>
    <mergeCell ref="I41:J41"/>
    <mergeCell ref="K41:L41"/>
    <mergeCell ref="M41:N41"/>
    <mergeCell ref="O41:P41"/>
    <mergeCell ref="Q41:W41"/>
    <mergeCell ref="X42:AA42"/>
    <mergeCell ref="AB42:AF42"/>
    <mergeCell ref="AG42:AI42"/>
    <mergeCell ref="AJ42:AL42"/>
    <mergeCell ref="AM42:AO42"/>
    <mergeCell ref="B42:D42"/>
    <mergeCell ref="E42:H42"/>
    <mergeCell ref="I42:J42"/>
    <mergeCell ref="K42:L42"/>
    <mergeCell ref="M42:N42"/>
    <mergeCell ref="O42:P42"/>
    <mergeCell ref="Q42:W42"/>
    <mergeCell ref="X43:AA43"/>
    <mergeCell ref="AB43:AF43"/>
    <mergeCell ref="AG43:AI43"/>
    <mergeCell ref="AJ43:AL43"/>
    <mergeCell ref="AM43:AO43"/>
    <mergeCell ref="B43:D43"/>
    <mergeCell ref="E43:H43"/>
    <mergeCell ref="I43:J43"/>
    <mergeCell ref="K43:L43"/>
    <mergeCell ref="M43:N43"/>
    <mergeCell ref="O43:P43"/>
    <mergeCell ref="Q43:W43"/>
    <mergeCell ref="X44:AA44"/>
    <mergeCell ref="AB44:AF44"/>
    <mergeCell ref="AG44:AI44"/>
    <mergeCell ref="AJ44:AL44"/>
    <mergeCell ref="AM44:AO44"/>
    <mergeCell ref="B44:D44"/>
    <mergeCell ref="E44:H44"/>
    <mergeCell ref="I44:J44"/>
    <mergeCell ref="K44:L44"/>
    <mergeCell ref="M44:N44"/>
    <mergeCell ref="O44:P44"/>
    <mergeCell ref="Q44:W44"/>
    <mergeCell ref="X45:AA45"/>
    <mergeCell ref="AB45:AF45"/>
    <mergeCell ref="AG45:AI45"/>
    <mergeCell ref="AJ45:AL45"/>
    <mergeCell ref="AM45:AO45"/>
    <mergeCell ref="B45:D45"/>
    <mergeCell ref="E45:H45"/>
    <mergeCell ref="I45:J45"/>
    <mergeCell ref="K45:L45"/>
    <mergeCell ref="M45:N45"/>
    <mergeCell ref="O45:P45"/>
    <mergeCell ref="Q45:W45"/>
    <mergeCell ref="X46:AA46"/>
    <mergeCell ref="AB46:AF46"/>
    <mergeCell ref="AG46:AI46"/>
    <mergeCell ref="AJ46:AL46"/>
    <mergeCell ref="AM46:AO46"/>
    <mergeCell ref="B46:D46"/>
    <mergeCell ref="E46:H46"/>
    <mergeCell ref="I46:J46"/>
    <mergeCell ref="K46:L46"/>
    <mergeCell ref="M46:N46"/>
    <mergeCell ref="O46:P46"/>
    <mergeCell ref="Q46:W46"/>
    <mergeCell ref="X47:AA47"/>
    <mergeCell ref="AB47:AF47"/>
    <mergeCell ref="AG47:AI47"/>
    <mergeCell ref="AJ47:AL47"/>
    <mergeCell ref="AM47:AO47"/>
    <mergeCell ref="B47:D47"/>
    <mergeCell ref="E47:H47"/>
    <mergeCell ref="I47:J47"/>
    <mergeCell ref="K47:L47"/>
    <mergeCell ref="M47:N47"/>
    <mergeCell ref="O47:P47"/>
    <mergeCell ref="Q47:W47"/>
    <mergeCell ref="X48:AA48"/>
    <mergeCell ref="AB48:AF48"/>
    <mergeCell ref="AG48:AI48"/>
    <mergeCell ref="AJ48:AL48"/>
    <mergeCell ref="AM48:AO48"/>
    <mergeCell ref="B48:D48"/>
    <mergeCell ref="E48:H48"/>
    <mergeCell ref="I48:J48"/>
    <mergeCell ref="K48:L48"/>
    <mergeCell ref="M48:N48"/>
    <mergeCell ref="O48:P48"/>
    <mergeCell ref="Q48:W48"/>
    <mergeCell ref="X49:AA49"/>
    <mergeCell ref="AB49:AF49"/>
    <mergeCell ref="AG49:AI49"/>
    <mergeCell ref="AJ49:AL49"/>
    <mergeCell ref="AM49:AO49"/>
    <mergeCell ref="B49:D49"/>
    <mergeCell ref="E49:H49"/>
    <mergeCell ref="I49:J49"/>
    <mergeCell ref="K49:L49"/>
    <mergeCell ref="M49:N49"/>
    <mergeCell ref="O49:P49"/>
    <mergeCell ref="Q49:W49"/>
    <mergeCell ref="X50:AA50"/>
    <mergeCell ref="AB50:AF50"/>
    <mergeCell ref="AG50:AI50"/>
    <mergeCell ref="AJ50:AL50"/>
    <mergeCell ref="AM50:AO50"/>
    <mergeCell ref="B50:D50"/>
    <mergeCell ref="E50:H50"/>
    <mergeCell ref="I50:J50"/>
    <mergeCell ref="K50:L50"/>
    <mergeCell ref="M50:N50"/>
    <mergeCell ref="O50:P50"/>
    <mergeCell ref="Q50:W50"/>
    <mergeCell ref="X51:AA51"/>
    <mergeCell ref="AB51:AF51"/>
    <mergeCell ref="AG51:AI51"/>
    <mergeCell ref="AJ51:AL51"/>
    <mergeCell ref="AM51:AO51"/>
    <mergeCell ref="B51:D51"/>
    <mergeCell ref="E51:H51"/>
    <mergeCell ref="I51:J51"/>
    <mergeCell ref="K51:L51"/>
    <mergeCell ref="M51:N51"/>
    <mergeCell ref="O51:P51"/>
    <mergeCell ref="Q51:W51"/>
    <mergeCell ref="X52:AA52"/>
    <mergeCell ref="AB52:AF52"/>
    <mergeCell ref="AG52:AI52"/>
    <mergeCell ref="AJ52:AL52"/>
    <mergeCell ref="AM52:AO52"/>
    <mergeCell ref="B52:D52"/>
    <mergeCell ref="E52:H52"/>
    <mergeCell ref="I52:J52"/>
    <mergeCell ref="K52:L52"/>
    <mergeCell ref="M52:N52"/>
    <mergeCell ref="O52:P52"/>
    <mergeCell ref="Q52:W52"/>
    <mergeCell ref="X53:AA53"/>
    <mergeCell ref="AB53:AF53"/>
    <mergeCell ref="AG53:AI53"/>
    <mergeCell ref="AJ53:AL53"/>
    <mergeCell ref="AM53:AO53"/>
    <mergeCell ref="B53:D53"/>
    <mergeCell ref="E53:H53"/>
    <mergeCell ref="I53:J53"/>
    <mergeCell ref="K53:L53"/>
    <mergeCell ref="M53:N53"/>
    <mergeCell ref="O53:P53"/>
    <mergeCell ref="Q53:W53"/>
    <mergeCell ref="X54:AA54"/>
    <mergeCell ref="AB54:AF54"/>
    <mergeCell ref="AG54:AI54"/>
    <mergeCell ref="AJ54:AL54"/>
    <mergeCell ref="AM54:AO54"/>
    <mergeCell ref="B54:D54"/>
    <mergeCell ref="E54:H54"/>
    <mergeCell ref="I54:J54"/>
    <mergeCell ref="K54:L54"/>
    <mergeCell ref="M54:N54"/>
    <mergeCell ref="O54:P54"/>
    <mergeCell ref="Q54:W54"/>
    <mergeCell ref="X55:AA55"/>
    <mergeCell ref="AB55:AF55"/>
    <mergeCell ref="AG55:AI55"/>
    <mergeCell ref="AJ55:AL55"/>
    <mergeCell ref="AM55:AO55"/>
    <mergeCell ref="B55:D55"/>
    <mergeCell ref="E55:H55"/>
    <mergeCell ref="I55:J55"/>
    <mergeCell ref="K55:L55"/>
    <mergeCell ref="M55:N55"/>
    <mergeCell ref="O55:P55"/>
    <mergeCell ref="Q55:W55"/>
    <mergeCell ref="X56:AA56"/>
    <mergeCell ref="AB56:AF56"/>
    <mergeCell ref="AG56:AI56"/>
    <mergeCell ref="AJ56:AL56"/>
    <mergeCell ref="AM56:AO56"/>
    <mergeCell ref="B56:D56"/>
    <mergeCell ref="E56:H56"/>
    <mergeCell ref="I56:J56"/>
    <mergeCell ref="K56:L56"/>
    <mergeCell ref="M56:N56"/>
    <mergeCell ref="O56:P56"/>
    <mergeCell ref="Q56:W56"/>
    <mergeCell ref="X57:AA57"/>
    <mergeCell ref="AB57:AF57"/>
    <mergeCell ref="AG57:AI57"/>
    <mergeCell ref="AJ57:AL57"/>
    <mergeCell ref="AM57:AO57"/>
    <mergeCell ref="B57:D57"/>
    <mergeCell ref="E57:H57"/>
    <mergeCell ref="I57:J57"/>
    <mergeCell ref="K57:L57"/>
    <mergeCell ref="M57:N57"/>
    <mergeCell ref="O57:P57"/>
    <mergeCell ref="Q57:W57"/>
    <mergeCell ref="X58:AA58"/>
    <mergeCell ref="AB58:AF58"/>
    <mergeCell ref="AG58:AI58"/>
    <mergeCell ref="AJ58:AL58"/>
    <mergeCell ref="AM58:AO58"/>
    <mergeCell ref="B58:D58"/>
    <mergeCell ref="E58:H58"/>
    <mergeCell ref="I58:J58"/>
    <mergeCell ref="K58:L58"/>
    <mergeCell ref="M58:N58"/>
    <mergeCell ref="O58:P58"/>
    <mergeCell ref="Q58:W58"/>
    <mergeCell ref="X59:AA59"/>
    <mergeCell ref="AB59:AF59"/>
    <mergeCell ref="AG59:AI59"/>
    <mergeCell ref="AJ59:AL59"/>
    <mergeCell ref="AM59:AO59"/>
    <mergeCell ref="B59:D59"/>
    <mergeCell ref="E59:H59"/>
    <mergeCell ref="I59:J59"/>
    <mergeCell ref="K59:L59"/>
    <mergeCell ref="M59:N59"/>
    <mergeCell ref="O59:P59"/>
    <mergeCell ref="Q59:W59"/>
    <mergeCell ref="X60:AA60"/>
    <mergeCell ref="AB60:AF60"/>
    <mergeCell ref="AG60:AI60"/>
    <mergeCell ref="AJ60:AL60"/>
    <mergeCell ref="AM60:AO60"/>
    <mergeCell ref="B60:D60"/>
    <mergeCell ref="E60:H60"/>
    <mergeCell ref="I60:J60"/>
    <mergeCell ref="K60:L60"/>
    <mergeCell ref="M60:N60"/>
    <mergeCell ref="O60:P60"/>
    <mergeCell ref="Q60:W60"/>
    <mergeCell ref="X61:AA61"/>
    <mergeCell ref="AB61:AF61"/>
    <mergeCell ref="AG61:AI61"/>
    <mergeCell ref="AJ61:AL61"/>
    <mergeCell ref="AM61:AO61"/>
    <mergeCell ref="B61:D61"/>
    <mergeCell ref="E61:H61"/>
    <mergeCell ref="I61:J61"/>
    <mergeCell ref="K61:L61"/>
    <mergeCell ref="M61:N61"/>
    <mergeCell ref="O61:P61"/>
    <mergeCell ref="Q61:W61"/>
    <mergeCell ref="X62:AA62"/>
    <mergeCell ref="AB62:AF62"/>
    <mergeCell ref="AG62:AI62"/>
    <mergeCell ref="AJ62:AL62"/>
    <mergeCell ref="AM62:AO62"/>
    <mergeCell ref="B62:D62"/>
    <mergeCell ref="E62:H62"/>
    <mergeCell ref="I62:J62"/>
    <mergeCell ref="K62:L62"/>
    <mergeCell ref="M62:N62"/>
    <mergeCell ref="O62:P62"/>
    <mergeCell ref="Q62:W62"/>
    <mergeCell ref="X63:AA63"/>
    <mergeCell ref="AB63:AF63"/>
    <mergeCell ref="AG63:AI63"/>
    <mergeCell ref="AJ63:AL63"/>
    <mergeCell ref="AM63:AO63"/>
    <mergeCell ref="B63:D63"/>
    <mergeCell ref="E63:H63"/>
    <mergeCell ref="I63:J63"/>
    <mergeCell ref="K63:L63"/>
    <mergeCell ref="M63:N63"/>
    <mergeCell ref="O63:P63"/>
    <mergeCell ref="Q63:W63"/>
    <mergeCell ref="X64:AA64"/>
    <mergeCell ref="AB64:AF64"/>
    <mergeCell ref="AG64:AI64"/>
    <mergeCell ref="AJ64:AL64"/>
    <mergeCell ref="AM64:AO64"/>
    <mergeCell ref="B64:D64"/>
    <mergeCell ref="E64:H64"/>
    <mergeCell ref="I64:J64"/>
    <mergeCell ref="K64:L64"/>
    <mergeCell ref="M64:N64"/>
    <mergeCell ref="O64:P64"/>
    <mergeCell ref="Q64:W64"/>
    <mergeCell ref="X65:AA65"/>
    <mergeCell ref="AB65:AF65"/>
    <mergeCell ref="AG65:AI65"/>
    <mergeCell ref="AJ65:AL65"/>
    <mergeCell ref="AM65:AO65"/>
    <mergeCell ref="B65:D65"/>
    <mergeCell ref="E65:H65"/>
    <mergeCell ref="I65:J65"/>
    <mergeCell ref="K65:L65"/>
    <mergeCell ref="M65:N65"/>
    <mergeCell ref="O65:P65"/>
    <mergeCell ref="Q65:W65"/>
    <mergeCell ref="X66:AA66"/>
    <mergeCell ref="AB66:AF66"/>
    <mergeCell ref="AG66:AI66"/>
    <mergeCell ref="AJ66:AL66"/>
    <mergeCell ref="AM66:AO66"/>
    <mergeCell ref="B66:D66"/>
    <mergeCell ref="E66:H66"/>
    <mergeCell ref="I66:J66"/>
    <mergeCell ref="K66:L66"/>
    <mergeCell ref="M66:N66"/>
    <mergeCell ref="O66:P66"/>
    <mergeCell ref="Q66:W66"/>
    <mergeCell ref="X67:AA67"/>
    <mergeCell ref="AB67:AF67"/>
    <mergeCell ref="AG67:AI67"/>
    <mergeCell ref="AJ67:AL67"/>
    <mergeCell ref="AM67:AO67"/>
    <mergeCell ref="B67:D67"/>
    <mergeCell ref="E67:H67"/>
    <mergeCell ref="I67:J67"/>
    <mergeCell ref="K67:L67"/>
    <mergeCell ref="M67:N67"/>
    <mergeCell ref="O67:P67"/>
    <mergeCell ref="Q67:W67"/>
    <mergeCell ref="X68:AA68"/>
    <mergeCell ref="AB68:AF68"/>
    <mergeCell ref="AG68:AI68"/>
    <mergeCell ref="AJ68:AL68"/>
    <mergeCell ref="AM68:AO68"/>
    <mergeCell ref="B68:D68"/>
    <mergeCell ref="E68:H68"/>
    <mergeCell ref="I68:J68"/>
    <mergeCell ref="K68:L68"/>
    <mergeCell ref="M68:N68"/>
    <mergeCell ref="O68:P68"/>
    <mergeCell ref="Q68:W68"/>
    <mergeCell ref="X69:AA69"/>
    <mergeCell ref="AB69:AF69"/>
    <mergeCell ref="AG69:AI69"/>
    <mergeCell ref="AJ69:AL69"/>
    <mergeCell ref="AM69:AO69"/>
    <mergeCell ref="B69:D69"/>
    <mergeCell ref="E69:H69"/>
    <mergeCell ref="I69:J69"/>
    <mergeCell ref="K69:L69"/>
    <mergeCell ref="M69:N69"/>
    <mergeCell ref="O69:P69"/>
    <mergeCell ref="Q69:W69"/>
    <mergeCell ref="X70:AA70"/>
    <mergeCell ref="AB70:AF70"/>
    <mergeCell ref="AG70:AI70"/>
    <mergeCell ref="AJ70:AL70"/>
    <mergeCell ref="AM70:AO70"/>
    <mergeCell ref="B70:D70"/>
    <mergeCell ref="E70:H70"/>
    <mergeCell ref="I70:J70"/>
    <mergeCell ref="K70:L70"/>
    <mergeCell ref="M70:N70"/>
    <mergeCell ref="O70:P70"/>
    <mergeCell ref="Q70:W70"/>
    <mergeCell ref="X71:AA71"/>
    <mergeCell ref="AB71:AF71"/>
    <mergeCell ref="AG71:AI71"/>
    <mergeCell ref="AJ71:AL71"/>
    <mergeCell ref="AM71:AO71"/>
    <mergeCell ref="B71:D71"/>
    <mergeCell ref="E71:H71"/>
    <mergeCell ref="I71:J71"/>
    <mergeCell ref="K71:L71"/>
    <mergeCell ref="M71:N71"/>
    <mergeCell ref="O71:P71"/>
    <mergeCell ref="Q71:W71"/>
    <mergeCell ref="X72:AA72"/>
    <mergeCell ref="AB72:AF72"/>
    <mergeCell ref="AG72:AI72"/>
    <mergeCell ref="AJ72:AL72"/>
    <mergeCell ref="AM72:AO72"/>
    <mergeCell ref="B72:D72"/>
    <mergeCell ref="E72:H72"/>
    <mergeCell ref="I72:J72"/>
    <mergeCell ref="K72:L72"/>
    <mergeCell ref="M72:N72"/>
    <mergeCell ref="O72:P72"/>
    <mergeCell ref="Q72:W72"/>
    <mergeCell ref="X73:AA73"/>
    <mergeCell ref="AB73:AF73"/>
    <mergeCell ref="AG73:AI73"/>
    <mergeCell ref="AJ73:AL73"/>
    <mergeCell ref="AM73:AO73"/>
    <mergeCell ref="B73:D73"/>
    <mergeCell ref="E73:H73"/>
    <mergeCell ref="I73:J73"/>
    <mergeCell ref="K73:L73"/>
    <mergeCell ref="M73:N73"/>
    <mergeCell ref="O73:P73"/>
    <mergeCell ref="Q73:W73"/>
    <mergeCell ref="X74:AA74"/>
    <mergeCell ref="AB74:AF74"/>
    <mergeCell ref="AG74:AI74"/>
    <mergeCell ref="AJ74:AL74"/>
    <mergeCell ref="AM74:AO74"/>
    <mergeCell ref="B74:D74"/>
    <mergeCell ref="E74:H74"/>
    <mergeCell ref="I74:J74"/>
    <mergeCell ref="K74:L74"/>
    <mergeCell ref="M74:N74"/>
    <mergeCell ref="O74:P74"/>
    <mergeCell ref="Q74:W74"/>
    <mergeCell ref="X75:AA75"/>
    <mergeCell ref="AB75:AF75"/>
    <mergeCell ref="AG75:AI75"/>
    <mergeCell ref="AJ75:AL75"/>
    <mergeCell ref="AM75:AO75"/>
    <mergeCell ref="B75:D75"/>
    <mergeCell ref="E75:H75"/>
    <mergeCell ref="I75:J75"/>
    <mergeCell ref="K75:L75"/>
    <mergeCell ref="M75:N75"/>
    <mergeCell ref="O75:P75"/>
    <mergeCell ref="Q75:W75"/>
    <mergeCell ref="X76:AA76"/>
    <mergeCell ref="AB76:AF76"/>
    <mergeCell ref="AG76:AI76"/>
    <mergeCell ref="AJ76:AL76"/>
    <mergeCell ref="AM76:AO76"/>
    <mergeCell ref="B76:D76"/>
    <mergeCell ref="E76:H76"/>
    <mergeCell ref="I76:J76"/>
    <mergeCell ref="K76:L76"/>
    <mergeCell ref="M76:N76"/>
    <mergeCell ref="O76:P76"/>
    <mergeCell ref="Q76:W76"/>
    <mergeCell ref="X77:AA77"/>
    <mergeCell ref="AB77:AF77"/>
    <mergeCell ref="AG77:AI77"/>
    <mergeCell ref="AJ77:AL77"/>
    <mergeCell ref="AM77:AO77"/>
    <mergeCell ref="B77:D77"/>
    <mergeCell ref="E77:H77"/>
    <mergeCell ref="I77:J77"/>
    <mergeCell ref="K77:L77"/>
    <mergeCell ref="M77:N77"/>
    <mergeCell ref="O77:P77"/>
    <mergeCell ref="Q77:W77"/>
    <mergeCell ref="X78:AA78"/>
    <mergeCell ref="AB78:AF78"/>
    <mergeCell ref="AG78:AI78"/>
    <mergeCell ref="AJ78:AL78"/>
    <mergeCell ref="AM78:AO78"/>
    <mergeCell ref="B78:D78"/>
    <mergeCell ref="E78:H78"/>
    <mergeCell ref="I78:J78"/>
    <mergeCell ref="K78:L78"/>
    <mergeCell ref="M78:N78"/>
    <mergeCell ref="O78:P78"/>
    <mergeCell ref="Q78:W78"/>
    <mergeCell ref="X79:AA79"/>
    <mergeCell ref="AB79:AF79"/>
    <mergeCell ref="AG79:AI79"/>
    <mergeCell ref="AJ79:AL79"/>
    <mergeCell ref="AM79:AO79"/>
    <mergeCell ref="B79:D79"/>
    <mergeCell ref="E79:H79"/>
    <mergeCell ref="I79:J79"/>
    <mergeCell ref="K79:L79"/>
    <mergeCell ref="M79:N79"/>
    <mergeCell ref="O79:P79"/>
    <mergeCell ref="Q79:W79"/>
    <mergeCell ref="X80:AA80"/>
    <mergeCell ref="AB80:AF80"/>
    <mergeCell ref="AG80:AI80"/>
    <mergeCell ref="AJ80:AL80"/>
    <mergeCell ref="AM80:AO80"/>
    <mergeCell ref="B80:D80"/>
    <mergeCell ref="E80:H80"/>
    <mergeCell ref="I80:J80"/>
    <mergeCell ref="K80:L80"/>
    <mergeCell ref="M80:N80"/>
    <mergeCell ref="O80:P80"/>
    <mergeCell ref="Q80:W80"/>
    <mergeCell ref="X81:AA81"/>
    <mergeCell ref="AB81:AF81"/>
    <mergeCell ref="AG81:AI81"/>
    <mergeCell ref="AJ81:AL81"/>
    <mergeCell ref="AM81:AO81"/>
    <mergeCell ref="B81:D81"/>
    <mergeCell ref="E81:H81"/>
    <mergeCell ref="I81:J81"/>
    <mergeCell ref="K81:L81"/>
    <mergeCell ref="M81:N81"/>
    <mergeCell ref="O81:P81"/>
    <mergeCell ref="Q81:W81"/>
    <mergeCell ref="X82:AA82"/>
    <mergeCell ref="AB82:AF82"/>
    <mergeCell ref="AG82:AI82"/>
    <mergeCell ref="AJ82:AL82"/>
    <mergeCell ref="AM82:AO82"/>
    <mergeCell ref="B82:D82"/>
    <mergeCell ref="E82:H82"/>
    <mergeCell ref="I82:J82"/>
    <mergeCell ref="K82:L82"/>
    <mergeCell ref="M82:N82"/>
    <mergeCell ref="O82:P82"/>
    <mergeCell ref="Q82:W82"/>
    <mergeCell ref="X83:AA83"/>
    <mergeCell ref="AB83:AF83"/>
    <mergeCell ref="AG83:AI83"/>
    <mergeCell ref="AJ83:AL83"/>
    <mergeCell ref="AM83:AO83"/>
    <mergeCell ref="B83:D83"/>
    <mergeCell ref="E83:H83"/>
    <mergeCell ref="I83:J83"/>
    <mergeCell ref="K83:L83"/>
    <mergeCell ref="M83:N83"/>
    <mergeCell ref="O83:P83"/>
    <mergeCell ref="Q83:W83"/>
    <mergeCell ref="X84:AA84"/>
    <mergeCell ref="AB84:AF84"/>
    <mergeCell ref="AG84:AI84"/>
    <mergeCell ref="AJ84:AL84"/>
    <mergeCell ref="AM84:AO84"/>
    <mergeCell ref="B84:D84"/>
    <mergeCell ref="E84:H84"/>
    <mergeCell ref="I84:J84"/>
    <mergeCell ref="K84:L84"/>
    <mergeCell ref="M84:N84"/>
    <mergeCell ref="O84:P84"/>
    <mergeCell ref="Q84:W84"/>
    <mergeCell ref="X85:AA85"/>
    <mergeCell ref="AB85:AF85"/>
    <mergeCell ref="AG85:AI85"/>
    <mergeCell ref="AJ85:AL85"/>
    <mergeCell ref="AM85:AO85"/>
    <mergeCell ref="B85:D85"/>
    <mergeCell ref="E85:H85"/>
    <mergeCell ref="I85:J85"/>
    <mergeCell ref="K85:L85"/>
    <mergeCell ref="M85:N85"/>
    <mergeCell ref="O85:P85"/>
    <mergeCell ref="Q85:W85"/>
    <mergeCell ref="X86:AA86"/>
    <mergeCell ref="AB86:AF86"/>
    <mergeCell ref="AG86:AI86"/>
    <mergeCell ref="AJ86:AL86"/>
    <mergeCell ref="AM86:AO86"/>
    <mergeCell ref="B86:D86"/>
    <mergeCell ref="E86:H86"/>
    <mergeCell ref="I86:J86"/>
    <mergeCell ref="K86:L86"/>
    <mergeCell ref="M86:N86"/>
    <mergeCell ref="O86:P86"/>
    <mergeCell ref="Q86:W86"/>
    <mergeCell ref="X87:AA87"/>
    <mergeCell ref="AB87:AF87"/>
    <mergeCell ref="AG87:AI87"/>
    <mergeCell ref="AJ87:AL87"/>
    <mergeCell ref="AM87:AO87"/>
    <mergeCell ref="B87:D87"/>
    <mergeCell ref="E87:H87"/>
    <mergeCell ref="I87:J87"/>
    <mergeCell ref="K87:L87"/>
    <mergeCell ref="M87:N87"/>
    <mergeCell ref="O87:P87"/>
    <mergeCell ref="Q87:W87"/>
    <mergeCell ref="X88:AA88"/>
    <mergeCell ref="AB88:AF88"/>
    <mergeCell ref="AG88:AI88"/>
    <mergeCell ref="AJ88:AL88"/>
    <mergeCell ref="AM88:AO88"/>
    <mergeCell ref="B88:D88"/>
    <mergeCell ref="E88:H88"/>
    <mergeCell ref="I88:J88"/>
    <mergeCell ref="K88:L88"/>
    <mergeCell ref="M88:N88"/>
    <mergeCell ref="O88:P88"/>
    <mergeCell ref="Q88:W88"/>
    <mergeCell ref="X89:AA89"/>
    <mergeCell ref="AB89:AF89"/>
    <mergeCell ref="AG89:AI89"/>
    <mergeCell ref="AJ89:AL89"/>
    <mergeCell ref="AM89:AO89"/>
    <mergeCell ref="B89:D89"/>
    <mergeCell ref="E89:H89"/>
    <mergeCell ref="I89:J89"/>
    <mergeCell ref="K89:L89"/>
    <mergeCell ref="M89:N89"/>
    <mergeCell ref="O89:P89"/>
    <mergeCell ref="Q89:W89"/>
    <mergeCell ref="X90:AA90"/>
    <mergeCell ref="AB90:AF90"/>
    <mergeCell ref="AG90:AI90"/>
    <mergeCell ref="AJ90:AL90"/>
    <mergeCell ref="AM90:AO90"/>
    <mergeCell ref="B90:D90"/>
    <mergeCell ref="E90:H90"/>
    <mergeCell ref="I90:J90"/>
    <mergeCell ref="K90:L90"/>
    <mergeCell ref="M90:N90"/>
    <mergeCell ref="O90:P90"/>
    <mergeCell ref="Q90:W90"/>
    <mergeCell ref="X91:AA91"/>
    <mergeCell ref="AB91:AF91"/>
    <mergeCell ref="AG91:AI91"/>
    <mergeCell ref="AJ91:AL91"/>
    <mergeCell ref="AM91:AO91"/>
    <mergeCell ref="B91:D91"/>
    <mergeCell ref="E91:H91"/>
    <mergeCell ref="I91:J91"/>
    <mergeCell ref="K91:L91"/>
    <mergeCell ref="M91:N91"/>
    <mergeCell ref="O91:P91"/>
    <mergeCell ref="Q91:W91"/>
    <mergeCell ref="X92:AA92"/>
    <mergeCell ref="AB92:AF92"/>
    <mergeCell ref="AG92:AI92"/>
    <mergeCell ref="AJ92:AL92"/>
    <mergeCell ref="AM92:AO92"/>
    <mergeCell ref="B92:D92"/>
    <mergeCell ref="E92:H92"/>
    <mergeCell ref="I92:J92"/>
    <mergeCell ref="K92:L92"/>
    <mergeCell ref="M92:N92"/>
    <mergeCell ref="O92:P92"/>
    <mergeCell ref="Q92:W92"/>
    <mergeCell ref="X93:AA93"/>
    <mergeCell ref="AB93:AF93"/>
    <mergeCell ref="AG93:AI93"/>
    <mergeCell ref="AJ93:AL93"/>
    <mergeCell ref="AM93:AO93"/>
    <mergeCell ref="B93:D93"/>
    <mergeCell ref="E93:H93"/>
    <mergeCell ref="I93:J93"/>
    <mergeCell ref="K93:L93"/>
    <mergeCell ref="M93:N93"/>
    <mergeCell ref="O93:P93"/>
    <mergeCell ref="Q93:W93"/>
    <mergeCell ref="X94:AA94"/>
    <mergeCell ref="AB94:AF94"/>
    <mergeCell ref="AG94:AI94"/>
    <mergeCell ref="AJ94:AL94"/>
    <mergeCell ref="AM94:AO94"/>
    <mergeCell ref="B94:D94"/>
    <mergeCell ref="E94:H94"/>
    <mergeCell ref="I94:J94"/>
    <mergeCell ref="K94:L94"/>
    <mergeCell ref="M94:N94"/>
    <mergeCell ref="O94:P94"/>
    <mergeCell ref="Q94:W94"/>
    <mergeCell ref="X95:AA95"/>
    <mergeCell ref="AB95:AF95"/>
    <mergeCell ref="AG95:AI95"/>
    <mergeCell ref="AJ95:AL95"/>
    <mergeCell ref="AM95:AO95"/>
    <mergeCell ref="B95:D95"/>
    <mergeCell ref="E95:H95"/>
    <mergeCell ref="I95:J95"/>
    <mergeCell ref="K95:L95"/>
    <mergeCell ref="M95:N95"/>
    <mergeCell ref="O95:P95"/>
    <mergeCell ref="Q95:W95"/>
    <mergeCell ref="X96:AA96"/>
    <mergeCell ref="AB96:AF96"/>
    <mergeCell ref="AG96:AI96"/>
    <mergeCell ref="AJ96:AL96"/>
    <mergeCell ref="AM96:AO96"/>
    <mergeCell ref="B96:D96"/>
    <mergeCell ref="E96:H96"/>
    <mergeCell ref="I96:J96"/>
    <mergeCell ref="K96:L96"/>
    <mergeCell ref="M96:N96"/>
    <mergeCell ref="O96:P96"/>
    <mergeCell ref="Q96:W96"/>
    <mergeCell ref="X97:AA97"/>
    <mergeCell ref="AB97:AF97"/>
    <mergeCell ref="AG97:AI97"/>
    <mergeCell ref="AJ97:AL97"/>
    <mergeCell ref="AM97:AO97"/>
    <mergeCell ref="B97:D97"/>
    <mergeCell ref="E97:H97"/>
    <mergeCell ref="I97:J97"/>
    <mergeCell ref="K97:L97"/>
    <mergeCell ref="M97:N97"/>
    <mergeCell ref="O97:P97"/>
    <mergeCell ref="Q97:W97"/>
    <mergeCell ref="X98:AA98"/>
    <mergeCell ref="AB98:AF98"/>
    <mergeCell ref="AG98:AI98"/>
    <mergeCell ref="AJ98:AL98"/>
    <mergeCell ref="AM98:AO98"/>
    <mergeCell ref="B98:D98"/>
    <mergeCell ref="E98:H98"/>
    <mergeCell ref="I98:J98"/>
    <mergeCell ref="K98:L98"/>
    <mergeCell ref="M98:N98"/>
    <mergeCell ref="O98:P98"/>
    <mergeCell ref="Q98:W98"/>
    <mergeCell ref="X99:AA99"/>
    <mergeCell ref="AB99:AF99"/>
    <mergeCell ref="AG99:AI99"/>
    <mergeCell ref="AJ99:AL99"/>
    <mergeCell ref="AM99:AO99"/>
    <mergeCell ref="B99:D99"/>
    <mergeCell ref="E99:H99"/>
    <mergeCell ref="I99:J99"/>
    <mergeCell ref="K99:L99"/>
    <mergeCell ref="M99:N99"/>
    <mergeCell ref="O99:P99"/>
    <mergeCell ref="Q99:W99"/>
    <mergeCell ref="X100:AA100"/>
    <mergeCell ref="AB100:AF100"/>
    <mergeCell ref="AG100:AI100"/>
    <mergeCell ref="AJ100:AL100"/>
    <mergeCell ref="AM100:AO100"/>
    <mergeCell ref="B100:D100"/>
    <mergeCell ref="E100:H100"/>
    <mergeCell ref="I100:J100"/>
    <mergeCell ref="K100:L100"/>
    <mergeCell ref="M100:N100"/>
    <mergeCell ref="O100:P100"/>
    <mergeCell ref="Q100:W100"/>
    <mergeCell ref="X101:AA101"/>
    <mergeCell ref="AB101:AF101"/>
    <mergeCell ref="AG101:AI101"/>
    <mergeCell ref="AJ101:AL101"/>
    <mergeCell ref="AM101:AO101"/>
    <mergeCell ref="B101:D101"/>
    <mergeCell ref="E101:H101"/>
    <mergeCell ref="I101:J101"/>
    <mergeCell ref="K101:L101"/>
    <mergeCell ref="M101:N101"/>
    <mergeCell ref="O101:P101"/>
    <mergeCell ref="Q101:W101"/>
    <mergeCell ref="X102:AA102"/>
    <mergeCell ref="AB102:AF102"/>
    <mergeCell ref="AG102:AI102"/>
    <mergeCell ref="AJ102:AL102"/>
    <mergeCell ref="AM102:AO102"/>
    <mergeCell ref="B102:D102"/>
    <mergeCell ref="E102:H102"/>
    <mergeCell ref="I102:J102"/>
    <mergeCell ref="K102:L102"/>
    <mergeCell ref="M102:N102"/>
    <mergeCell ref="O102:P102"/>
    <mergeCell ref="Q102:W102"/>
    <mergeCell ref="X103:AA103"/>
    <mergeCell ref="AB103:AF103"/>
    <mergeCell ref="AG103:AI103"/>
    <mergeCell ref="AJ103:AL103"/>
    <mergeCell ref="AM103:AO103"/>
    <mergeCell ref="B103:D103"/>
    <mergeCell ref="E103:H103"/>
    <mergeCell ref="I103:J103"/>
    <mergeCell ref="K103:L103"/>
    <mergeCell ref="M103:N103"/>
    <mergeCell ref="O103:P103"/>
    <mergeCell ref="Q103:W103"/>
    <mergeCell ref="X104:AA104"/>
    <mergeCell ref="AB104:AF104"/>
    <mergeCell ref="AG104:AI104"/>
    <mergeCell ref="AJ104:AL104"/>
    <mergeCell ref="AM104:AO104"/>
    <mergeCell ref="B104:D104"/>
    <mergeCell ref="E104:H104"/>
    <mergeCell ref="I104:J104"/>
    <mergeCell ref="K104:L104"/>
    <mergeCell ref="M104:N104"/>
    <mergeCell ref="O104:P104"/>
    <mergeCell ref="Q104:W104"/>
    <mergeCell ref="X105:AA105"/>
    <mergeCell ref="AB105:AF105"/>
    <mergeCell ref="AG105:AI105"/>
    <mergeCell ref="AJ105:AL105"/>
    <mergeCell ref="AM105:AO105"/>
    <mergeCell ref="B105:D105"/>
    <mergeCell ref="E105:H105"/>
    <mergeCell ref="I105:J105"/>
    <mergeCell ref="K105:L105"/>
    <mergeCell ref="M105:N105"/>
    <mergeCell ref="O105:P105"/>
    <mergeCell ref="Q105:W105"/>
    <mergeCell ref="X155:AA155"/>
    <mergeCell ref="AB155:AF155"/>
    <mergeCell ref="AG155:AI155"/>
    <mergeCell ref="AJ155:AL155"/>
    <mergeCell ref="AM155:AO155"/>
    <mergeCell ref="B155:D155"/>
    <mergeCell ref="E155:H155"/>
    <mergeCell ref="I155:J155"/>
    <mergeCell ref="K155:L155"/>
    <mergeCell ref="M155:N155"/>
    <mergeCell ref="O155:P155"/>
    <mergeCell ref="Q155:W155"/>
    <mergeCell ref="X156:AA156"/>
    <mergeCell ref="AB156:AF156"/>
    <mergeCell ref="AG156:AI156"/>
    <mergeCell ref="AJ156:AL156"/>
    <mergeCell ref="AM156:AO156"/>
    <mergeCell ref="B156:D156"/>
    <mergeCell ref="E156:H156"/>
    <mergeCell ref="I156:J156"/>
    <mergeCell ref="K156:L156"/>
    <mergeCell ref="M156:N156"/>
    <mergeCell ref="O156:P156"/>
    <mergeCell ref="Q156:W156"/>
    <mergeCell ref="X157:AA157"/>
    <mergeCell ref="AB157:AF157"/>
    <mergeCell ref="AG157:AI157"/>
    <mergeCell ref="AJ157:AL157"/>
    <mergeCell ref="AM157:AO157"/>
    <mergeCell ref="B157:D157"/>
    <mergeCell ref="E157:H157"/>
    <mergeCell ref="I157:J157"/>
    <mergeCell ref="K157:L157"/>
    <mergeCell ref="M157:N157"/>
    <mergeCell ref="O157:P157"/>
    <mergeCell ref="Q157:W157"/>
    <mergeCell ref="X158:AA158"/>
    <mergeCell ref="AB158:AF158"/>
    <mergeCell ref="AG158:AI158"/>
    <mergeCell ref="AJ158:AL158"/>
    <mergeCell ref="AM158:AO158"/>
    <mergeCell ref="B158:D158"/>
    <mergeCell ref="E158:H158"/>
    <mergeCell ref="I158:J158"/>
    <mergeCell ref="K158:L158"/>
    <mergeCell ref="M158:N158"/>
    <mergeCell ref="O158:P158"/>
    <mergeCell ref="Q158:W158"/>
    <mergeCell ref="X159:AA159"/>
    <mergeCell ref="AB159:AF159"/>
    <mergeCell ref="AG159:AI159"/>
    <mergeCell ref="AJ159:AL159"/>
    <mergeCell ref="AM159:AO159"/>
    <mergeCell ref="B159:D159"/>
    <mergeCell ref="E159:H159"/>
    <mergeCell ref="I159:J159"/>
    <mergeCell ref="K159:L159"/>
    <mergeCell ref="M159:N159"/>
    <mergeCell ref="O159:P159"/>
    <mergeCell ref="Q159:W159"/>
    <mergeCell ref="X160:AA160"/>
    <mergeCell ref="AB160:AF160"/>
    <mergeCell ref="AG160:AI160"/>
    <mergeCell ref="AJ160:AL160"/>
    <mergeCell ref="AM160:AO160"/>
    <mergeCell ref="B160:D160"/>
    <mergeCell ref="E160:H160"/>
    <mergeCell ref="I160:J160"/>
    <mergeCell ref="K160:L160"/>
    <mergeCell ref="M160:N160"/>
    <mergeCell ref="O160:P160"/>
    <mergeCell ref="Q160:W160"/>
    <mergeCell ref="X161:AA161"/>
    <mergeCell ref="AB161:AF161"/>
    <mergeCell ref="AG161:AI161"/>
    <mergeCell ref="AJ161:AL161"/>
    <mergeCell ref="AM161:AO161"/>
    <mergeCell ref="B161:D161"/>
    <mergeCell ref="E161:H161"/>
    <mergeCell ref="I161:J161"/>
    <mergeCell ref="K161:L161"/>
    <mergeCell ref="M161:N161"/>
    <mergeCell ref="O161:P161"/>
    <mergeCell ref="Q161:W161"/>
    <mergeCell ref="X162:AA162"/>
    <mergeCell ref="AB162:AF162"/>
    <mergeCell ref="AG162:AI162"/>
    <mergeCell ref="AJ162:AL162"/>
    <mergeCell ref="AM162:AO162"/>
    <mergeCell ref="B162:D162"/>
    <mergeCell ref="E162:H162"/>
    <mergeCell ref="I162:J162"/>
    <mergeCell ref="K162:L162"/>
    <mergeCell ref="M162:N162"/>
    <mergeCell ref="O162:P162"/>
    <mergeCell ref="Q162:W162"/>
    <mergeCell ref="X163:AA163"/>
    <mergeCell ref="AB163:AF163"/>
    <mergeCell ref="AG163:AI163"/>
    <mergeCell ref="AJ163:AL163"/>
    <mergeCell ref="AM163:AO163"/>
    <mergeCell ref="B163:D163"/>
    <mergeCell ref="E163:H163"/>
    <mergeCell ref="I163:J163"/>
    <mergeCell ref="K163:L163"/>
    <mergeCell ref="M163:N163"/>
    <mergeCell ref="O163:P163"/>
    <mergeCell ref="Q163:W163"/>
    <mergeCell ref="X164:AA164"/>
    <mergeCell ref="AB164:AF164"/>
    <mergeCell ref="AG164:AI164"/>
    <mergeCell ref="AJ164:AL164"/>
    <mergeCell ref="AM164:AO164"/>
    <mergeCell ref="B164:D164"/>
    <mergeCell ref="E164:H164"/>
    <mergeCell ref="I164:J164"/>
    <mergeCell ref="K164:L164"/>
    <mergeCell ref="M164:N164"/>
    <mergeCell ref="O164:P164"/>
    <mergeCell ref="Q164:W164"/>
    <mergeCell ref="X165:AA165"/>
    <mergeCell ref="AB165:AF165"/>
    <mergeCell ref="AG165:AI165"/>
    <mergeCell ref="AJ165:AL165"/>
    <mergeCell ref="AM165:AO165"/>
    <mergeCell ref="B165:D165"/>
    <mergeCell ref="E165:H165"/>
    <mergeCell ref="I165:J165"/>
    <mergeCell ref="K165:L165"/>
    <mergeCell ref="M165:N165"/>
    <mergeCell ref="O165:P165"/>
    <mergeCell ref="Q165:W165"/>
    <mergeCell ref="X166:AA166"/>
    <mergeCell ref="AB166:AF166"/>
    <mergeCell ref="AG166:AI166"/>
    <mergeCell ref="AJ166:AL166"/>
    <mergeCell ref="AM166:AO166"/>
    <mergeCell ref="B166:D166"/>
    <mergeCell ref="E166:H166"/>
    <mergeCell ref="I166:J166"/>
    <mergeCell ref="K166:L166"/>
    <mergeCell ref="M166:N166"/>
    <mergeCell ref="O166:P166"/>
    <mergeCell ref="Q166:W166"/>
    <mergeCell ref="X167:AA167"/>
    <mergeCell ref="AB167:AF167"/>
    <mergeCell ref="AG167:AI167"/>
    <mergeCell ref="AJ167:AL167"/>
    <mergeCell ref="AM167:AO167"/>
    <mergeCell ref="B167:D167"/>
    <mergeCell ref="E167:H167"/>
    <mergeCell ref="I167:J167"/>
    <mergeCell ref="K167:L167"/>
    <mergeCell ref="M167:N167"/>
    <mergeCell ref="O167:P167"/>
    <mergeCell ref="Q167:W167"/>
    <mergeCell ref="X168:AA168"/>
    <mergeCell ref="AB168:AF168"/>
    <mergeCell ref="AG168:AI168"/>
    <mergeCell ref="AJ168:AL168"/>
    <mergeCell ref="AM168:AO168"/>
    <mergeCell ref="B168:D168"/>
    <mergeCell ref="E168:H168"/>
    <mergeCell ref="I168:J168"/>
    <mergeCell ref="K168:L168"/>
    <mergeCell ref="M168:N168"/>
    <mergeCell ref="O168:P168"/>
    <mergeCell ref="Q168:W168"/>
    <mergeCell ref="X169:AA169"/>
    <mergeCell ref="AB169:AF169"/>
    <mergeCell ref="AG169:AI169"/>
    <mergeCell ref="AJ169:AL169"/>
    <mergeCell ref="AM169:AO169"/>
    <mergeCell ref="B169:D169"/>
    <mergeCell ref="E169:H169"/>
    <mergeCell ref="I169:J169"/>
    <mergeCell ref="K169:L169"/>
    <mergeCell ref="M169:N169"/>
    <mergeCell ref="O169:P169"/>
    <mergeCell ref="Q169:W169"/>
    <mergeCell ref="X170:AA170"/>
    <mergeCell ref="AB170:AF170"/>
    <mergeCell ref="AG170:AI170"/>
    <mergeCell ref="AJ170:AL170"/>
    <mergeCell ref="AM170:AO170"/>
    <mergeCell ref="B170:D170"/>
    <mergeCell ref="E170:H170"/>
    <mergeCell ref="I170:J170"/>
    <mergeCell ref="K170:L170"/>
    <mergeCell ref="M170:N170"/>
    <mergeCell ref="O170:P170"/>
    <mergeCell ref="Q170:W170"/>
    <mergeCell ref="X171:AA171"/>
    <mergeCell ref="AB171:AF171"/>
    <mergeCell ref="AG171:AI171"/>
    <mergeCell ref="AJ171:AL171"/>
    <mergeCell ref="AM171:AO171"/>
    <mergeCell ref="B171:D171"/>
    <mergeCell ref="E171:H171"/>
    <mergeCell ref="I171:J171"/>
    <mergeCell ref="K171:L171"/>
    <mergeCell ref="M171:N171"/>
    <mergeCell ref="O171:P171"/>
    <mergeCell ref="Q171:W171"/>
    <mergeCell ref="X172:AA172"/>
    <mergeCell ref="AB172:AF172"/>
    <mergeCell ref="AG172:AI172"/>
    <mergeCell ref="AJ172:AL172"/>
    <mergeCell ref="AM172:AO172"/>
    <mergeCell ref="B172:D172"/>
    <mergeCell ref="E172:H172"/>
    <mergeCell ref="I172:J172"/>
    <mergeCell ref="K172:L172"/>
    <mergeCell ref="M172:N172"/>
    <mergeCell ref="O172:P172"/>
    <mergeCell ref="Q172:W172"/>
    <mergeCell ref="X173:AA173"/>
    <mergeCell ref="AB173:AF173"/>
    <mergeCell ref="AG173:AI173"/>
    <mergeCell ref="AJ173:AL173"/>
    <mergeCell ref="AM173:AO173"/>
    <mergeCell ref="B173:D173"/>
    <mergeCell ref="E173:H173"/>
    <mergeCell ref="I173:J173"/>
    <mergeCell ref="K173:L173"/>
    <mergeCell ref="M173:N173"/>
    <mergeCell ref="O173:P173"/>
    <mergeCell ref="Q173:W173"/>
    <mergeCell ref="X174:AA174"/>
    <mergeCell ref="AB174:AF174"/>
    <mergeCell ref="AG174:AI174"/>
    <mergeCell ref="AJ174:AL174"/>
    <mergeCell ref="AM174:AO174"/>
    <mergeCell ref="B174:D174"/>
    <mergeCell ref="E174:H174"/>
    <mergeCell ref="I174:J174"/>
    <mergeCell ref="K174:L174"/>
    <mergeCell ref="M174:N174"/>
    <mergeCell ref="O174:P174"/>
    <mergeCell ref="Q174:W174"/>
    <mergeCell ref="X175:AA175"/>
    <mergeCell ref="AB175:AF175"/>
    <mergeCell ref="AG175:AI175"/>
    <mergeCell ref="AJ175:AL175"/>
    <mergeCell ref="AM175:AO175"/>
    <mergeCell ref="B175:D175"/>
    <mergeCell ref="E175:H175"/>
    <mergeCell ref="I175:J175"/>
    <mergeCell ref="K175:L175"/>
    <mergeCell ref="M175:N175"/>
    <mergeCell ref="O175:P175"/>
    <mergeCell ref="Q175:W175"/>
    <mergeCell ref="X176:AA176"/>
    <mergeCell ref="AB176:AF176"/>
    <mergeCell ref="AG176:AI176"/>
    <mergeCell ref="AJ176:AL176"/>
    <mergeCell ref="AM176:AO176"/>
    <mergeCell ref="B176:D176"/>
    <mergeCell ref="E176:H176"/>
    <mergeCell ref="I176:J176"/>
    <mergeCell ref="K176:L176"/>
    <mergeCell ref="M176:N176"/>
    <mergeCell ref="O176:P176"/>
    <mergeCell ref="Q176:W176"/>
    <mergeCell ref="X177:AA177"/>
    <mergeCell ref="AB177:AF177"/>
    <mergeCell ref="AG177:AI177"/>
    <mergeCell ref="AJ177:AL177"/>
    <mergeCell ref="AM177:AO177"/>
    <mergeCell ref="B177:D177"/>
    <mergeCell ref="E177:H177"/>
    <mergeCell ref="I177:J177"/>
    <mergeCell ref="K177:L177"/>
    <mergeCell ref="M177:N177"/>
    <mergeCell ref="O177:P177"/>
    <mergeCell ref="Q177:W177"/>
    <mergeCell ref="X178:AA178"/>
    <mergeCell ref="AB178:AF178"/>
    <mergeCell ref="AG178:AI178"/>
    <mergeCell ref="AJ178:AL178"/>
    <mergeCell ref="AM178:AO178"/>
    <mergeCell ref="B178:D178"/>
    <mergeCell ref="E178:H178"/>
    <mergeCell ref="I178:J178"/>
    <mergeCell ref="K178:L178"/>
    <mergeCell ref="M178:N178"/>
    <mergeCell ref="O178:P178"/>
    <mergeCell ref="Q178:W178"/>
    <mergeCell ref="X179:AA179"/>
    <mergeCell ref="AB179:AF179"/>
    <mergeCell ref="AG179:AI179"/>
    <mergeCell ref="AJ179:AL179"/>
    <mergeCell ref="AM179:AO179"/>
    <mergeCell ref="B179:D179"/>
    <mergeCell ref="E179:H179"/>
    <mergeCell ref="I179:J179"/>
    <mergeCell ref="K179:L179"/>
    <mergeCell ref="M179:N179"/>
    <mergeCell ref="O179:P179"/>
    <mergeCell ref="Q179:W179"/>
    <mergeCell ref="X180:AA180"/>
    <mergeCell ref="AB180:AF180"/>
    <mergeCell ref="AG180:AI180"/>
    <mergeCell ref="AJ180:AL180"/>
    <mergeCell ref="AM180:AO180"/>
    <mergeCell ref="B180:D180"/>
    <mergeCell ref="E180:H180"/>
    <mergeCell ref="I180:J180"/>
    <mergeCell ref="K180:L180"/>
    <mergeCell ref="M180:N180"/>
    <mergeCell ref="O180:P180"/>
    <mergeCell ref="Q180:W180"/>
    <mergeCell ref="X181:AA181"/>
    <mergeCell ref="AB181:AF181"/>
    <mergeCell ref="AG181:AI181"/>
    <mergeCell ref="AJ181:AL181"/>
    <mergeCell ref="AM181:AO181"/>
    <mergeCell ref="B181:D181"/>
    <mergeCell ref="E181:H181"/>
    <mergeCell ref="I181:J181"/>
    <mergeCell ref="K181:L181"/>
    <mergeCell ref="M181:N181"/>
    <mergeCell ref="O181:P181"/>
    <mergeCell ref="Q181:W181"/>
    <mergeCell ref="X182:AA182"/>
    <mergeCell ref="AB182:AF182"/>
    <mergeCell ref="AG182:AI182"/>
    <mergeCell ref="AJ182:AL182"/>
    <mergeCell ref="AM182:AO182"/>
    <mergeCell ref="B182:D182"/>
    <mergeCell ref="E182:H182"/>
    <mergeCell ref="I182:J182"/>
    <mergeCell ref="K182:L182"/>
    <mergeCell ref="M182:N182"/>
    <mergeCell ref="O182:P182"/>
    <mergeCell ref="Q182:W182"/>
    <mergeCell ref="X183:AA183"/>
    <mergeCell ref="AB183:AF183"/>
    <mergeCell ref="AG183:AI183"/>
    <mergeCell ref="AJ183:AL183"/>
    <mergeCell ref="AM183:AO183"/>
    <mergeCell ref="B183:D183"/>
    <mergeCell ref="E183:H183"/>
    <mergeCell ref="I183:J183"/>
    <mergeCell ref="K183:L183"/>
    <mergeCell ref="M183:N183"/>
    <mergeCell ref="O183:P183"/>
    <mergeCell ref="Q183:W183"/>
    <mergeCell ref="X184:AA184"/>
    <mergeCell ref="AB184:AF184"/>
    <mergeCell ref="AG184:AI184"/>
    <mergeCell ref="AJ184:AL184"/>
    <mergeCell ref="AM184:AO184"/>
    <mergeCell ref="B184:D184"/>
    <mergeCell ref="E184:H184"/>
    <mergeCell ref="I184:J184"/>
    <mergeCell ref="K184:L184"/>
    <mergeCell ref="M184:N184"/>
    <mergeCell ref="O184:P184"/>
    <mergeCell ref="Q184:W184"/>
    <mergeCell ref="X185:AA185"/>
    <mergeCell ref="AB185:AF185"/>
    <mergeCell ref="AG185:AI185"/>
    <mergeCell ref="AJ185:AL185"/>
    <mergeCell ref="AM185:AO185"/>
    <mergeCell ref="B185:D185"/>
    <mergeCell ref="E185:H185"/>
    <mergeCell ref="I185:J185"/>
    <mergeCell ref="K185:L185"/>
    <mergeCell ref="M185:N185"/>
    <mergeCell ref="O185:P185"/>
    <mergeCell ref="Q185:W185"/>
    <mergeCell ref="X186:AA186"/>
    <mergeCell ref="AB186:AF186"/>
    <mergeCell ref="AG186:AI186"/>
    <mergeCell ref="AJ186:AL186"/>
    <mergeCell ref="AM186:AO186"/>
    <mergeCell ref="B186:D186"/>
    <mergeCell ref="E186:H186"/>
    <mergeCell ref="I186:J186"/>
    <mergeCell ref="K186:L186"/>
    <mergeCell ref="M186:N186"/>
    <mergeCell ref="O186:P186"/>
    <mergeCell ref="Q186:W186"/>
    <mergeCell ref="X187:AA187"/>
    <mergeCell ref="AB187:AF187"/>
    <mergeCell ref="AG187:AI187"/>
    <mergeCell ref="AJ187:AL187"/>
    <mergeCell ref="AM187:AO187"/>
    <mergeCell ref="B187:D187"/>
    <mergeCell ref="E187:H187"/>
    <mergeCell ref="I187:J187"/>
    <mergeCell ref="K187:L187"/>
    <mergeCell ref="M187:N187"/>
    <mergeCell ref="O187:P187"/>
    <mergeCell ref="Q187:W187"/>
    <mergeCell ref="X188:AA188"/>
    <mergeCell ref="AB188:AF188"/>
    <mergeCell ref="AG188:AI188"/>
    <mergeCell ref="AJ188:AL188"/>
    <mergeCell ref="AM188:AO188"/>
    <mergeCell ref="B188:D188"/>
    <mergeCell ref="E188:H188"/>
    <mergeCell ref="I188:J188"/>
    <mergeCell ref="K188:L188"/>
    <mergeCell ref="M188:N188"/>
    <mergeCell ref="O188:P188"/>
    <mergeCell ref="Q188:W188"/>
    <mergeCell ref="X189:AA189"/>
    <mergeCell ref="AB189:AF189"/>
    <mergeCell ref="AG189:AI189"/>
    <mergeCell ref="AJ189:AL189"/>
    <mergeCell ref="AM189:AO189"/>
    <mergeCell ref="B189:D189"/>
    <mergeCell ref="E189:H189"/>
    <mergeCell ref="I189:J189"/>
    <mergeCell ref="K189:L189"/>
    <mergeCell ref="M189:N189"/>
    <mergeCell ref="O189:P189"/>
    <mergeCell ref="Q189:W189"/>
    <mergeCell ref="X197:AA197"/>
    <mergeCell ref="AB197:AF197"/>
    <mergeCell ref="AG197:AI197"/>
    <mergeCell ref="AJ197:AL197"/>
    <mergeCell ref="AM197:AO197"/>
    <mergeCell ref="B197:D197"/>
    <mergeCell ref="E197:H197"/>
    <mergeCell ref="I197:J197"/>
    <mergeCell ref="K197:L197"/>
    <mergeCell ref="M197:N197"/>
    <mergeCell ref="O197:P197"/>
    <mergeCell ref="Q197:W197"/>
    <mergeCell ref="X198:AA198"/>
    <mergeCell ref="AB198:AF198"/>
    <mergeCell ref="AG198:AI198"/>
    <mergeCell ref="AJ198:AL198"/>
    <mergeCell ref="AM198:AO198"/>
    <mergeCell ref="B198:D198"/>
    <mergeCell ref="E198:H198"/>
    <mergeCell ref="I198:J198"/>
    <mergeCell ref="K198:L198"/>
    <mergeCell ref="M198:N198"/>
    <mergeCell ref="O198:P198"/>
    <mergeCell ref="Q198:W198"/>
    <mergeCell ref="X199:AA199"/>
    <mergeCell ref="AB199:AF199"/>
    <mergeCell ref="AG199:AI199"/>
    <mergeCell ref="AJ199:AL199"/>
    <mergeCell ref="AM199:AO199"/>
    <mergeCell ref="B199:D199"/>
    <mergeCell ref="E199:H199"/>
    <mergeCell ref="I199:J199"/>
    <mergeCell ref="K199:L199"/>
    <mergeCell ref="M199:N199"/>
    <mergeCell ref="O199:P199"/>
    <mergeCell ref="Q199:W199"/>
    <mergeCell ref="X200:AA200"/>
    <mergeCell ref="AB200:AF200"/>
    <mergeCell ref="AG200:AI200"/>
    <mergeCell ref="AJ200:AL200"/>
    <mergeCell ref="AM200:AO200"/>
    <mergeCell ref="B200:D200"/>
    <mergeCell ref="E200:H200"/>
    <mergeCell ref="I200:J200"/>
    <mergeCell ref="K200:L200"/>
    <mergeCell ref="M200:N200"/>
    <mergeCell ref="O200:P200"/>
    <mergeCell ref="Q200:W200"/>
    <mergeCell ref="P2:AA3"/>
    <mergeCell ref="P4:AA4"/>
    <mergeCell ref="O1:O4"/>
    <mergeCell ref="P1:AA1"/>
    <mergeCell ref="AB1:AB4"/>
    <mergeCell ref="B2:N2"/>
    <mergeCell ref="AC2:AO2"/>
    <mergeCell ref="B3:N4"/>
    <mergeCell ref="AC3:AO4"/>
    <mergeCell ref="X5:AA6"/>
    <mergeCell ref="AB5:AF6"/>
    <mergeCell ref="AG5:AI6"/>
    <mergeCell ref="AJ5:AL6"/>
    <mergeCell ref="AM5:AO6"/>
    <mergeCell ref="B5:D6"/>
    <mergeCell ref="E5:H6"/>
    <mergeCell ref="I5:J6"/>
    <mergeCell ref="K5:L6"/>
    <mergeCell ref="M5:N6"/>
    <mergeCell ref="O5:P6"/>
    <mergeCell ref="Q5:W6"/>
    <mergeCell ref="X7:AA7"/>
    <mergeCell ref="AB7:AF7"/>
    <mergeCell ref="AG7:AI7"/>
    <mergeCell ref="AJ7:AL7"/>
    <mergeCell ref="AM7:AO7"/>
    <mergeCell ref="B7:D7"/>
    <mergeCell ref="E7:H7"/>
    <mergeCell ref="I7:J7"/>
    <mergeCell ref="K7:L7"/>
    <mergeCell ref="M7:N7"/>
    <mergeCell ref="O7:P7"/>
    <mergeCell ref="Q7:W7"/>
    <mergeCell ref="X201:AA201"/>
    <mergeCell ref="AB201:AF201"/>
    <mergeCell ref="AG201:AI201"/>
    <mergeCell ref="AJ201:AL201"/>
    <mergeCell ref="AM201:AO201"/>
    <mergeCell ref="B201:D201"/>
    <mergeCell ref="E201:H201"/>
    <mergeCell ref="I201:J201"/>
    <mergeCell ref="K201:L201"/>
    <mergeCell ref="M201:N201"/>
    <mergeCell ref="O201:P201"/>
    <mergeCell ref="Q201:W201"/>
    <mergeCell ref="X190:AA190"/>
    <mergeCell ref="AB190:AF190"/>
    <mergeCell ref="AG190:AI190"/>
    <mergeCell ref="AJ190:AL190"/>
    <mergeCell ref="AM190:AO190"/>
    <mergeCell ref="B190:D190"/>
    <mergeCell ref="E190:H190"/>
    <mergeCell ref="I190:J190"/>
    <mergeCell ref="K190:L190"/>
    <mergeCell ref="M190:N190"/>
    <mergeCell ref="O190:P190"/>
    <mergeCell ref="Q190:W190"/>
    <mergeCell ref="X191:AA191"/>
    <mergeCell ref="AB191:AF191"/>
    <mergeCell ref="AG191:AI191"/>
    <mergeCell ref="AJ191:AL191"/>
    <mergeCell ref="AM191:AO191"/>
    <mergeCell ref="B191:D191"/>
    <mergeCell ref="E191:H191"/>
    <mergeCell ref="I191:J191"/>
    <mergeCell ref="K191:L191"/>
    <mergeCell ref="M191:N191"/>
    <mergeCell ref="O191:P191"/>
    <mergeCell ref="Q191:W191"/>
    <mergeCell ref="X192:AA192"/>
    <mergeCell ref="AB192:AF192"/>
    <mergeCell ref="AG192:AI192"/>
    <mergeCell ref="AJ192:AL192"/>
    <mergeCell ref="AM192:AO192"/>
    <mergeCell ref="B192:D192"/>
    <mergeCell ref="E192:H192"/>
    <mergeCell ref="I192:J192"/>
    <mergeCell ref="K192:L192"/>
    <mergeCell ref="M192:N192"/>
    <mergeCell ref="O192:P192"/>
    <mergeCell ref="Q192:W192"/>
    <mergeCell ref="X193:AA193"/>
    <mergeCell ref="AB193:AF193"/>
    <mergeCell ref="AG193:AI193"/>
    <mergeCell ref="AJ193:AL193"/>
    <mergeCell ref="AM193:AO193"/>
    <mergeCell ref="B193:D193"/>
    <mergeCell ref="E193:H193"/>
    <mergeCell ref="I193:J193"/>
    <mergeCell ref="K193:L193"/>
    <mergeCell ref="M193:N193"/>
    <mergeCell ref="O193:P193"/>
    <mergeCell ref="Q193:W193"/>
    <mergeCell ref="X194:AA194"/>
    <mergeCell ref="AB194:AF194"/>
    <mergeCell ref="AG194:AI194"/>
    <mergeCell ref="AJ194:AL194"/>
    <mergeCell ref="AM194:AO194"/>
    <mergeCell ref="B194:D194"/>
    <mergeCell ref="E194:H194"/>
    <mergeCell ref="I194:J194"/>
    <mergeCell ref="K194:L194"/>
    <mergeCell ref="M194:N194"/>
    <mergeCell ref="O194:P194"/>
    <mergeCell ref="Q194:W194"/>
    <mergeCell ref="X195:AA195"/>
    <mergeCell ref="AB195:AF195"/>
    <mergeCell ref="AG195:AI195"/>
    <mergeCell ref="AJ195:AL195"/>
    <mergeCell ref="AM195:AO195"/>
    <mergeCell ref="B195:D195"/>
    <mergeCell ref="E195:H195"/>
    <mergeCell ref="I195:J195"/>
    <mergeCell ref="K195:L195"/>
    <mergeCell ref="M195:N195"/>
    <mergeCell ref="O195:P195"/>
    <mergeCell ref="Q195:W195"/>
    <mergeCell ref="X196:AA196"/>
    <mergeCell ref="AB196:AF196"/>
    <mergeCell ref="AG196:AI196"/>
    <mergeCell ref="AJ196:AL196"/>
    <mergeCell ref="AM196:AO196"/>
    <mergeCell ref="B196:D196"/>
    <mergeCell ref="E196:H196"/>
    <mergeCell ref="I196:J196"/>
    <mergeCell ref="K196:L196"/>
    <mergeCell ref="M196:N196"/>
    <mergeCell ref="O196:P196"/>
    <mergeCell ref="Q196:W196"/>
    <mergeCell ref="X106:AA106"/>
    <mergeCell ref="AB106:AF106"/>
    <mergeCell ref="AG106:AI106"/>
    <mergeCell ref="AJ106:AL106"/>
    <mergeCell ref="AM106:AO106"/>
    <mergeCell ref="B106:D106"/>
    <mergeCell ref="E106:H106"/>
    <mergeCell ref="I106:J106"/>
    <mergeCell ref="K106:L106"/>
    <mergeCell ref="M106:N106"/>
    <mergeCell ref="O106:P106"/>
    <mergeCell ref="Q106:W106"/>
    <mergeCell ref="X107:AA107"/>
    <mergeCell ref="AB107:AF107"/>
    <mergeCell ref="AG107:AI107"/>
    <mergeCell ref="AJ107:AL107"/>
    <mergeCell ref="AM107:AO107"/>
    <mergeCell ref="B107:D107"/>
    <mergeCell ref="E107:H107"/>
    <mergeCell ref="I107:J107"/>
    <mergeCell ref="K107:L107"/>
    <mergeCell ref="M107:N107"/>
    <mergeCell ref="O107:P107"/>
    <mergeCell ref="Q107:W107"/>
    <mergeCell ref="X108:AA108"/>
    <mergeCell ref="AB108:AF108"/>
    <mergeCell ref="AG108:AI108"/>
    <mergeCell ref="AJ108:AL108"/>
    <mergeCell ref="AM108:AO108"/>
    <mergeCell ref="B108:D108"/>
    <mergeCell ref="E108:H108"/>
    <mergeCell ref="I108:J108"/>
    <mergeCell ref="K108:L108"/>
    <mergeCell ref="M108:N108"/>
    <mergeCell ref="O108:P108"/>
    <mergeCell ref="Q108:W108"/>
    <mergeCell ref="X109:AA109"/>
    <mergeCell ref="AB109:AF109"/>
    <mergeCell ref="AG109:AI109"/>
    <mergeCell ref="AJ109:AL109"/>
    <mergeCell ref="AM109:AO109"/>
    <mergeCell ref="B109:D109"/>
    <mergeCell ref="E109:H109"/>
    <mergeCell ref="I109:J109"/>
    <mergeCell ref="K109:L109"/>
    <mergeCell ref="M109:N109"/>
    <mergeCell ref="O109:P109"/>
    <mergeCell ref="Q109:W109"/>
    <mergeCell ref="X110:AA110"/>
    <mergeCell ref="AB110:AF110"/>
    <mergeCell ref="AG110:AI110"/>
    <mergeCell ref="AJ110:AL110"/>
    <mergeCell ref="AM110:AO110"/>
    <mergeCell ref="B110:D110"/>
    <mergeCell ref="E110:H110"/>
    <mergeCell ref="I110:J110"/>
    <mergeCell ref="K110:L110"/>
    <mergeCell ref="M110:N110"/>
    <mergeCell ref="O110:P110"/>
    <mergeCell ref="Q110:W110"/>
    <mergeCell ref="X111:AA111"/>
    <mergeCell ref="AB111:AF111"/>
    <mergeCell ref="AG111:AI111"/>
    <mergeCell ref="AJ111:AL111"/>
    <mergeCell ref="AM111:AO111"/>
    <mergeCell ref="B111:D111"/>
    <mergeCell ref="E111:H111"/>
    <mergeCell ref="I111:J111"/>
    <mergeCell ref="K111:L111"/>
    <mergeCell ref="M111:N111"/>
    <mergeCell ref="O111:P111"/>
    <mergeCell ref="Q111:W111"/>
    <mergeCell ref="X112:AA112"/>
    <mergeCell ref="AB112:AF112"/>
    <mergeCell ref="AG112:AI112"/>
    <mergeCell ref="AJ112:AL112"/>
    <mergeCell ref="AM112:AO112"/>
    <mergeCell ref="B112:D112"/>
    <mergeCell ref="E112:H112"/>
    <mergeCell ref="I112:J112"/>
    <mergeCell ref="K112:L112"/>
    <mergeCell ref="M112:N112"/>
    <mergeCell ref="O112:P112"/>
    <mergeCell ref="Q112:W112"/>
    <mergeCell ref="X113:AA113"/>
    <mergeCell ref="AB113:AF113"/>
    <mergeCell ref="AG113:AI113"/>
    <mergeCell ref="AJ113:AL113"/>
    <mergeCell ref="AM113:AO113"/>
    <mergeCell ref="B113:D113"/>
    <mergeCell ref="E113:H113"/>
    <mergeCell ref="I113:J113"/>
    <mergeCell ref="K113:L113"/>
    <mergeCell ref="M113:N113"/>
    <mergeCell ref="O113:P113"/>
    <mergeCell ref="Q113:W113"/>
    <mergeCell ref="X114:AA114"/>
    <mergeCell ref="AB114:AF114"/>
    <mergeCell ref="AG114:AI114"/>
    <mergeCell ref="AJ114:AL114"/>
    <mergeCell ref="AM114:AO114"/>
    <mergeCell ref="B114:D114"/>
    <mergeCell ref="E114:H114"/>
    <mergeCell ref="I114:J114"/>
    <mergeCell ref="K114:L114"/>
    <mergeCell ref="M114:N114"/>
    <mergeCell ref="O114:P114"/>
    <mergeCell ref="Q114:W114"/>
    <mergeCell ref="X115:AA115"/>
    <mergeCell ref="AB115:AF115"/>
    <mergeCell ref="AG115:AI115"/>
    <mergeCell ref="AJ115:AL115"/>
    <mergeCell ref="AM115:AO115"/>
    <mergeCell ref="B115:D115"/>
    <mergeCell ref="E115:H115"/>
    <mergeCell ref="I115:J115"/>
    <mergeCell ref="K115:L115"/>
    <mergeCell ref="M115:N115"/>
    <mergeCell ref="O115:P115"/>
    <mergeCell ref="Q115:W115"/>
    <mergeCell ref="X116:AA116"/>
    <mergeCell ref="AB116:AF116"/>
    <mergeCell ref="AG116:AI116"/>
    <mergeCell ref="AJ116:AL116"/>
    <mergeCell ref="AM116:AO116"/>
    <mergeCell ref="B116:D116"/>
    <mergeCell ref="E116:H116"/>
    <mergeCell ref="I116:J116"/>
    <mergeCell ref="K116:L116"/>
    <mergeCell ref="M116:N116"/>
    <mergeCell ref="O116:P116"/>
    <mergeCell ref="Q116:W116"/>
    <mergeCell ref="X117:AA117"/>
    <mergeCell ref="AB117:AF117"/>
    <mergeCell ref="AG117:AI117"/>
    <mergeCell ref="AJ117:AL117"/>
    <mergeCell ref="AM117:AO117"/>
    <mergeCell ref="B117:D117"/>
    <mergeCell ref="E117:H117"/>
    <mergeCell ref="I117:J117"/>
    <mergeCell ref="K117:L117"/>
    <mergeCell ref="M117:N117"/>
    <mergeCell ref="O117:P117"/>
    <mergeCell ref="Q117:W117"/>
    <mergeCell ref="X118:AA118"/>
    <mergeCell ref="AB118:AF118"/>
    <mergeCell ref="AG118:AI118"/>
    <mergeCell ref="AJ118:AL118"/>
    <mergeCell ref="AM118:AO118"/>
    <mergeCell ref="B118:D118"/>
    <mergeCell ref="E118:H118"/>
    <mergeCell ref="I118:J118"/>
    <mergeCell ref="K118:L118"/>
    <mergeCell ref="M118:N118"/>
    <mergeCell ref="O118:P118"/>
    <mergeCell ref="Q118:W118"/>
    <mergeCell ref="X119:AA119"/>
    <mergeCell ref="AB119:AF119"/>
    <mergeCell ref="AG119:AI119"/>
    <mergeCell ref="AJ119:AL119"/>
    <mergeCell ref="AM119:AO119"/>
    <mergeCell ref="B119:D119"/>
    <mergeCell ref="E119:H119"/>
    <mergeCell ref="I119:J119"/>
    <mergeCell ref="K119:L119"/>
    <mergeCell ref="M119:N119"/>
    <mergeCell ref="O119:P119"/>
    <mergeCell ref="Q119:W119"/>
    <mergeCell ref="X120:AA120"/>
    <mergeCell ref="AB120:AF120"/>
    <mergeCell ref="AG120:AI120"/>
    <mergeCell ref="AJ120:AL120"/>
    <mergeCell ref="AM120:AO120"/>
    <mergeCell ref="B120:D120"/>
    <mergeCell ref="E120:H120"/>
    <mergeCell ref="I120:J120"/>
    <mergeCell ref="K120:L120"/>
    <mergeCell ref="M120:N120"/>
    <mergeCell ref="O120:P120"/>
    <mergeCell ref="Q120:W120"/>
    <mergeCell ref="X121:AA121"/>
    <mergeCell ref="AB121:AF121"/>
    <mergeCell ref="AG121:AI121"/>
    <mergeCell ref="AJ121:AL121"/>
    <mergeCell ref="AM121:AO121"/>
    <mergeCell ref="B121:D121"/>
    <mergeCell ref="E121:H121"/>
    <mergeCell ref="I121:J121"/>
    <mergeCell ref="K121:L121"/>
    <mergeCell ref="M121:N121"/>
    <mergeCell ref="O121:P121"/>
    <mergeCell ref="Q121:W121"/>
    <mergeCell ref="X122:AA122"/>
    <mergeCell ref="AB122:AF122"/>
    <mergeCell ref="AG122:AI122"/>
    <mergeCell ref="AJ122:AL122"/>
    <mergeCell ref="AM122:AO122"/>
    <mergeCell ref="B122:D122"/>
    <mergeCell ref="E122:H122"/>
    <mergeCell ref="I122:J122"/>
    <mergeCell ref="K122:L122"/>
    <mergeCell ref="M122:N122"/>
    <mergeCell ref="O122:P122"/>
    <mergeCell ref="Q122:W122"/>
    <mergeCell ref="X123:AA123"/>
    <mergeCell ref="AB123:AF123"/>
    <mergeCell ref="AG123:AI123"/>
    <mergeCell ref="AJ123:AL123"/>
    <mergeCell ref="AM123:AO123"/>
    <mergeCell ref="B123:D123"/>
    <mergeCell ref="E123:H123"/>
    <mergeCell ref="I123:J123"/>
    <mergeCell ref="K123:L123"/>
    <mergeCell ref="M123:N123"/>
    <mergeCell ref="O123:P123"/>
    <mergeCell ref="Q123:W123"/>
    <mergeCell ref="X124:AA124"/>
    <mergeCell ref="AB124:AF124"/>
    <mergeCell ref="AG124:AI124"/>
    <mergeCell ref="AJ124:AL124"/>
    <mergeCell ref="AM124:AO124"/>
    <mergeCell ref="B124:D124"/>
    <mergeCell ref="E124:H124"/>
    <mergeCell ref="I124:J124"/>
    <mergeCell ref="K124:L124"/>
    <mergeCell ref="M124:N124"/>
    <mergeCell ref="O124:P124"/>
    <mergeCell ref="Q124:W124"/>
    <mergeCell ref="X125:AA125"/>
    <mergeCell ref="AB125:AF125"/>
    <mergeCell ref="AG125:AI125"/>
    <mergeCell ref="AJ125:AL125"/>
    <mergeCell ref="AM125:AO125"/>
    <mergeCell ref="B125:D125"/>
    <mergeCell ref="E125:H125"/>
    <mergeCell ref="I125:J125"/>
    <mergeCell ref="K125:L125"/>
    <mergeCell ref="M125:N125"/>
    <mergeCell ref="O125:P125"/>
    <mergeCell ref="Q125:W125"/>
    <mergeCell ref="X126:AA126"/>
    <mergeCell ref="AB126:AF126"/>
    <mergeCell ref="AG126:AI126"/>
    <mergeCell ref="AJ126:AL126"/>
    <mergeCell ref="AM126:AO126"/>
    <mergeCell ref="B126:D126"/>
    <mergeCell ref="E126:H126"/>
    <mergeCell ref="I126:J126"/>
    <mergeCell ref="K126:L126"/>
    <mergeCell ref="M126:N126"/>
    <mergeCell ref="O126:P126"/>
    <mergeCell ref="Q126:W126"/>
    <mergeCell ref="X127:AA127"/>
    <mergeCell ref="AB127:AF127"/>
    <mergeCell ref="AG127:AI127"/>
    <mergeCell ref="AJ127:AL127"/>
    <mergeCell ref="AM127:AO127"/>
    <mergeCell ref="B127:D127"/>
    <mergeCell ref="E127:H127"/>
    <mergeCell ref="I127:J127"/>
    <mergeCell ref="K127:L127"/>
    <mergeCell ref="M127:N127"/>
    <mergeCell ref="O127:P127"/>
    <mergeCell ref="Q127:W127"/>
    <mergeCell ref="X128:AA128"/>
    <mergeCell ref="AB128:AF128"/>
    <mergeCell ref="AG128:AI128"/>
    <mergeCell ref="AJ128:AL128"/>
    <mergeCell ref="AM128:AO128"/>
    <mergeCell ref="B128:D128"/>
    <mergeCell ref="E128:H128"/>
    <mergeCell ref="I128:J128"/>
    <mergeCell ref="K128:L128"/>
    <mergeCell ref="M128:N128"/>
    <mergeCell ref="O128:P128"/>
    <mergeCell ref="Q128:W128"/>
    <mergeCell ref="X129:AA129"/>
    <mergeCell ref="AB129:AF129"/>
    <mergeCell ref="AG129:AI129"/>
    <mergeCell ref="AJ129:AL129"/>
    <mergeCell ref="AM129:AO129"/>
    <mergeCell ref="B129:D129"/>
    <mergeCell ref="E129:H129"/>
    <mergeCell ref="I129:J129"/>
    <mergeCell ref="K129:L129"/>
    <mergeCell ref="M129:N129"/>
    <mergeCell ref="O129:P129"/>
    <mergeCell ref="Q129:W129"/>
    <mergeCell ref="X130:AA130"/>
    <mergeCell ref="AB130:AF130"/>
    <mergeCell ref="AG130:AI130"/>
    <mergeCell ref="AJ130:AL130"/>
    <mergeCell ref="AM130:AO130"/>
    <mergeCell ref="B130:D130"/>
    <mergeCell ref="E130:H130"/>
    <mergeCell ref="I130:J130"/>
    <mergeCell ref="K130:L130"/>
    <mergeCell ref="M130:N130"/>
    <mergeCell ref="O130:P130"/>
    <mergeCell ref="Q130:W130"/>
    <mergeCell ref="X131:AA131"/>
    <mergeCell ref="AB131:AF131"/>
    <mergeCell ref="AG131:AI131"/>
    <mergeCell ref="AJ131:AL131"/>
    <mergeCell ref="AM131:AO131"/>
    <mergeCell ref="B131:D131"/>
    <mergeCell ref="E131:H131"/>
    <mergeCell ref="I131:J131"/>
    <mergeCell ref="K131:L131"/>
    <mergeCell ref="M131:N131"/>
    <mergeCell ref="O131:P131"/>
    <mergeCell ref="Q131:W131"/>
    <mergeCell ref="X132:AA132"/>
    <mergeCell ref="AB132:AF132"/>
    <mergeCell ref="AG132:AI132"/>
    <mergeCell ref="AJ132:AL132"/>
    <mergeCell ref="AM132:AO132"/>
    <mergeCell ref="B132:D132"/>
    <mergeCell ref="E132:H132"/>
    <mergeCell ref="I132:J132"/>
    <mergeCell ref="K132:L132"/>
    <mergeCell ref="M132:N132"/>
    <mergeCell ref="O132:P132"/>
    <mergeCell ref="Q132:W132"/>
    <mergeCell ref="X133:AA133"/>
    <mergeCell ref="AB133:AF133"/>
    <mergeCell ref="AG133:AI133"/>
    <mergeCell ref="AJ133:AL133"/>
    <mergeCell ref="AM133:AO133"/>
    <mergeCell ref="B133:D133"/>
    <mergeCell ref="E133:H133"/>
    <mergeCell ref="I133:J133"/>
    <mergeCell ref="K133:L133"/>
    <mergeCell ref="M133:N133"/>
    <mergeCell ref="O133:P133"/>
    <mergeCell ref="Q133:W133"/>
    <mergeCell ref="X134:AA134"/>
    <mergeCell ref="AB134:AF134"/>
    <mergeCell ref="AG134:AI134"/>
    <mergeCell ref="AJ134:AL134"/>
    <mergeCell ref="AM134:AO134"/>
    <mergeCell ref="B134:D134"/>
    <mergeCell ref="E134:H134"/>
    <mergeCell ref="I134:J134"/>
    <mergeCell ref="K134:L134"/>
    <mergeCell ref="M134:N134"/>
    <mergeCell ref="O134:P134"/>
    <mergeCell ref="Q134:W134"/>
    <mergeCell ref="X135:AA135"/>
    <mergeCell ref="AB135:AF135"/>
    <mergeCell ref="AG135:AI135"/>
    <mergeCell ref="AJ135:AL135"/>
    <mergeCell ref="AM135:AO135"/>
    <mergeCell ref="B135:D135"/>
    <mergeCell ref="E135:H135"/>
    <mergeCell ref="I135:J135"/>
    <mergeCell ref="K135:L135"/>
    <mergeCell ref="M135:N135"/>
    <mergeCell ref="O135:P135"/>
    <mergeCell ref="Q135:W135"/>
    <mergeCell ref="X136:AA136"/>
    <mergeCell ref="AB136:AF136"/>
    <mergeCell ref="AG136:AI136"/>
    <mergeCell ref="AJ136:AL136"/>
    <mergeCell ref="AM136:AO136"/>
    <mergeCell ref="B136:D136"/>
    <mergeCell ref="E136:H136"/>
    <mergeCell ref="I136:J136"/>
    <mergeCell ref="K136:L136"/>
    <mergeCell ref="M136:N136"/>
    <mergeCell ref="O136:P136"/>
    <mergeCell ref="Q136:W136"/>
    <mergeCell ref="X137:AA137"/>
    <mergeCell ref="AB137:AF137"/>
    <mergeCell ref="AG137:AI137"/>
    <mergeCell ref="AJ137:AL137"/>
    <mergeCell ref="AM137:AO137"/>
    <mergeCell ref="B137:D137"/>
    <mergeCell ref="E137:H137"/>
    <mergeCell ref="I137:J137"/>
    <mergeCell ref="K137:L137"/>
    <mergeCell ref="M137:N137"/>
    <mergeCell ref="O137:P137"/>
    <mergeCell ref="Q137:W137"/>
    <mergeCell ref="X138:AA138"/>
    <mergeCell ref="AB138:AF138"/>
    <mergeCell ref="AG138:AI138"/>
    <mergeCell ref="AJ138:AL138"/>
    <mergeCell ref="AM138:AO138"/>
    <mergeCell ref="B138:D138"/>
    <mergeCell ref="E138:H138"/>
    <mergeCell ref="I138:J138"/>
    <mergeCell ref="K138:L138"/>
    <mergeCell ref="M138:N138"/>
    <mergeCell ref="O138:P138"/>
    <mergeCell ref="Q138:W138"/>
    <mergeCell ref="X139:AA139"/>
    <mergeCell ref="AB139:AF139"/>
    <mergeCell ref="AG139:AI139"/>
    <mergeCell ref="AJ139:AL139"/>
    <mergeCell ref="AM139:AO139"/>
    <mergeCell ref="B139:D139"/>
    <mergeCell ref="E139:H139"/>
    <mergeCell ref="I139:J139"/>
    <mergeCell ref="K139:L139"/>
    <mergeCell ref="M139:N139"/>
    <mergeCell ref="O139:P139"/>
    <mergeCell ref="Q139:W139"/>
    <mergeCell ref="X140:AA140"/>
    <mergeCell ref="AB140:AF140"/>
    <mergeCell ref="AG140:AI140"/>
    <mergeCell ref="AJ140:AL140"/>
    <mergeCell ref="AM140:AO140"/>
    <mergeCell ref="B140:D140"/>
    <mergeCell ref="E140:H140"/>
    <mergeCell ref="I140:J140"/>
    <mergeCell ref="K140:L140"/>
    <mergeCell ref="M140:N140"/>
    <mergeCell ref="O140:P140"/>
    <mergeCell ref="Q140:W140"/>
    <mergeCell ref="X141:AA141"/>
    <mergeCell ref="AB141:AF141"/>
    <mergeCell ref="AG141:AI141"/>
    <mergeCell ref="AJ141:AL141"/>
    <mergeCell ref="AM141:AO141"/>
    <mergeCell ref="B141:D141"/>
    <mergeCell ref="E141:H141"/>
    <mergeCell ref="I141:J141"/>
    <mergeCell ref="K141:L141"/>
    <mergeCell ref="M141:N141"/>
    <mergeCell ref="O141:P141"/>
    <mergeCell ref="Q141:W141"/>
    <mergeCell ref="X142:AA142"/>
    <mergeCell ref="AB142:AF142"/>
    <mergeCell ref="AG142:AI142"/>
    <mergeCell ref="AJ142:AL142"/>
    <mergeCell ref="AM142:AO142"/>
    <mergeCell ref="B142:D142"/>
    <mergeCell ref="E142:H142"/>
    <mergeCell ref="I142:J142"/>
    <mergeCell ref="K142:L142"/>
    <mergeCell ref="M142:N142"/>
    <mergeCell ref="O142:P142"/>
    <mergeCell ref="Q142:W142"/>
    <mergeCell ref="X143:AA143"/>
    <mergeCell ref="AB143:AF143"/>
    <mergeCell ref="AG143:AI143"/>
    <mergeCell ref="AJ143:AL143"/>
    <mergeCell ref="AM143:AO143"/>
    <mergeCell ref="B143:D143"/>
    <mergeCell ref="E143:H143"/>
    <mergeCell ref="I143:J143"/>
    <mergeCell ref="K143:L143"/>
    <mergeCell ref="M143:N143"/>
    <mergeCell ref="O143:P143"/>
    <mergeCell ref="Q143:W143"/>
    <mergeCell ref="X144:AA144"/>
    <mergeCell ref="AB144:AF144"/>
    <mergeCell ref="AG144:AI144"/>
    <mergeCell ref="AJ144:AL144"/>
    <mergeCell ref="AM144:AO144"/>
    <mergeCell ref="B144:D144"/>
    <mergeCell ref="E144:H144"/>
    <mergeCell ref="I144:J144"/>
    <mergeCell ref="K144:L144"/>
    <mergeCell ref="M144:N144"/>
    <mergeCell ref="O144:P144"/>
    <mergeCell ref="Q144:W144"/>
    <mergeCell ref="X145:AA145"/>
    <mergeCell ref="AB145:AF145"/>
    <mergeCell ref="AG145:AI145"/>
    <mergeCell ref="AJ145:AL145"/>
    <mergeCell ref="AM145:AO145"/>
    <mergeCell ref="B145:D145"/>
    <mergeCell ref="E145:H145"/>
    <mergeCell ref="I145:J145"/>
    <mergeCell ref="K145:L145"/>
    <mergeCell ref="M145:N145"/>
    <mergeCell ref="O145:P145"/>
    <mergeCell ref="Q145:W145"/>
    <mergeCell ref="X146:AA146"/>
    <mergeCell ref="AB146:AF146"/>
    <mergeCell ref="AG146:AI146"/>
    <mergeCell ref="AJ146:AL146"/>
    <mergeCell ref="AM146:AO146"/>
    <mergeCell ref="B146:D146"/>
    <mergeCell ref="E146:H146"/>
    <mergeCell ref="I146:J146"/>
    <mergeCell ref="K146:L146"/>
    <mergeCell ref="M146:N146"/>
    <mergeCell ref="O146:P146"/>
    <mergeCell ref="Q146:W146"/>
    <mergeCell ref="X147:AA147"/>
    <mergeCell ref="AB147:AF147"/>
    <mergeCell ref="AG147:AI147"/>
    <mergeCell ref="AJ147:AL147"/>
    <mergeCell ref="AM147:AO147"/>
    <mergeCell ref="B147:D147"/>
    <mergeCell ref="E147:H147"/>
    <mergeCell ref="I147:J147"/>
    <mergeCell ref="K147:L147"/>
    <mergeCell ref="M147:N147"/>
    <mergeCell ref="O147:P147"/>
    <mergeCell ref="Q147:W147"/>
    <mergeCell ref="X148:AA148"/>
    <mergeCell ref="AB148:AF148"/>
    <mergeCell ref="AG148:AI148"/>
    <mergeCell ref="AJ148:AL148"/>
    <mergeCell ref="AM148:AO148"/>
    <mergeCell ref="B148:D148"/>
    <mergeCell ref="E148:H148"/>
    <mergeCell ref="I148:J148"/>
    <mergeCell ref="K148:L148"/>
    <mergeCell ref="M148:N148"/>
    <mergeCell ref="O148:P148"/>
    <mergeCell ref="Q148:W148"/>
    <mergeCell ref="X149:AA149"/>
    <mergeCell ref="AB149:AF149"/>
    <mergeCell ref="AG149:AI149"/>
    <mergeCell ref="AJ149:AL149"/>
    <mergeCell ref="AM149:AO149"/>
    <mergeCell ref="B149:D149"/>
    <mergeCell ref="E149:H149"/>
    <mergeCell ref="I149:J149"/>
    <mergeCell ref="K149:L149"/>
    <mergeCell ref="M149:N149"/>
    <mergeCell ref="O149:P149"/>
    <mergeCell ref="Q149:W149"/>
    <mergeCell ref="X150:AA150"/>
    <mergeCell ref="AB150:AF150"/>
    <mergeCell ref="AG150:AI150"/>
    <mergeCell ref="AJ150:AL150"/>
    <mergeCell ref="AM150:AO150"/>
    <mergeCell ref="B150:D150"/>
    <mergeCell ref="E150:H150"/>
    <mergeCell ref="I150:J150"/>
    <mergeCell ref="K150:L150"/>
    <mergeCell ref="M150:N150"/>
    <mergeCell ref="O150:P150"/>
    <mergeCell ref="Q150:W150"/>
    <mergeCell ref="X151:AA151"/>
    <mergeCell ref="AB151:AF151"/>
    <mergeCell ref="AG151:AI151"/>
    <mergeCell ref="AJ151:AL151"/>
    <mergeCell ref="AM151:AO151"/>
    <mergeCell ref="B151:D151"/>
    <mergeCell ref="E151:H151"/>
    <mergeCell ref="I151:J151"/>
    <mergeCell ref="K151:L151"/>
    <mergeCell ref="M151:N151"/>
    <mergeCell ref="O151:P151"/>
    <mergeCell ref="Q151:W151"/>
    <mergeCell ref="X152:AA152"/>
    <mergeCell ref="AB152:AF152"/>
    <mergeCell ref="AG152:AI152"/>
    <mergeCell ref="AJ152:AL152"/>
    <mergeCell ref="AM152:AO152"/>
    <mergeCell ref="B152:D152"/>
    <mergeCell ref="E152:H152"/>
    <mergeCell ref="I152:J152"/>
    <mergeCell ref="K152:L152"/>
    <mergeCell ref="M152:N152"/>
    <mergeCell ref="O152:P152"/>
    <mergeCell ref="Q152:W152"/>
    <mergeCell ref="X153:AA153"/>
    <mergeCell ref="AB153:AF153"/>
    <mergeCell ref="AG153:AI153"/>
    <mergeCell ref="AJ153:AL153"/>
    <mergeCell ref="AM153:AO153"/>
    <mergeCell ref="B153:D153"/>
    <mergeCell ref="E153:H153"/>
    <mergeCell ref="I153:J153"/>
    <mergeCell ref="K153:L153"/>
    <mergeCell ref="M153:N153"/>
    <mergeCell ref="O153:P153"/>
    <mergeCell ref="Q153:W153"/>
    <mergeCell ref="X154:AA154"/>
    <mergeCell ref="AB154:AF154"/>
    <mergeCell ref="AG154:AI154"/>
    <mergeCell ref="AJ154:AL154"/>
    <mergeCell ref="AM154:AO154"/>
    <mergeCell ref="B154:D154"/>
    <mergeCell ref="E154:H154"/>
    <mergeCell ref="I154:J154"/>
    <mergeCell ref="K154:L154"/>
    <mergeCell ref="M154:N154"/>
    <mergeCell ref="O154:P154"/>
    <mergeCell ref="Q154:W154"/>
  </mergeCells>
  <conditionalFormatting sqref="E106:AO201">
    <cfRule type="expression" dxfId="43" priority="1">
      <formula>and($B106&lt;&gt;"",E106="")</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46.71"/>
  </cols>
  <sheetData>
    <row r="1">
      <c r="A1" s="571" t="s">
        <v>666</v>
      </c>
      <c r="B1" s="571" t="s">
        <v>667</v>
      </c>
    </row>
    <row r="2">
      <c r="A2" s="571" t="s">
        <v>668</v>
      </c>
      <c r="B2" s="571" t="s">
        <v>669</v>
      </c>
    </row>
    <row r="3">
      <c r="A3" s="571" t="s">
        <v>670</v>
      </c>
      <c r="B3" s="571" t="s">
        <v>671</v>
      </c>
    </row>
    <row r="4">
      <c r="A4" s="571" t="s">
        <v>672</v>
      </c>
      <c r="B4" s="571" t="s">
        <v>673</v>
      </c>
    </row>
    <row r="5">
      <c r="A5" s="571" t="s">
        <v>672</v>
      </c>
      <c r="B5" s="571" t="s">
        <v>674</v>
      </c>
    </row>
    <row r="6">
      <c r="A6" s="571" t="s">
        <v>675</v>
      </c>
      <c r="B6" s="571" t="s">
        <v>676</v>
      </c>
    </row>
    <row r="7">
      <c r="A7" s="571" t="s">
        <v>677</v>
      </c>
      <c r="B7" s="571" t="s">
        <v>678</v>
      </c>
    </row>
    <row r="8">
      <c r="A8" s="571" t="s">
        <v>679</v>
      </c>
      <c r="B8" s="571" t="s">
        <v>680</v>
      </c>
    </row>
    <row r="9">
      <c r="A9" s="571" t="s">
        <v>681</v>
      </c>
      <c r="B9" s="571" t="s">
        <v>682</v>
      </c>
    </row>
    <row r="10">
      <c r="A10" s="571" t="s">
        <v>683</v>
      </c>
      <c r="B10" s="571" t="s">
        <v>684</v>
      </c>
    </row>
    <row r="11">
      <c r="A11" s="571" t="s">
        <v>685</v>
      </c>
      <c r="B11" s="571" t="s">
        <v>686</v>
      </c>
    </row>
    <row r="12">
      <c r="A12" s="571" t="s">
        <v>687</v>
      </c>
      <c r="B12" s="571" t="s">
        <v>688</v>
      </c>
    </row>
    <row r="13">
      <c r="A13" s="571" t="s">
        <v>689</v>
      </c>
      <c r="B13" s="571" t="s">
        <v>690</v>
      </c>
    </row>
    <row r="14">
      <c r="A14" s="571" t="s">
        <v>691</v>
      </c>
      <c r="B14" s="571" t="s">
        <v>692</v>
      </c>
    </row>
    <row r="15">
      <c r="A15" s="571" t="s">
        <v>693</v>
      </c>
      <c r="B15" s="571" t="s">
        <v>694</v>
      </c>
    </row>
  </sheetData>
  <drawing r:id="rId1"/>
</worksheet>
</file>